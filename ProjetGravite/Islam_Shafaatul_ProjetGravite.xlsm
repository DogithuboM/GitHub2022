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CVM\Outil de gestion\GitHub2022\ProjetGravite\"/>
    </mc:Choice>
  </mc:AlternateContent>
  <xr:revisionPtr revIDLastSave="0" documentId="13_ncr:1_{F4D015FD-42B7-4C2E-87A5-7F032E1A8F6D}" xr6:coauthVersionLast="47" xr6:coauthVersionMax="47" xr10:uidLastSave="{00000000-0000-0000-0000-000000000000}"/>
  <bookViews>
    <workbookView xWindow="-120" yWindow="-120" windowWidth="29040" windowHeight="15840" xr2:uid="{FD5A80BE-EA49-45AB-B386-BF518CFC0556}"/>
  </bookViews>
  <sheets>
    <sheet name="Conditions initiales + chemin" sheetId="1" r:id="rId1"/>
    <sheet name="Animation du mouvemen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D12" i="1" l="1"/>
  <c r="BD13" i="1"/>
  <c r="BD11" i="1"/>
  <c r="BA12" i="1"/>
  <c r="BA11" i="1"/>
  <c r="BC11" i="1"/>
  <c r="AZ11" i="1"/>
  <c r="BT10" i="1"/>
  <c r="BJ10" i="1"/>
  <c r="AX12" i="1"/>
  <c r="AX13" i="1" s="1"/>
  <c r="AX14" i="1" s="1"/>
  <c r="AX15" i="1" s="1"/>
  <c r="AX16" i="1" s="1"/>
  <c r="AX17" i="1" s="1"/>
  <c r="AX18" i="1" s="1"/>
  <c r="AX19" i="1" s="1"/>
  <c r="AX20" i="1" s="1"/>
  <c r="AX21" i="1" s="1"/>
  <c r="AX22" i="1" s="1"/>
  <c r="AX23" i="1" s="1"/>
  <c r="AX24" i="1" s="1"/>
  <c r="AX25" i="1" s="1"/>
  <c r="AX26" i="1" s="1"/>
  <c r="AX27" i="1" s="1"/>
  <c r="AX28" i="1" s="1"/>
  <c r="AX29" i="1" s="1"/>
  <c r="AX30" i="1" s="1"/>
  <c r="AX31" i="1" s="1"/>
  <c r="AX32" i="1" s="1"/>
  <c r="AX33" i="1" s="1"/>
  <c r="AX34" i="1" s="1"/>
  <c r="AX35" i="1" s="1"/>
  <c r="AX36" i="1" s="1"/>
  <c r="AX37" i="1" s="1"/>
  <c r="AX38" i="1" s="1"/>
  <c r="AX39" i="1" s="1"/>
  <c r="AX40" i="1" s="1"/>
  <c r="AX41" i="1" s="1"/>
  <c r="AX42" i="1" s="1"/>
  <c r="AX43" i="1" s="1"/>
  <c r="AX44" i="1" s="1"/>
  <c r="AX45" i="1" s="1"/>
  <c r="AX46" i="1" s="1"/>
  <c r="AX47" i="1" s="1"/>
  <c r="AX48" i="1" s="1"/>
  <c r="AX49" i="1" s="1"/>
  <c r="AX50" i="1" s="1"/>
  <c r="AX51" i="1" s="1"/>
  <c r="AX52" i="1" s="1"/>
  <c r="AX53" i="1" s="1"/>
  <c r="AX54" i="1" s="1"/>
  <c r="AX55" i="1" s="1"/>
  <c r="AX56" i="1" s="1"/>
  <c r="AX57" i="1" s="1"/>
  <c r="AX58" i="1" s="1"/>
  <c r="AX59" i="1" s="1"/>
  <c r="AX60" i="1" s="1"/>
  <c r="AX61" i="1" s="1"/>
  <c r="AX62" i="1" s="1"/>
  <c r="AX63" i="1" s="1"/>
  <c r="AX64" i="1" s="1"/>
  <c r="AX65" i="1" s="1"/>
  <c r="AX66" i="1" s="1"/>
  <c r="AX67" i="1" s="1"/>
  <c r="AX68" i="1" s="1"/>
  <c r="AX69" i="1" s="1"/>
  <c r="AX70" i="1" s="1"/>
  <c r="AX71" i="1" s="1"/>
  <c r="AX72" i="1" s="1"/>
  <c r="AX73" i="1" s="1"/>
  <c r="AX74" i="1" s="1"/>
  <c r="AX75" i="1" s="1"/>
  <c r="AX76" i="1" s="1"/>
  <c r="AX77" i="1" s="1"/>
  <c r="AX78" i="1" s="1"/>
  <c r="AX79" i="1" s="1"/>
  <c r="AX80" i="1" s="1"/>
  <c r="AX81" i="1" s="1"/>
  <c r="AX82" i="1" s="1"/>
  <c r="AX83" i="1" s="1"/>
  <c r="AX84" i="1" s="1"/>
  <c r="AX85" i="1" s="1"/>
  <c r="AX86" i="1" s="1"/>
  <c r="AX87" i="1" s="1"/>
  <c r="AX88" i="1" s="1"/>
  <c r="AX89" i="1" s="1"/>
  <c r="AX90" i="1" s="1"/>
  <c r="AX91" i="1" s="1"/>
  <c r="AX92" i="1" s="1"/>
  <c r="AX93" i="1" s="1"/>
  <c r="AX94" i="1" s="1"/>
  <c r="AX95" i="1" s="1"/>
  <c r="AX96" i="1" s="1"/>
  <c r="AX97" i="1" s="1"/>
  <c r="AX98" i="1" s="1"/>
  <c r="AX99" i="1" s="1"/>
  <c r="AX100" i="1" s="1"/>
  <c r="AX101" i="1" s="1"/>
  <c r="AX102" i="1" s="1"/>
  <c r="AX103" i="1" s="1"/>
  <c r="AX104" i="1" s="1"/>
  <c r="AX105" i="1" s="1"/>
  <c r="AX106" i="1" s="1"/>
  <c r="AX107" i="1" s="1"/>
  <c r="AX108" i="1" s="1"/>
  <c r="AX109" i="1" s="1"/>
  <c r="AX110" i="1" s="1"/>
  <c r="AX111" i="1" s="1"/>
  <c r="AX112" i="1" s="1"/>
  <c r="AX113" i="1" s="1"/>
  <c r="AX114" i="1" s="1"/>
  <c r="AX115" i="1" s="1"/>
  <c r="AX116" i="1" s="1"/>
  <c r="AX117" i="1" s="1"/>
  <c r="AX118" i="1" s="1"/>
  <c r="AX119" i="1" s="1"/>
  <c r="AX120" i="1" s="1"/>
  <c r="AX121" i="1" s="1"/>
  <c r="AX122" i="1" s="1"/>
  <c r="AX123" i="1" s="1"/>
  <c r="AX124" i="1" s="1"/>
  <c r="AX125" i="1" s="1"/>
  <c r="AX126" i="1" s="1"/>
  <c r="AX127" i="1" s="1"/>
  <c r="AX128" i="1" s="1"/>
  <c r="AX129" i="1" s="1"/>
  <c r="AX130" i="1" s="1"/>
  <c r="AX131" i="1" s="1"/>
  <c r="AX132" i="1" s="1"/>
  <c r="AX133" i="1" s="1"/>
  <c r="AX134" i="1" s="1"/>
  <c r="AX135" i="1" s="1"/>
  <c r="AX136" i="1" s="1"/>
  <c r="AX137" i="1" s="1"/>
  <c r="AX138" i="1" s="1"/>
  <c r="AX139" i="1" s="1"/>
  <c r="AX140" i="1" s="1"/>
  <c r="AX141" i="1" s="1"/>
  <c r="AX142" i="1" s="1"/>
  <c r="AX143" i="1" s="1"/>
  <c r="AX144" i="1" s="1"/>
  <c r="AX145" i="1" s="1"/>
  <c r="AX146" i="1" s="1"/>
  <c r="AX147" i="1" s="1"/>
  <c r="AX148" i="1" s="1"/>
  <c r="AX149" i="1" s="1"/>
  <c r="AX150" i="1" s="1"/>
  <c r="AX151" i="1" s="1"/>
  <c r="AX152" i="1" s="1"/>
  <c r="AX153" i="1" s="1"/>
  <c r="AX154" i="1" s="1"/>
  <c r="AX155" i="1" s="1"/>
  <c r="AX156" i="1" s="1"/>
  <c r="AX157" i="1" s="1"/>
  <c r="AX158" i="1" s="1"/>
  <c r="AX159" i="1" s="1"/>
  <c r="AX160" i="1" s="1"/>
  <c r="AX161" i="1" s="1"/>
  <c r="AX162" i="1" s="1"/>
  <c r="AX163" i="1" s="1"/>
  <c r="AX164" i="1" s="1"/>
  <c r="AX165" i="1" s="1"/>
  <c r="AX166" i="1" s="1"/>
  <c r="AX167" i="1" s="1"/>
  <c r="AX168" i="1" s="1"/>
  <c r="AX169" i="1" s="1"/>
  <c r="AX170" i="1" s="1"/>
  <c r="AX171" i="1" s="1"/>
  <c r="AX172" i="1" s="1"/>
  <c r="AX173" i="1" s="1"/>
  <c r="AX174" i="1" s="1"/>
  <c r="AX175" i="1" s="1"/>
  <c r="AX176" i="1" s="1"/>
  <c r="AX177" i="1" s="1"/>
  <c r="AX178" i="1" s="1"/>
  <c r="AX179" i="1" s="1"/>
  <c r="AX180" i="1" s="1"/>
  <c r="AX181" i="1" s="1"/>
  <c r="AX182" i="1" s="1"/>
  <c r="AX183" i="1" s="1"/>
  <c r="AX184" i="1" s="1"/>
  <c r="AX185" i="1" s="1"/>
  <c r="AX186" i="1" s="1"/>
  <c r="AX187" i="1" s="1"/>
  <c r="AX188" i="1" s="1"/>
  <c r="AX189" i="1" s="1"/>
  <c r="AX190" i="1" s="1"/>
  <c r="AX191" i="1" s="1"/>
  <c r="AX192" i="1" s="1"/>
  <c r="AX193" i="1" s="1"/>
  <c r="AX194" i="1" s="1"/>
  <c r="AX195" i="1" s="1"/>
  <c r="AX196" i="1" s="1"/>
  <c r="AX197" i="1" s="1"/>
  <c r="AX198" i="1" s="1"/>
  <c r="AX199" i="1" s="1"/>
  <c r="AX200" i="1" s="1"/>
  <c r="AX201" i="1" s="1"/>
  <c r="AX202" i="1" s="1"/>
  <c r="AX203" i="1" s="1"/>
  <c r="AX204" i="1" s="1"/>
  <c r="AX205" i="1" s="1"/>
  <c r="AX206" i="1" s="1"/>
  <c r="AX207" i="1" s="1"/>
  <c r="AX208" i="1" s="1"/>
  <c r="AX209" i="1" s="1"/>
  <c r="AX210" i="1" s="1"/>
  <c r="AX211" i="1" s="1"/>
  <c r="AX212" i="1" s="1"/>
  <c r="AX213" i="1" s="1"/>
  <c r="AX214" i="1" s="1"/>
  <c r="AX215" i="1" s="1"/>
  <c r="AX216" i="1" s="1"/>
  <c r="AX217" i="1" s="1"/>
  <c r="AX218" i="1" s="1"/>
  <c r="AX219" i="1" s="1"/>
  <c r="AX220" i="1" s="1"/>
  <c r="AX221" i="1" s="1"/>
  <c r="AX222" i="1" s="1"/>
  <c r="AX223" i="1" s="1"/>
  <c r="AX224" i="1" s="1"/>
  <c r="AX225" i="1" s="1"/>
  <c r="AX226" i="1" s="1"/>
  <c r="AX227" i="1" s="1"/>
  <c r="AX228" i="1" s="1"/>
  <c r="AX229" i="1" s="1"/>
  <c r="AX230" i="1" s="1"/>
  <c r="AX231" i="1" s="1"/>
  <c r="AX232" i="1" s="1"/>
  <c r="AX233" i="1" s="1"/>
  <c r="AX234" i="1" s="1"/>
  <c r="AX235" i="1" s="1"/>
  <c r="AX236" i="1" s="1"/>
  <c r="AX237" i="1" s="1"/>
  <c r="AX238" i="1" s="1"/>
  <c r="AX239" i="1" s="1"/>
  <c r="AX240" i="1" s="1"/>
  <c r="AX241" i="1" s="1"/>
  <c r="AX242" i="1" s="1"/>
  <c r="AX243" i="1" s="1"/>
  <c r="AX244" i="1" s="1"/>
  <c r="AX245" i="1" s="1"/>
  <c r="AX246" i="1" s="1"/>
  <c r="AX247" i="1" s="1"/>
  <c r="AX248" i="1" s="1"/>
  <c r="AX249" i="1" s="1"/>
  <c r="AX250" i="1" s="1"/>
  <c r="AX251" i="1" s="1"/>
  <c r="AX252" i="1" s="1"/>
  <c r="AX253" i="1" s="1"/>
  <c r="AX254" i="1" s="1"/>
  <c r="AX255" i="1" s="1"/>
  <c r="AX256" i="1" s="1"/>
  <c r="AX257" i="1" s="1"/>
  <c r="AX258" i="1" s="1"/>
  <c r="AX259" i="1" s="1"/>
  <c r="AX260" i="1" s="1"/>
  <c r="AX261" i="1" s="1"/>
  <c r="AX262" i="1" s="1"/>
  <c r="AX263" i="1" s="1"/>
  <c r="AX264" i="1" s="1"/>
  <c r="AX265" i="1" s="1"/>
  <c r="AX266" i="1" s="1"/>
  <c r="AX267" i="1" s="1"/>
  <c r="AX268" i="1" s="1"/>
  <c r="AX269" i="1" s="1"/>
  <c r="AX270" i="1" s="1"/>
  <c r="AX271" i="1" s="1"/>
  <c r="AX272" i="1" s="1"/>
  <c r="AX273" i="1" s="1"/>
  <c r="AX274" i="1" s="1"/>
  <c r="AX275" i="1" s="1"/>
  <c r="AX276" i="1" s="1"/>
  <c r="AX277" i="1" s="1"/>
  <c r="AX278" i="1" s="1"/>
  <c r="AX279" i="1" s="1"/>
  <c r="AX280" i="1" s="1"/>
  <c r="AX281" i="1" s="1"/>
  <c r="AX282" i="1" s="1"/>
  <c r="AX283" i="1" s="1"/>
  <c r="AX284" i="1" s="1"/>
  <c r="AX285" i="1" s="1"/>
  <c r="AX286" i="1" s="1"/>
  <c r="AX287" i="1" s="1"/>
  <c r="AX288" i="1" s="1"/>
  <c r="AX289" i="1" s="1"/>
  <c r="AX290" i="1" s="1"/>
  <c r="AX291" i="1" s="1"/>
  <c r="AX292" i="1" s="1"/>
  <c r="AX293" i="1" s="1"/>
  <c r="AX294" i="1" s="1"/>
  <c r="AX295" i="1" s="1"/>
  <c r="AX296" i="1" s="1"/>
  <c r="AX297" i="1" s="1"/>
  <c r="AX298" i="1" s="1"/>
  <c r="AX299" i="1" s="1"/>
  <c r="AX300" i="1" s="1"/>
  <c r="AX301" i="1" s="1"/>
  <c r="AX302" i="1" s="1"/>
  <c r="AX303" i="1" s="1"/>
  <c r="AX304" i="1" s="1"/>
  <c r="AX305" i="1" s="1"/>
  <c r="AX306" i="1" s="1"/>
  <c r="AX307" i="1" s="1"/>
  <c r="AX308" i="1" s="1"/>
  <c r="AX309" i="1" s="1"/>
  <c r="AX310" i="1" s="1"/>
  <c r="AX311" i="1" s="1"/>
  <c r="AX312" i="1" s="1"/>
  <c r="AX313" i="1" s="1"/>
  <c r="AX314" i="1" s="1"/>
  <c r="AX315" i="1" s="1"/>
  <c r="AX316" i="1" s="1"/>
  <c r="AX317" i="1" s="1"/>
  <c r="AX318" i="1" s="1"/>
  <c r="AX319" i="1" s="1"/>
  <c r="AX320" i="1" s="1"/>
  <c r="AX321" i="1" s="1"/>
  <c r="AX322" i="1" s="1"/>
  <c r="AX323" i="1" s="1"/>
  <c r="AX324" i="1" s="1"/>
  <c r="AX325" i="1" s="1"/>
  <c r="AX326" i="1" s="1"/>
  <c r="AX327" i="1" s="1"/>
  <c r="AX328" i="1" s="1"/>
  <c r="AX329" i="1" s="1"/>
  <c r="AX330" i="1" s="1"/>
  <c r="AX331" i="1" s="1"/>
  <c r="AX332" i="1" s="1"/>
  <c r="AX333" i="1" s="1"/>
  <c r="AX334" i="1" s="1"/>
  <c r="AX335" i="1" s="1"/>
  <c r="AX336" i="1" s="1"/>
  <c r="AX337" i="1" s="1"/>
  <c r="AX338" i="1" s="1"/>
  <c r="AX339" i="1" s="1"/>
  <c r="AX340" i="1" s="1"/>
  <c r="AX341" i="1" s="1"/>
  <c r="AX342" i="1" s="1"/>
  <c r="AX343" i="1" s="1"/>
  <c r="AX344" i="1" s="1"/>
  <c r="AX345" i="1" s="1"/>
  <c r="AX346" i="1" s="1"/>
  <c r="AX347" i="1" s="1"/>
  <c r="AX348" i="1" s="1"/>
  <c r="AX349" i="1" s="1"/>
  <c r="AX350" i="1" s="1"/>
  <c r="AX351" i="1" s="1"/>
  <c r="AX352" i="1" s="1"/>
  <c r="AX353" i="1" s="1"/>
  <c r="AX354" i="1" s="1"/>
  <c r="AX355" i="1" s="1"/>
  <c r="AX356" i="1" s="1"/>
  <c r="AX357" i="1" s="1"/>
  <c r="AX358" i="1" s="1"/>
  <c r="AX359" i="1" s="1"/>
  <c r="AX360" i="1" s="1"/>
  <c r="AX361" i="1" s="1"/>
  <c r="AX362" i="1" s="1"/>
  <c r="AX363" i="1" s="1"/>
  <c r="AX364" i="1" s="1"/>
  <c r="AX365" i="1" s="1"/>
  <c r="AX366" i="1" s="1"/>
  <c r="AX367" i="1" s="1"/>
  <c r="AX368" i="1" s="1"/>
  <c r="AX369" i="1" s="1"/>
  <c r="AX370" i="1" s="1"/>
  <c r="AX371" i="1" s="1"/>
  <c r="AX372" i="1" s="1"/>
  <c r="AX373" i="1" s="1"/>
  <c r="AX374" i="1" s="1"/>
  <c r="AX375" i="1" s="1"/>
  <c r="AX376" i="1" s="1"/>
  <c r="AX377" i="1" s="1"/>
  <c r="AX378" i="1" s="1"/>
  <c r="AX379" i="1" s="1"/>
  <c r="AX380" i="1" s="1"/>
  <c r="AX381" i="1" s="1"/>
  <c r="AX382" i="1" s="1"/>
  <c r="AX383" i="1" s="1"/>
  <c r="AX384" i="1" s="1"/>
  <c r="AX385" i="1" s="1"/>
  <c r="AX386" i="1" s="1"/>
  <c r="AX387" i="1" s="1"/>
  <c r="AX388" i="1" s="1"/>
  <c r="AX389" i="1" s="1"/>
  <c r="AX390" i="1" s="1"/>
  <c r="AX391" i="1" s="1"/>
  <c r="AX392" i="1" s="1"/>
  <c r="AX393" i="1" s="1"/>
  <c r="AX394" i="1" s="1"/>
  <c r="AX395" i="1" s="1"/>
  <c r="AX396" i="1" s="1"/>
  <c r="AX397" i="1" s="1"/>
  <c r="AX398" i="1" s="1"/>
  <c r="AX399" i="1" s="1"/>
  <c r="AX400" i="1" s="1"/>
  <c r="AX401" i="1" s="1"/>
  <c r="AX402" i="1" s="1"/>
  <c r="AX403" i="1" s="1"/>
  <c r="AX404" i="1" s="1"/>
  <c r="AX405" i="1" s="1"/>
  <c r="AX406" i="1" s="1"/>
  <c r="AX407" i="1" s="1"/>
  <c r="AX408" i="1" s="1"/>
  <c r="AX409" i="1" s="1"/>
  <c r="AX410" i="1" s="1"/>
  <c r="AX411" i="1" s="1"/>
  <c r="AX412" i="1" s="1"/>
  <c r="AX413" i="1" s="1"/>
  <c r="AX414" i="1" s="1"/>
  <c r="AX415" i="1" s="1"/>
  <c r="AX416" i="1" s="1"/>
  <c r="AX417" i="1" s="1"/>
  <c r="AX418" i="1" s="1"/>
  <c r="AX419" i="1" s="1"/>
  <c r="AX420" i="1" s="1"/>
  <c r="AX421" i="1" s="1"/>
  <c r="AX422" i="1" s="1"/>
  <c r="AX423" i="1" s="1"/>
  <c r="AX424" i="1" s="1"/>
  <c r="AX425" i="1" s="1"/>
  <c r="AX426" i="1" s="1"/>
  <c r="AX427" i="1" s="1"/>
  <c r="AX428" i="1" s="1"/>
  <c r="AX429" i="1" s="1"/>
  <c r="AX430" i="1" s="1"/>
  <c r="AX431" i="1" s="1"/>
  <c r="AX432" i="1" s="1"/>
  <c r="AX433" i="1" s="1"/>
  <c r="AX434" i="1" s="1"/>
  <c r="AX435" i="1" s="1"/>
  <c r="AX436" i="1" s="1"/>
  <c r="AX437" i="1" s="1"/>
  <c r="AX438" i="1" s="1"/>
  <c r="AX439" i="1" s="1"/>
  <c r="AX440" i="1" s="1"/>
  <c r="AX441" i="1" s="1"/>
  <c r="AX442" i="1" s="1"/>
  <c r="AX443" i="1" s="1"/>
  <c r="AX444" i="1" s="1"/>
  <c r="AX445" i="1" s="1"/>
  <c r="AX446" i="1" s="1"/>
  <c r="AX447" i="1" s="1"/>
  <c r="AX448" i="1" s="1"/>
  <c r="AX449" i="1" s="1"/>
  <c r="AX450" i="1" s="1"/>
  <c r="AX451" i="1" s="1"/>
  <c r="AX452" i="1" s="1"/>
  <c r="AX453" i="1" s="1"/>
  <c r="AX454" i="1" s="1"/>
  <c r="AX455" i="1" s="1"/>
  <c r="AX456" i="1" s="1"/>
  <c r="AX457" i="1" s="1"/>
  <c r="AX458" i="1" s="1"/>
  <c r="AX459" i="1" s="1"/>
  <c r="AX460" i="1" s="1"/>
  <c r="AX461" i="1" s="1"/>
  <c r="AX462" i="1" s="1"/>
  <c r="AX463" i="1" s="1"/>
  <c r="AX464" i="1" s="1"/>
  <c r="AX465" i="1" s="1"/>
  <c r="AX466" i="1" s="1"/>
  <c r="AX467" i="1" s="1"/>
  <c r="AX468" i="1" s="1"/>
  <c r="AX469" i="1" s="1"/>
  <c r="AX470" i="1" s="1"/>
  <c r="AX471" i="1" s="1"/>
  <c r="AX472" i="1" s="1"/>
  <c r="AX473" i="1" s="1"/>
  <c r="AX474" i="1" s="1"/>
  <c r="AX475" i="1" s="1"/>
  <c r="AX476" i="1" s="1"/>
  <c r="AX477" i="1" s="1"/>
  <c r="AX478" i="1" s="1"/>
  <c r="AX479" i="1" s="1"/>
  <c r="AX480" i="1" s="1"/>
  <c r="AX481" i="1" s="1"/>
  <c r="AX482" i="1" s="1"/>
  <c r="AX483" i="1" s="1"/>
  <c r="AX484" i="1" s="1"/>
  <c r="AX485" i="1" s="1"/>
  <c r="AX486" i="1" s="1"/>
  <c r="AX487" i="1" s="1"/>
  <c r="AX488" i="1" s="1"/>
  <c r="AX489" i="1" s="1"/>
  <c r="AX490" i="1" s="1"/>
  <c r="AX491" i="1" s="1"/>
  <c r="AX492" i="1" s="1"/>
  <c r="AX493" i="1" s="1"/>
  <c r="AX494" i="1" s="1"/>
  <c r="AX495" i="1" s="1"/>
  <c r="AX496" i="1" s="1"/>
  <c r="AX497" i="1" s="1"/>
  <c r="AX498" i="1" s="1"/>
  <c r="AX499" i="1" s="1"/>
  <c r="AX500" i="1" s="1"/>
  <c r="AX501" i="1" s="1"/>
  <c r="AX502" i="1" s="1"/>
  <c r="AX503" i="1" s="1"/>
  <c r="AX504" i="1" s="1"/>
  <c r="AX505" i="1" s="1"/>
  <c r="AX506" i="1" s="1"/>
  <c r="AX507" i="1" s="1"/>
  <c r="AX508" i="1" s="1"/>
  <c r="AX509" i="1" s="1"/>
  <c r="AX510" i="1" s="1"/>
  <c r="AX511" i="1" s="1"/>
  <c r="AX512" i="1" s="1"/>
  <c r="AX513" i="1" s="1"/>
  <c r="AX514" i="1" s="1"/>
  <c r="AX515" i="1" s="1"/>
  <c r="AX516" i="1" s="1"/>
  <c r="AX517" i="1" s="1"/>
  <c r="AX518" i="1" s="1"/>
  <c r="AX519" i="1" s="1"/>
  <c r="AX520" i="1" s="1"/>
  <c r="AX521" i="1" s="1"/>
  <c r="AX522" i="1" s="1"/>
  <c r="AX523" i="1" s="1"/>
  <c r="AX524" i="1" s="1"/>
  <c r="AX525" i="1" s="1"/>
  <c r="AX526" i="1" s="1"/>
  <c r="AX527" i="1" s="1"/>
  <c r="AX528" i="1" s="1"/>
  <c r="AX529" i="1" s="1"/>
  <c r="AX530" i="1" s="1"/>
  <c r="AX531" i="1" s="1"/>
  <c r="AX532" i="1" s="1"/>
  <c r="AX533" i="1" s="1"/>
  <c r="AX534" i="1" s="1"/>
  <c r="AX535" i="1" s="1"/>
  <c r="AX536" i="1" s="1"/>
  <c r="AX537" i="1" s="1"/>
  <c r="AX538" i="1" s="1"/>
  <c r="AX539" i="1" s="1"/>
  <c r="AX540" i="1" s="1"/>
  <c r="AX541" i="1" s="1"/>
  <c r="AX542" i="1" s="1"/>
  <c r="AX543" i="1" s="1"/>
  <c r="AX544" i="1" s="1"/>
  <c r="AX545" i="1" s="1"/>
  <c r="AX546" i="1" s="1"/>
  <c r="AX547" i="1" s="1"/>
  <c r="AX548" i="1" s="1"/>
  <c r="AX549" i="1" s="1"/>
  <c r="AX550" i="1" s="1"/>
  <c r="AX551" i="1" s="1"/>
  <c r="AX552" i="1" s="1"/>
  <c r="AX553" i="1" s="1"/>
  <c r="AX554" i="1" s="1"/>
  <c r="AX555" i="1" s="1"/>
  <c r="AX556" i="1" s="1"/>
  <c r="AX557" i="1" s="1"/>
  <c r="AX558" i="1" s="1"/>
  <c r="AX559" i="1" s="1"/>
  <c r="AX560" i="1" s="1"/>
  <c r="AX561" i="1" s="1"/>
  <c r="AX562" i="1" s="1"/>
  <c r="AX563" i="1" s="1"/>
  <c r="AX564" i="1" s="1"/>
  <c r="AX565" i="1" s="1"/>
  <c r="AX566" i="1" s="1"/>
  <c r="AX567" i="1" s="1"/>
  <c r="AX568" i="1" s="1"/>
  <c r="AX569" i="1" s="1"/>
  <c r="AX570" i="1" s="1"/>
  <c r="AX571" i="1" s="1"/>
  <c r="AX572" i="1" s="1"/>
  <c r="AX573" i="1" s="1"/>
  <c r="AX574" i="1" s="1"/>
  <c r="AX575" i="1" s="1"/>
  <c r="AX576" i="1" s="1"/>
  <c r="AX577" i="1" s="1"/>
  <c r="AX578" i="1" s="1"/>
  <c r="AX579" i="1" s="1"/>
  <c r="AX580" i="1" s="1"/>
  <c r="AX581" i="1" s="1"/>
  <c r="AX582" i="1" s="1"/>
  <c r="AX583" i="1" s="1"/>
  <c r="AX584" i="1" s="1"/>
  <c r="AX585" i="1" s="1"/>
  <c r="AX586" i="1" s="1"/>
  <c r="AX587" i="1" s="1"/>
  <c r="AX588" i="1" s="1"/>
  <c r="AX589" i="1" s="1"/>
  <c r="AX590" i="1" s="1"/>
  <c r="AX591" i="1" s="1"/>
  <c r="AX592" i="1" s="1"/>
  <c r="AX593" i="1" s="1"/>
  <c r="AX594" i="1" s="1"/>
  <c r="AX595" i="1" s="1"/>
  <c r="AX596" i="1" s="1"/>
  <c r="AX597" i="1" s="1"/>
  <c r="AX598" i="1" s="1"/>
  <c r="AX599" i="1" s="1"/>
  <c r="AX600" i="1" s="1"/>
  <c r="AX601" i="1" s="1"/>
  <c r="AX602" i="1" s="1"/>
  <c r="AX603" i="1" s="1"/>
  <c r="AX604" i="1" s="1"/>
  <c r="AX605" i="1" s="1"/>
  <c r="AX606" i="1" s="1"/>
  <c r="AX607" i="1" s="1"/>
  <c r="AX608" i="1" s="1"/>
  <c r="AX609" i="1" s="1"/>
  <c r="AX610" i="1" s="1"/>
  <c r="AX611" i="1" s="1"/>
  <c r="AX612" i="1" s="1"/>
  <c r="AX613" i="1" s="1"/>
  <c r="AX614" i="1" s="1"/>
  <c r="AX615" i="1" s="1"/>
  <c r="AX616" i="1" s="1"/>
  <c r="AX617" i="1" s="1"/>
  <c r="AX618" i="1" s="1"/>
  <c r="AX619" i="1" s="1"/>
  <c r="AX620" i="1" s="1"/>
  <c r="AX621" i="1" s="1"/>
  <c r="AX622" i="1" s="1"/>
  <c r="AX623" i="1" s="1"/>
  <c r="AX624" i="1" s="1"/>
  <c r="AX625" i="1" s="1"/>
  <c r="AX626" i="1" s="1"/>
  <c r="AX627" i="1" s="1"/>
  <c r="AX628" i="1" s="1"/>
  <c r="AX629" i="1" s="1"/>
  <c r="AX630" i="1" s="1"/>
  <c r="AX631" i="1" s="1"/>
  <c r="AX632" i="1" s="1"/>
  <c r="AX633" i="1" s="1"/>
  <c r="AX634" i="1" s="1"/>
  <c r="AX635" i="1" s="1"/>
  <c r="AX636" i="1" s="1"/>
  <c r="AX637" i="1" s="1"/>
  <c r="AX638" i="1" s="1"/>
  <c r="AX639" i="1" s="1"/>
  <c r="AX640" i="1" s="1"/>
  <c r="AX641" i="1" s="1"/>
  <c r="AX642" i="1" s="1"/>
  <c r="AX643" i="1" s="1"/>
  <c r="AX644" i="1" s="1"/>
  <c r="AX645" i="1" s="1"/>
  <c r="AX646" i="1" s="1"/>
  <c r="AX647" i="1" s="1"/>
  <c r="AX648" i="1" s="1"/>
  <c r="AX649" i="1" s="1"/>
  <c r="AX650" i="1" s="1"/>
  <c r="AX651" i="1" s="1"/>
  <c r="AX652" i="1" s="1"/>
  <c r="AX653" i="1" s="1"/>
  <c r="AX654" i="1" s="1"/>
  <c r="AX655" i="1" s="1"/>
  <c r="AX656" i="1" s="1"/>
  <c r="AX657" i="1" s="1"/>
  <c r="AX658" i="1" s="1"/>
  <c r="AX659" i="1" s="1"/>
  <c r="AX660" i="1" s="1"/>
  <c r="AX661" i="1" s="1"/>
  <c r="AX662" i="1" s="1"/>
  <c r="AX663" i="1" s="1"/>
  <c r="AX664" i="1" s="1"/>
  <c r="AX665" i="1" s="1"/>
  <c r="AX666" i="1" s="1"/>
  <c r="AX667" i="1" s="1"/>
  <c r="AX668" i="1" s="1"/>
  <c r="AX669" i="1" s="1"/>
  <c r="AX670" i="1" s="1"/>
  <c r="AX671" i="1" s="1"/>
  <c r="AX672" i="1" s="1"/>
  <c r="AX673" i="1" s="1"/>
  <c r="AX674" i="1" s="1"/>
  <c r="AX675" i="1" s="1"/>
  <c r="AX676" i="1" s="1"/>
  <c r="AX677" i="1" s="1"/>
  <c r="AX678" i="1" s="1"/>
  <c r="AX679" i="1" s="1"/>
  <c r="AX680" i="1" s="1"/>
  <c r="AX681" i="1" s="1"/>
  <c r="AX682" i="1" s="1"/>
  <c r="AX683" i="1" s="1"/>
  <c r="AX684" i="1" s="1"/>
  <c r="AX685" i="1" s="1"/>
  <c r="AX686" i="1" s="1"/>
  <c r="AX687" i="1" s="1"/>
  <c r="AX688" i="1" s="1"/>
  <c r="AX689" i="1" s="1"/>
  <c r="AX690" i="1" s="1"/>
  <c r="AX691" i="1" s="1"/>
  <c r="AX692" i="1" s="1"/>
  <c r="AX693" i="1" s="1"/>
  <c r="AX694" i="1" s="1"/>
  <c r="AX695" i="1" s="1"/>
  <c r="AX696" i="1" s="1"/>
  <c r="AX697" i="1" s="1"/>
  <c r="AX698" i="1" s="1"/>
  <c r="AX699" i="1" s="1"/>
  <c r="AX700" i="1" s="1"/>
  <c r="AX701" i="1" s="1"/>
  <c r="AX702" i="1" s="1"/>
  <c r="AX703" i="1" s="1"/>
  <c r="AX704" i="1" s="1"/>
  <c r="AX705" i="1" s="1"/>
  <c r="AX706" i="1" s="1"/>
  <c r="AX707" i="1" s="1"/>
  <c r="AX708" i="1" s="1"/>
  <c r="AX709" i="1" s="1"/>
  <c r="AX710" i="1" s="1"/>
  <c r="AX711" i="1" s="1"/>
  <c r="AX712" i="1" s="1"/>
  <c r="AX713" i="1" s="1"/>
  <c r="AX714" i="1" s="1"/>
  <c r="AX715" i="1" s="1"/>
  <c r="AX716" i="1" s="1"/>
  <c r="AX717" i="1" s="1"/>
  <c r="AX718" i="1" s="1"/>
  <c r="AX719" i="1" s="1"/>
  <c r="AX720" i="1" s="1"/>
  <c r="AX721" i="1" s="1"/>
  <c r="AX722" i="1" s="1"/>
  <c r="AX723" i="1" s="1"/>
  <c r="AX724" i="1" s="1"/>
  <c r="AX725" i="1" s="1"/>
  <c r="AX726" i="1" s="1"/>
  <c r="AX727" i="1" s="1"/>
  <c r="AX728" i="1" s="1"/>
  <c r="AX729" i="1" s="1"/>
  <c r="AX730" i="1" s="1"/>
  <c r="AX731" i="1" s="1"/>
  <c r="AX732" i="1" s="1"/>
  <c r="AX733" i="1" s="1"/>
  <c r="AX734" i="1" s="1"/>
  <c r="AX735" i="1" s="1"/>
  <c r="AX736" i="1" s="1"/>
  <c r="AX737" i="1" s="1"/>
  <c r="AX738" i="1" s="1"/>
  <c r="AX739" i="1" s="1"/>
  <c r="AX740" i="1" s="1"/>
  <c r="AX741" i="1" s="1"/>
  <c r="AX742" i="1" s="1"/>
  <c r="AX743" i="1" s="1"/>
  <c r="AX744" i="1" s="1"/>
  <c r="AX745" i="1" s="1"/>
  <c r="AX746" i="1" s="1"/>
  <c r="AX747" i="1" s="1"/>
  <c r="AX748" i="1" s="1"/>
  <c r="AX749" i="1" s="1"/>
  <c r="AX750" i="1" s="1"/>
  <c r="AX751" i="1" s="1"/>
  <c r="AX752" i="1" s="1"/>
  <c r="AX753" i="1" s="1"/>
  <c r="AX754" i="1" s="1"/>
  <c r="AX755" i="1" s="1"/>
  <c r="AX756" i="1" s="1"/>
  <c r="AX757" i="1" s="1"/>
  <c r="AX758" i="1" s="1"/>
  <c r="AX759" i="1" s="1"/>
  <c r="AX760" i="1" s="1"/>
  <c r="AX761" i="1" s="1"/>
  <c r="AX762" i="1" s="1"/>
  <c r="AX763" i="1" s="1"/>
  <c r="AX764" i="1" s="1"/>
  <c r="AX765" i="1" s="1"/>
  <c r="AX766" i="1" s="1"/>
  <c r="AX767" i="1" s="1"/>
  <c r="AX768" i="1" s="1"/>
  <c r="AX769" i="1" s="1"/>
  <c r="AX770" i="1" s="1"/>
  <c r="AX771" i="1" s="1"/>
  <c r="AX772" i="1" s="1"/>
  <c r="AX773" i="1" s="1"/>
  <c r="AX774" i="1" s="1"/>
  <c r="AX775" i="1" s="1"/>
  <c r="AX776" i="1" s="1"/>
  <c r="AX777" i="1" s="1"/>
  <c r="AX778" i="1" s="1"/>
  <c r="AX779" i="1" s="1"/>
  <c r="AX780" i="1" s="1"/>
  <c r="AX781" i="1" s="1"/>
  <c r="AX782" i="1" s="1"/>
  <c r="AX783" i="1" s="1"/>
  <c r="AX784" i="1" s="1"/>
  <c r="AX785" i="1" s="1"/>
  <c r="AX786" i="1" s="1"/>
  <c r="AX787" i="1" s="1"/>
  <c r="AX788" i="1" s="1"/>
  <c r="AX789" i="1" s="1"/>
  <c r="AX790" i="1" s="1"/>
  <c r="AX791" i="1" s="1"/>
  <c r="AX792" i="1" s="1"/>
  <c r="AX793" i="1" s="1"/>
  <c r="AX794" i="1" s="1"/>
  <c r="AX795" i="1" s="1"/>
  <c r="AX796" i="1" s="1"/>
  <c r="AX797" i="1" s="1"/>
  <c r="AX798" i="1" s="1"/>
  <c r="AX799" i="1" s="1"/>
  <c r="AX800" i="1" s="1"/>
  <c r="AX801" i="1" s="1"/>
  <c r="AX802" i="1" s="1"/>
  <c r="AX803" i="1" s="1"/>
  <c r="AX804" i="1" s="1"/>
  <c r="AX805" i="1" s="1"/>
  <c r="AX806" i="1" s="1"/>
  <c r="AX807" i="1" s="1"/>
  <c r="AX808" i="1" s="1"/>
  <c r="AX809" i="1" s="1"/>
  <c r="AX810" i="1" s="1"/>
  <c r="AX811" i="1" s="1"/>
  <c r="AX812" i="1" s="1"/>
  <c r="AX813" i="1" s="1"/>
  <c r="AX814" i="1" s="1"/>
  <c r="AX815" i="1" s="1"/>
  <c r="AX816" i="1" s="1"/>
  <c r="AX817" i="1" s="1"/>
  <c r="AX818" i="1" s="1"/>
  <c r="AX819" i="1" s="1"/>
  <c r="AX820" i="1" s="1"/>
  <c r="AX821" i="1" s="1"/>
  <c r="AX822" i="1" s="1"/>
  <c r="AX823" i="1" s="1"/>
  <c r="AX824" i="1" s="1"/>
  <c r="AX825" i="1" s="1"/>
  <c r="AX826" i="1" s="1"/>
  <c r="AX827" i="1" s="1"/>
  <c r="AX828" i="1" s="1"/>
  <c r="AX829" i="1" s="1"/>
  <c r="AX830" i="1" s="1"/>
  <c r="AX831" i="1" s="1"/>
  <c r="AX832" i="1" s="1"/>
  <c r="AX833" i="1" s="1"/>
  <c r="AX834" i="1" s="1"/>
  <c r="AX835" i="1" s="1"/>
  <c r="AX836" i="1" s="1"/>
  <c r="AX837" i="1" s="1"/>
  <c r="AX838" i="1" s="1"/>
  <c r="AX839" i="1" s="1"/>
  <c r="AX840" i="1" s="1"/>
  <c r="AX841" i="1" s="1"/>
  <c r="AX842" i="1" s="1"/>
  <c r="AX843" i="1" s="1"/>
  <c r="AX844" i="1" s="1"/>
  <c r="AX845" i="1" s="1"/>
  <c r="AX846" i="1" s="1"/>
  <c r="AX847" i="1" s="1"/>
  <c r="AX848" i="1" s="1"/>
  <c r="AX849" i="1" s="1"/>
  <c r="AX850" i="1" s="1"/>
  <c r="AX851" i="1" s="1"/>
  <c r="AX852" i="1" s="1"/>
  <c r="AX853" i="1" s="1"/>
  <c r="AX854" i="1" s="1"/>
  <c r="AX855" i="1" s="1"/>
  <c r="AX856" i="1" s="1"/>
  <c r="AX857" i="1" s="1"/>
  <c r="AX858" i="1" s="1"/>
  <c r="AX859" i="1" s="1"/>
  <c r="AX860" i="1" s="1"/>
  <c r="AX861" i="1" s="1"/>
  <c r="AX862" i="1" s="1"/>
  <c r="AX863" i="1" s="1"/>
  <c r="AX864" i="1" s="1"/>
  <c r="AX865" i="1" s="1"/>
  <c r="AX866" i="1" s="1"/>
  <c r="AX867" i="1" s="1"/>
  <c r="AX868" i="1" s="1"/>
  <c r="AX869" i="1" s="1"/>
  <c r="AX870" i="1" s="1"/>
  <c r="AX871" i="1" s="1"/>
  <c r="AX872" i="1" s="1"/>
  <c r="AX873" i="1" s="1"/>
  <c r="AX874" i="1" s="1"/>
  <c r="AX875" i="1" s="1"/>
  <c r="AX876" i="1" s="1"/>
  <c r="AX877" i="1" s="1"/>
  <c r="AX878" i="1" s="1"/>
  <c r="AX879" i="1" s="1"/>
  <c r="AX880" i="1" s="1"/>
  <c r="AX881" i="1" s="1"/>
  <c r="AX882" i="1" s="1"/>
  <c r="AX883" i="1" s="1"/>
  <c r="AX884" i="1" s="1"/>
  <c r="AX885" i="1" s="1"/>
  <c r="AX886" i="1" s="1"/>
  <c r="AX887" i="1" s="1"/>
  <c r="AX888" i="1" s="1"/>
  <c r="AX889" i="1" s="1"/>
  <c r="AX890" i="1" s="1"/>
  <c r="AX891" i="1" s="1"/>
  <c r="AX892" i="1" s="1"/>
  <c r="AX893" i="1" s="1"/>
  <c r="AX894" i="1" s="1"/>
  <c r="AX895" i="1" s="1"/>
  <c r="AX896" i="1" s="1"/>
  <c r="AX897" i="1" s="1"/>
  <c r="AX898" i="1" s="1"/>
  <c r="AX899" i="1" s="1"/>
  <c r="AX900" i="1" s="1"/>
  <c r="AX901" i="1" s="1"/>
  <c r="AX902" i="1" s="1"/>
  <c r="AX903" i="1" s="1"/>
  <c r="AX904" i="1" s="1"/>
  <c r="AX905" i="1" s="1"/>
  <c r="AX906" i="1" s="1"/>
  <c r="AX907" i="1" s="1"/>
  <c r="AX908" i="1" s="1"/>
  <c r="AX909" i="1" s="1"/>
  <c r="AX910" i="1" s="1"/>
  <c r="AX911" i="1" s="1"/>
  <c r="AX912" i="1" s="1"/>
  <c r="AX913" i="1" s="1"/>
  <c r="AX914" i="1" s="1"/>
  <c r="AX915" i="1" s="1"/>
  <c r="AX916" i="1" s="1"/>
  <c r="AX917" i="1" s="1"/>
  <c r="AX918" i="1" s="1"/>
  <c r="AX919" i="1" s="1"/>
  <c r="AX920" i="1" s="1"/>
  <c r="AX921" i="1" s="1"/>
  <c r="AX922" i="1" s="1"/>
  <c r="AX923" i="1" s="1"/>
  <c r="AX924" i="1" s="1"/>
  <c r="AX925" i="1" s="1"/>
  <c r="AX926" i="1" s="1"/>
  <c r="AX927" i="1" s="1"/>
  <c r="AX928" i="1" s="1"/>
  <c r="AX929" i="1" s="1"/>
  <c r="AX930" i="1" s="1"/>
  <c r="AX931" i="1" s="1"/>
  <c r="AX932" i="1" s="1"/>
  <c r="AX933" i="1" s="1"/>
  <c r="AX934" i="1" s="1"/>
  <c r="AX935" i="1" s="1"/>
  <c r="AX936" i="1" s="1"/>
  <c r="AX937" i="1" s="1"/>
  <c r="AX938" i="1" s="1"/>
  <c r="AX939" i="1" s="1"/>
  <c r="AX940" i="1" s="1"/>
  <c r="AX941" i="1" s="1"/>
  <c r="AX942" i="1" s="1"/>
  <c r="AX943" i="1" s="1"/>
  <c r="AX944" i="1" s="1"/>
  <c r="AX945" i="1" s="1"/>
  <c r="AX946" i="1" s="1"/>
  <c r="AX947" i="1" s="1"/>
  <c r="AX948" i="1" s="1"/>
  <c r="AX949" i="1" s="1"/>
  <c r="AX950" i="1" s="1"/>
  <c r="AX951" i="1" s="1"/>
  <c r="AX952" i="1" s="1"/>
  <c r="AX953" i="1" s="1"/>
  <c r="AX954" i="1" s="1"/>
  <c r="AX955" i="1" s="1"/>
  <c r="AX956" i="1" s="1"/>
  <c r="AX957" i="1" s="1"/>
  <c r="AX958" i="1" s="1"/>
  <c r="AX959" i="1" s="1"/>
  <c r="AX960" i="1" s="1"/>
  <c r="AX961" i="1" s="1"/>
  <c r="AX962" i="1" s="1"/>
  <c r="AX963" i="1" s="1"/>
  <c r="AX964" i="1" s="1"/>
  <c r="AX965" i="1" s="1"/>
  <c r="AX966" i="1" s="1"/>
  <c r="AX967" i="1" s="1"/>
  <c r="AX968" i="1" s="1"/>
  <c r="AX969" i="1" s="1"/>
  <c r="AX970" i="1" s="1"/>
  <c r="AX971" i="1" s="1"/>
  <c r="AX972" i="1" s="1"/>
  <c r="AX973" i="1" s="1"/>
  <c r="AX974" i="1" s="1"/>
  <c r="AX975" i="1" s="1"/>
  <c r="AX976" i="1" s="1"/>
  <c r="AX977" i="1" s="1"/>
  <c r="AX978" i="1" s="1"/>
  <c r="AX979" i="1" s="1"/>
  <c r="AX980" i="1" s="1"/>
  <c r="AX981" i="1" s="1"/>
  <c r="AX982" i="1" s="1"/>
  <c r="AX983" i="1" s="1"/>
  <c r="AX984" i="1" s="1"/>
  <c r="AX985" i="1" s="1"/>
  <c r="AX986" i="1" s="1"/>
  <c r="AX987" i="1" s="1"/>
  <c r="AX988" i="1" s="1"/>
  <c r="AX989" i="1" s="1"/>
  <c r="AX990" i="1" s="1"/>
  <c r="AX991" i="1" s="1"/>
  <c r="AX992" i="1" s="1"/>
  <c r="AX993" i="1" s="1"/>
  <c r="AX994" i="1" s="1"/>
  <c r="AX995" i="1" s="1"/>
  <c r="AX996" i="1" s="1"/>
  <c r="AX997" i="1" s="1"/>
  <c r="AX998" i="1" s="1"/>
  <c r="AX999" i="1" s="1"/>
  <c r="AX1000" i="1" s="1"/>
  <c r="AX1001" i="1" s="1"/>
  <c r="AX1002" i="1" s="1"/>
  <c r="AX1003" i="1" s="1"/>
  <c r="AX1004" i="1" s="1"/>
  <c r="AX1005" i="1" s="1"/>
  <c r="AX1006" i="1" s="1"/>
  <c r="AX1007" i="1" s="1"/>
  <c r="AX1008" i="1" s="1"/>
  <c r="AX1009" i="1" s="1"/>
  <c r="AX1010" i="1" s="1"/>
  <c r="AX11" i="1"/>
  <c r="AX10" i="1"/>
  <c r="BK10" i="1"/>
  <c r="BG10" i="1" s="1"/>
  <c r="BV10" i="1"/>
  <c r="BQ10" i="1"/>
  <c r="BO10" i="1"/>
  <c r="BL10" i="1"/>
  <c r="BP10" i="1"/>
  <c r="BU10" i="1"/>
  <c r="BD10" i="1"/>
  <c r="BC10" i="1"/>
  <c r="BA10" i="1"/>
  <c r="AZ10" i="1"/>
  <c r="AL10" i="1"/>
  <c r="AL122" i="1"/>
  <c r="AM7" i="1" s="1"/>
  <c r="AL7" i="1" s="1"/>
  <c r="M39" i="1"/>
  <c r="M37" i="1"/>
  <c r="M38" i="1" s="1"/>
  <c r="M23" i="1"/>
  <c r="M31" i="1"/>
  <c r="M29" i="1"/>
  <c r="M30" i="1" s="1"/>
  <c r="M21" i="1"/>
  <c r="M22" i="1" s="1"/>
  <c r="BF10" i="1" l="1"/>
  <c r="AL11" i="1"/>
  <c r="AU10" i="1"/>
  <c r="AT10" i="1"/>
  <c r="AQ10" i="1"/>
  <c r="AN10" i="1"/>
  <c r="AR10" i="1"/>
  <c r="AO10" i="1"/>
  <c r="AU122" i="1"/>
  <c r="AT122" i="1"/>
  <c r="AR122" i="1"/>
  <c r="AQ122" i="1"/>
  <c r="AO122" i="1"/>
  <c r="AN122" i="1"/>
  <c r="BJ11" i="1" l="1"/>
  <c r="AU11" i="1"/>
  <c r="AT11" i="1"/>
  <c r="AR11" i="1"/>
  <c r="AQ11" i="1"/>
  <c r="AO11" i="1"/>
  <c r="AL12" i="1"/>
  <c r="AN11" i="1"/>
  <c r="BT11" i="1" l="1"/>
  <c r="BK11" i="1"/>
  <c r="BP11" i="1"/>
  <c r="BU11" i="1"/>
  <c r="BO11" i="1"/>
  <c r="AU12" i="1"/>
  <c r="AT12" i="1"/>
  <c r="AR12" i="1"/>
  <c r="AQ12" i="1"/>
  <c r="AO12" i="1"/>
  <c r="AN12" i="1"/>
  <c r="AL13" i="1"/>
  <c r="BG11" i="1" l="1"/>
  <c r="BF11" i="1"/>
  <c r="AQ13" i="1"/>
  <c r="AO13" i="1"/>
  <c r="AN13" i="1"/>
  <c r="AU13" i="1"/>
  <c r="AT13" i="1"/>
  <c r="AR13" i="1"/>
  <c r="AL14" i="1"/>
  <c r="AZ12" i="1" l="1"/>
  <c r="BJ12" i="1" s="1"/>
  <c r="BC12" i="1"/>
  <c r="AR14" i="1"/>
  <c r="AQ14" i="1"/>
  <c r="AO14" i="1"/>
  <c r="AN14" i="1"/>
  <c r="AU14" i="1"/>
  <c r="AT14" i="1"/>
  <c r="AL15" i="1"/>
  <c r="BK12" i="1" l="1"/>
  <c r="BU12" i="1"/>
  <c r="BO12" i="1"/>
  <c r="BT12" i="1"/>
  <c r="BP12" i="1"/>
  <c r="AL16" i="1"/>
  <c r="AR15" i="1"/>
  <c r="AQ15" i="1"/>
  <c r="AO15" i="1"/>
  <c r="AN15" i="1"/>
  <c r="AU15" i="1"/>
  <c r="AT15" i="1"/>
  <c r="BG12" i="1" l="1"/>
  <c r="BA13" i="1" s="1"/>
  <c r="BF12" i="1"/>
  <c r="AL17" i="1"/>
  <c r="AT16" i="1"/>
  <c r="AR16" i="1"/>
  <c r="AQ16" i="1"/>
  <c r="AO16" i="1"/>
  <c r="AN16" i="1"/>
  <c r="AU16" i="1"/>
  <c r="AZ13" i="1" l="1"/>
  <c r="BK13" i="1" s="1"/>
  <c r="BC13" i="1"/>
  <c r="AL18" i="1"/>
  <c r="AT17" i="1"/>
  <c r="AR17" i="1"/>
  <c r="AQ17" i="1"/>
  <c r="AO17" i="1"/>
  <c r="AN17" i="1"/>
  <c r="AU17" i="1"/>
  <c r="BT13" i="1" l="1"/>
  <c r="BP13" i="1"/>
  <c r="BO13" i="1"/>
  <c r="BJ13" i="1"/>
  <c r="BU13" i="1"/>
  <c r="AL19" i="1"/>
  <c r="AU18" i="1"/>
  <c r="AT18" i="1"/>
  <c r="AR18" i="1"/>
  <c r="AQ18" i="1"/>
  <c r="AO18" i="1"/>
  <c r="AN18" i="1"/>
  <c r="BF13" i="1" l="1"/>
  <c r="BG13" i="1"/>
  <c r="AL20" i="1"/>
  <c r="AU19" i="1"/>
  <c r="AT19" i="1"/>
  <c r="AR19" i="1"/>
  <c r="AQ19" i="1"/>
  <c r="AO19" i="1"/>
  <c r="AN19" i="1"/>
  <c r="BA14" i="1" l="1"/>
  <c r="BD14" i="1"/>
  <c r="AZ14" i="1"/>
  <c r="BJ14" i="1" s="1"/>
  <c r="BC14" i="1"/>
  <c r="AL21" i="1"/>
  <c r="AU20" i="1"/>
  <c r="AT20" i="1"/>
  <c r="AR20" i="1"/>
  <c r="AQ20" i="1"/>
  <c r="AO20" i="1"/>
  <c r="AN20" i="1"/>
  <c r="BK14" i="1" l="1"/>
  <c r="BU14" i="1"/>
  <c r="BP14" i="1"/>
  <c r="BO14" i="1"/>
  <c r="BT14" i="1"/>
  <c r="AL22" i="1"/>
  <c r="AQ21" i="1"/>
  <c r="AO21" i="1"/>
  <c r="AN21" i="1"/>
  <c r="AU21" i="1"/>
  <c r="AT21" i="1"/>
  <c r="AR21" i="1"/>
  <c r="BG14" i="1" l="1"/>
  <c r="BF14" i="1"/>
  <c r="AL23" i="1"/>
  <c r="AR22" i="1"/>
  <c r="AQ22" i="1"/>
  <c r="AO22" i="1"/>
  <c r="AN22" i="1"/>
  <c r="AU22" i="1"/>
  <c r="AT22" i="1"/>
  <c r="BA15" i="1" l="1"/>
  <c r="BD15" i="1"/>
  <c r="AZ15" i="1"/>
  <c r="BT15" i="1" s="1"/>
  <c r="BC15" i="1"/>
  <c r="AL24" i="1"/>
  <c r="AR23" i="1"/>
  <c r="AQ23" i="1"/>
  <c r="AO23" i="1"/>
  <c r="AN23" i="1"/>
  <c r="AU23" i="1"/>
  <c r="AT23" i="1"/>
  <c r="BK15" i="1" l="1"/>
  <c r="BU15" i="1"/>
  <c r="BP15" i="1"/>
  <c r="BJ15" i="1"/>
  <c r="BO15" i="1"/>
  <c r="AL25" i="1"/>
  <c r="AT24" i="1"/>
  <c r="AR24" i="1"/>
  <c r="AQ24" i="1"/>
  <c r="AO24" i="1"/>
  <c r="AN24" i="1"/>
  <c r="AU24" i="1"/>
  <c r="BG15" i="1" l="1"/>
  <c r="BF15" i="1"/>
  <c r="AZ16" i="1" s="1"/>
  <c r="AL26" i="1"/>
  <c r="AT25" i="1"/>
  <c r="AR25" i="1"/>
  <c r="AQ25" i="1"/>
  <c r="AO25" i="1"/>
  <c r="AN25" i="1"/>
  <c r="AU25" i="1"/>
  <c r="BA16" i="1" l="1"/>
  <c r="BD16" i="1"/>
  <c r="BC16" i="1"/>
  <c r="BP16" i="1"/>
  <c r="BU16" i="1"/>
  <c r="BK16" i="1"/>
  <c r="BJ16" i="1"/>
  <c r="BT16" i="1"/>
  <c r="BO16" i="1"/>
  <c r="AL27" i="1"/>
  <c r="AU26" i="1"/>
  <c r="AT26" i="1"/>
  <c r="AR26" i="1"/>
  <c r="AQ26" i="1"/>
  <c r="AO26" i="1"/>
  <c r="AN26" i="1"/>
  <c r="BF16" i="1" l="1"/>
  <c r="BG16" i="1"/>
  <c r="BA17" i="1" s="1"/>
  <c r="AL28" i="1"/>
  <c r="AU27" i="1"/>
  <c r="AT27" i="1"/>
  <c r="AR27" i="1"/>
  <c r="AQ27" i="1"/>
  <c r="AO27" i="1"/>
  <c r="AN27" i="1"/>
  <c r="BD17" i="1" l="1"/>
  <c r="AZ17" i="1"/>
  <c r="BU17" i="1" s="1"/>
  <c r="BC17" i="1"/>
  <c r="AL29" i="1"/>
  <c r="AU28" i="1"/>
  <c r="AT28" i="1"/>
  <c r="AR28" i="1"/>
  <c r="AQ28" i="1"/>
  <c r="AO28" i="1"/>
  <c r="AN28" i="1"/>
  <c r="BO17" i="1" l="1"/>
  <c r="BP17" i="1"/>
  <c r="BT17" i="1"/>
  <c r="BJ17" i="1"/>
  <c r="BF17" i="1" s="1"/>
  <c r="AZ18" i="1" s="1"/>
  <c r="BK17" i="1"/>
  <c r="BG17" i="1" s="1"/>
  <c r="BA18" i="1" s="1"/>
  <c r="AL30" i="1"/>
  <c r="AQ29" i="1"/>
  <c r="AO29" i="1"/>
  <c r="AN29" i="1"/>
  <c r="AU29" i="1"/>
  <c r="AT29" i="1"/>
  <c r="AR29" i="1"/>
  <c r="BD18" i="1" l="1"/>
  <c r="BC18" i="1"/>
  <c r="BJ18" i="1"/>
  <c r="BT18" i="1"/>
  <c r="BO18" i="1"/>
  <c r="BU18" i="1"/>
  <c r="BK18" i="1"/>
  <c r="BP18" i="1"/>
  <c r="AL31" i="1"/>
  <c r="AR30" i="1"/>
  <c r="AQ30" i="1"/>
  <c r="AO30" i="1"/>
  <c r="AN30" i="1"/>
  <c r="AU30" i="1"/>
  <c r="AT30" i="1"/>
  <c r="BF18" i="1" l="1"/>
  <c r="AZ19" i="1" s="1"/>
  <c r="BG18" i="1"/>
  <c r="BA19" i="1" s="1"/>
  <c r="AL32" i="1"/>
  <c r="AR31" i="1"/>
  <c r="AQ31" i="1"/>
  <c r="AO31" i="1"/>
  <c r="AN31" i="1"/>
  <c r="AU31" i="1"/>
  <c r="AT31" i="1"/>
  <c r="BD19" i="1" l="1"/>
  <c r="BC19" i="1"/>
  <c r="BJ19" i="1"/>
  <c r="AL33" i="1"/>
  <c r="AT32" i="1"/>
  <c r="AR32" i="1"/>
  <c r="AQ32" i="1"/>
  <c r="AO32" i="1"/>
  <c r="AN32" i="1"/>
  <c r="AU32" i="1"/>
  <c r="BP19" i="1" l="1"/>
  <c r="BK19" i="1"/>
  <c r="BU19" i="1"/>
  <c r="BT19" i="1"/>
  <c r="BO19" i="1"/>
  <c r="AL34" i="1"/>
  <c r="AT33" i="1"/>
  <c r="AR33" i="1"/>
  <c r="AQ33" i="1"/>
  <c r="AO33" i="1"/>
  <c r="AN33" i="1"/>
  <c r="AU33" i="1"/>
  <c r="BF19" i="1" l="1"/>
  <c r="BG19" i="1"/>
  <c r="AL35" i="1"/>
  <c r="AU34" i="1"/>
  <c r="AT34" i="1"/>
  <c r="AR34" i="1"/>
  <c r="AQ34" i="1"/>
  <c r="AO34" i="1"/>
  <c r="AN34" i="1"/>
  <c r="BA20" i="1" l="1"/>
  <c r="BD20" i="1"/>
  <c r="AZ20" i="1"/>
  <c r="BC20" i="1"/>
  <c r="AL36" i="1"/>
  <c r="AU35" i="1"/>
  <c r="AT35" i="1"/>
  <c r="AR35" i="1"/>
  <c r="AQ35" i="1"/>
  <c r="AO35" i="1"/>
  <c r="AN35" i="1"/>
  <c r="BJ20" i="1" l="1"/>
  <c r="BP20" i="1"/>
  <c r="BU20" i="1"/>
  <c r="BK20" i="1"/>
  <c r="BO20" i="1"/>
  <c r="BT20" i="1"/>
  <c r="AL37" i="1"/>
  <c r="AU36" i="1"/>
  <c r="AT36" i="1"/>
  <c r="AR36" i="1"/>
  <c r="AQ36" i="1"/>
  <c r="AO36" i="1"/>
  <c r="AN36" i="1"/>
  <c r="BG20" i="1" l="1"/>
  <c r="BF20" i="1"/>
  <c r="AL38" i="1"/>
  <c r="AQ37" i="1"/>
  <c r="AO37" i="1"/>
  <c r="AN37" i="1"/>
  <c r="AU37" i="1"/>
  <c r="AT37" i="1"/>
  <c r="AR37" i="1"/>
  <c r="BA21" i="1" l="1"/>
  <c r="BD21" i="1"/>
  <c r="AZ21" i="1"/>
  <c r="BC21" i="1"/>
  <c r="AL39" i="1"/>
  <c r="AR38" i="1"/>
  <c r="AQ38" i="1"/>
  <c r="AO38" i="1"/>
  <c r="AN38" i="1"/>
  <c r="AU38" i="1"/>
  <c r="AT38" i="1"/>
  <c r="BJ21" i="1" l="1"/>
  <c r="BT21" i="1"/>
  <c r="BO21" i="1"/>
  <c r="BU21" i="1"/>
  <c r="BP21" i="1"/>
  <c r="BK21" i="1"/>
  <c r="AL40" i="1"/>
  <c r="AR39" i="1"/>
  <c r="AQ39" i="1"/>
  <c r="AO39" i="1"/>
  <c r="AN39" i="1"/>
  <c r="AU39" i="1"/>
  <c r="AT39" i="1"/>
  <c r="BF21" i="1" l="1"/>
  <c r="BG21" i="1"/>
  <c r="AL41" i="1"/>
  <c r="AT40" i="1"/>
  <c r="AR40" i="1"/>
  <c r="AQ40" i="1"/>
  <c r="AO40" i="1"/>
  <c r="AN40" i="1"/>
  <c r="AU40" i="1"/>
  <c r="BA22" i="1" l="1"/>
  <c r="BD22" i="1"/>
  <c r="AZ22" i="1"/>
  <c r="BJ22" i="1" s="1"/>
  <c r="BC22" i="1"/>
  <c r="AL42" i="1"/>
  <c r="AT41" i="1"/>
  <c r="AR41" i="1"/>
  <c r="AQ41" i="1"/>
  <c r="AO41" i="1"/>
  <c r="AN41" i="1"/>
  <c r="AU41" i="1"/>
  <c r="BO22" i="1" l="1"/>
  <c r="BU22" i="1"/>
  <c r="BP22" i="1"/>
  <c r="BK22" i="1"/>
  <c r="BT22" i="1"/>
  <c r="AL43" i="1"/>
  <c r="AU42" i="1"/>
  <c r="AT42" i="1"/>
  <c r="AR42" i="1"/>
  <c r="AQ42" i="1"/>
  <c r="AO42" i="1"/>
  <c r="AN42" i="1"/>
  <c r="BF22" i="1" l="1"/>
  <c r="BG22" i="1"/>
  <c r="AL44" i="1"/>
  <c r="AU43" i="1"/>
  <c r="AT43" i="1"/>
  <c r="AR43" i="1"/>
  <c r="AQ43" i="1"/>
  <c r="AO43" i="1"/>
  <c r="AN43" i="1"/>
  <c r="BA23" i="1" l="1"/>
  <c r="BD23" i="1"/>
  <c r="AZ23" i="1"/>
  <c r="BC23" i="1"/>
  <c r="AL45" i="1"/>
  <c r="AU44" i="1"/>
  <c r="AT44" i="1"/>
  <c r="AR44" i="1"/>
  <c r="AQ44" i="1"/>
  <c r="AO44" i="1"/>
  <c r="AN44" i="1"/>
  <c r="BU23" i="1" l="1"/>
  <c r="BJ23" i="1"/>
  <c r="BO23" i="1"/>
  <c r="BT23" i="1"/>
  <c r="BK23" i="1"/>
  <c r="BP23" i="1"/>
  <c r="AL46" i="1"/>
  <c r="AQ45" i="1"/>
  <c r="AO45" i="1"/>
  <c r="AN45" i="1"/>
  <c r="AU45" i="1"/>
  <c r="AT45" i="1"/>
  <c r="AR45" i="1"/>
  <c r="BF23" i="1" l="1"/>
  <c r="BG23" i="1"/>
  <c r="AL47" i="1"/>
  <c r="AR46" i="1"/>
  <c r="AQ46" i="1"/>
  <c r="AO46" i="1"/>
  <c r="AN46" i="1"/>
  <c r="AU46" i="1"/>
  <c r="AT46" i="1"/>
  <c r="BA24" i="1" l="1"/>
  <c r="BD24" i="1"/>
  <c r="AZ24" i="1"/>
  <c r="BC24" i="1"/>
  <c r="AL48" i="1"/>
  <c r="AR47" i="1"/>
  <c r="AQ47" i="1"/>
  <c r="AO47" i="1"/>
  <c r="AU47" i="1"/>
  <c r="AT47" i="1"/>
  <c r="AN47" i="1"/>
  <c r="BP24" i="1" l="1"/>
  <c r="BJ24" i="1"/>
  <c r="BU24" i="1"/>
  <c r="BO24" i="1"/>
  <c r="BT24" i="1"/>
  <c r="BK24" i="1"/>
  <c r="AL49" i="1"/>
  <c r="AT48" i="1"/>
  <c r="AR48" i="1"/>
  <c r="AQ48" i="1"/>
  <c r="AO48" i="1"/>
  <c r="AU48" i="1"/>
  <c r="AN48" i="1"/>
  <c r="BF24" i="1" l="1"/>
  <c r="BG24" i="1"/>
  <c r="AL50" i="1"/>
  <c r="AT49" i="1"/>
  <c r="AR49" i="1"/>
  <c r="AQ49" i="1"/>
  <c r="AO49" i="1"/>
  <c r="AU49" i="1"/>
  <c r="AN49" i="1"/>
  <c r="BA25" i="1" l="1"/>
  <c r="BD25" i="1"/>
  <c r="AZ25" i="1"/>
  <c r="BC25" i="1"/>
  <c r="AL51" i="1"/>
  <c r="AU50" i="1"/>
  <c r="AT50" i="1"/>
  <c r="AR50" i="1"/>
  <c r="AQ50" i="1"/>
  <c r="AO50" i="1"/>
  <c r="AN50" i="1"/>
  <c r="BJ25" i="1" l="1"/>
  <c r="BO25" i="1"/>
  <c r="BU25" i="1"/>
  <c r="BK25" i="1"/>
  <c r="BP25" i="1"/>
  <c r="BT25" i="1"/>
  <c r="AL52" i="1"/>
  <c r="AU51" i="1"/>
  <c r="AT51" i="1"/>
  <c r="AR51" i="1"/>
  <c r="AQ51" i="1"/>
  <c r="AO51" i="1"/>
  <c r="AN51" i="1"/>
  <c r="BF25" i="1" l="1"/>
  <c r="BG25" i="1"/>
  <c r="AL53" i="1"/>
  <c r="AU52" i="1"/>
  <c r="AT52" i="1"/>
  <c r="AR52" i="1"/>
  <c r="AQ52" i="1"/>
  <c r="AO52" i="1"/>
  <c r="AN52" i="1"/>
  <c r="BA26" i="1" l="1"/>
  <c r="BD26" i="1"/>
  <c r="AZ26" i="1"/>
  <c r="BC26" i="1"/>
  <c r="AL54" i="1"/>
  <c r="AQ53" i="1"/>
  <c r="AO53" i="1"/>
  <c r="AN53" i="1"/>
  <c r="AU53" i="1"/>
  <c r="AT53" i="1"/>
  <c r="AR53" i="1"/>
  <c r="BJ26" i="1" l="1"/>
  <c r="BT26" i="1"/>
  <c r="BP26" i="1"/>
  <c r="BK26" i="1"/>
  <c r="BU26" i="1"/>
  <c r="BO26" i="1"/>
  <c r="AL55" i="1"/>
  <c r="AR54" i="1"/>
  <c r="AQ54" i="1"/>
  <c r="AO54" i="1"/>
  <c r="AN54" i="1"/>
  <c r="AU54" i="1"/>
  <c r="AT54" i="1"/>
  <c r="BG26" i="1" l="1"/>
  <c r="BF26" i="1"/>
  <c r="AL56" i="1"/>
  <c r="AR55" i="1"/>
  <c r="AQ55" i="1"/>
  <c r="AO55" i="1"/>
  <c r="AU55" i="1"/>
  <c r="AT55" i="1"/>
  <c r="AN55" i="1"/>
  <c r="BA27" i="1" l="1"/>
  <c r="BD27" i="1"/>
  <c r="AZ27" i="1"/>
  <c r="BJ27" i="1" s="1"/>
  <c r="BC27" i="1"/>
  <c r="AL57" i="1"/>
  <c r="AT56" i="1"/>
  <c r="AR56" i="1"/>
  <c r="AQ56" i="1"/>
  <c r="AO56" i="1"/>
  <c r="AU56" i="1"/>
  <c r="AN56" i="1"/>
  <c r="BU27" i="1" l="1"/>
  <c r="BP27" i="1"/>
  <c r="BK27" i="1"/>
  <c r="BT27" i="1"/>
  <c r="BO27" i="1"/>
  <c r="AL58" i="1"/>
  <c r="AT57" i="1"/>
  <c r="AR57" i="1"/>
  <c r="AQ57" i="1"/>
  <c r="AO57" i="1"/>
  <c r="AU57" i="1"/>
  <c r="AN57" i="1"/>
  <c r="BF27" i="1" l="1"/>
  <c r="BG27" i="1"/>
  <c r="AL59" i="1"/>
  <c r="AU58" i="1"/>
  <c r="AT58" i="1"/>
  <c r="AR58" i="1"/>
  <c r="AQ58" i="1"/>
  <c r="AO58" i="1"/>
  <c r="AN58" i="1"/>
  <c r="BA28" i="1" l="1"/>
  <c r="BD28" i="1"/>
  <c r="AZ28" i="1"/>
  <c r="BC28" i="1"/>
  <c r="AL60" i="1"/>
  <c r="AU59" i="1"/>
  <c r="AT59" i="1"/>
  <c r="AR59" i="1"/>
  <c r="AQ59" i="1"/>
  <c r="AO59" i="1"/>
  <c r="AN59" i="1"/>
  <c r="BJ28" i="1" l="1"/>
  <c r="BU28" i="1"/>
  <c r="BT28" i="1"/>
  <c r="BO28" i="1"/>
  <c r="BK28" i="1"/>
  <c r="BP28" i="1"/>
  <c r="AL61" i="1"/>
  <c r="AU60" i="1"/>
  <c r="AT60" i="1"/>
  <c r="AR60" i="1"/>
  <c r="AQ60" i="1"/>
  <c r="AO60" i="1"/>
  <c r="AN60" i="1"/>
  <c r="BF28" i="1" l="1"/>
  <c r="BG28" i="1"/>
  <c r="AL62" i="1"/>
  <c r="AQ61" i="1"/>
  <c r="AO61" i="1"/>
  <c r="AN61" i="1"/>
  <c r="AU61" i="1"/>
  <c r="AT61" i="1"/>
  <c r="AR61" i="1"/>
  <c r="BA29" i="1" l="1"/>
  <c r="BD29" i="1"/>
  <c r="AZ29" i="1"/>
  <c r="BC29" i="1"/>
  <c r="AL63" i="1"/>
  <c r="AR62" i="1"/>
  <c r="AQ62" i="1"/>
  <c r="AO62" i="1"/>
  <c r="AN62" i="1"/>
  <c r="AU62" i="1"/>
  <c r="AT62" i="1"/>
  <c r="BJ29" i="1" l="1"/>
  <c r="BT29" i="1"/>
  <c r="BO29" i="1"/>
  <c r="BK29" i="1"/>
  <c r="BU29" i="1"/>
  <c r="BP29" i="1"/>
  <c r="AL64" i="1"/>
  <c r="AR63" i="1"/>
  <c r="AQ63" i="1"/>
  <c r="AO63" i="1"/>
  <c r="AU63" i="1"/>
  <c r="AT63" i="1"/>
  <c r="AN63" i="1"/>
  <c r="BG29" i="1" l="1"/>
  <c r="BF29" i="1"/>
  <c r="AL65" i="1"/>
  <c r="AT64" i="1"/>
  <c r="AR64" i="1"/>
  <c r="AQ64" i="1"/>
  <c r="AO64" i="1"/>
  <c r="AU64" i="1"/>
  <c r="AN64" i="1"/>
  <c r="BA30" i="1" l="1"/>
  <c r="BD30" i="1"/>
  <c r="AZ30" i="1"/>
  <c r="BC30" i="1"/>
  <c r="AL66" i="1"/>
  <c r="AT65" i="1"/>
  <c r="AR65" i="1"/>
  <c r="AQ65" i="1"/>
  <c r="AO65" i="1"/>
  <c r="AU65" i="1"/>
  <c r="AN65" i="1"/>
  <c r="BJ30" i="1" l="1"/>
  <c r="BP30" i="1"/>
  <c r="BK30" i="1"/>
  <c r="BU30" i="1"/>
  <c r="BT30" i="1"/>
  <c r="BO30" i="1"/>
  <c r="AL67" i="1"/>
  <c r="AU66" i="1"/>
  <c r="AT66" i="1"/>
  <c r="AR66" i="1"/>
  <c r="AQ66" i="1"/>
  <c r="AO66" i="1"/>
  <c r="AN66" i="1"/>
  <c r="BF30" i="1" l="1"/>
  <c r="BG30" i="1"/>
  <c r="AL68" i="1"/>
  <c r="AU67" i="1"/>
  <c r="AT67" i="1"/>
  <c r="AR67" i="1"/>
  <c r="AQ67" i="1"/>
  <c r="AO67" i="1"/>
  <c r="AN67" i="1"/>
  <c r="BA31" i="1" l="1"/>
  <c r="BD31" i="1"/>
  <c r="AZ31" i="1"/>
  <c r="BP31" i="1" s="1"/>
  <c r="BC31" i="1"/>
  <c r="AL69" i="1"/>
  <c r="AU68" i="1"/>
  <c r="AT68" i="1"/>
  <c r="AR68" i="1"/>
  <c r="AQ68" i="1"/>
  <c r="AO68" i="1"/>
  <c r="AN68" i="1"/>
  <c r="BU31" i="1" l="1"/>
  <c r="BO31" i="1"/>
  <c r="BJ31" i="1"/>
  <c r="BT31" i="1"/>
  <c r="BK31" i="1"/>
  <c r="AL70" i="1"/>
  <c r="AQ69" i="1"/>
  <c r="AO69" i="1"/>
  <c r="AN69" i="1"/>
  <c r="AU69" i="1"/>
  <c r="AT69" i="1"/>
  <c r="AR69" i="1"/>
  <c r="BF31" i="1" l="1"/>
  <c r="BG31" i="1"/>
  <c r="AL71" i="1"/>
  <c r="AR70" i="1"/>
  <c r="AQ70" i="1"/>
  <c r="AO70" i="1"/>
  <c r="AN70" i="1"/>
  <c r="AU70" i="1"/>
  <c r="AT70" i="1"/>
  <c r="BA32" i="1" l="1"/>
  <c r="BD32" i="1"/>
  <c r="AZ32" i="1"/>
  <c r="BJ32" i="1" s="1"/>
  <c r="BC32" i="1"/>
  <c r="AL72" i="1"/>
  <c r="AR71" i="1"/>
  <c r="AQ71" i="1"/>
  <c r="AO71" i="1"/>
  <c r="AU71" i="1"/>
  <c r="AT71" i="1"/>
  <c r="AN71" i="1"/>
  <c r="BK32" i="1" l="1"/>
  <c r="BU32" i="1"/>
  <c r="BT32" i="1"/>
  <c r="BO32" i="1"/>
  <c r="BP32" i="1"/>
  <c r="AL73" i="1"/>
  <c r="AT72" i="1"/>
  <c r="AR72" i="1"/>
  <c r="AQ72" i="1"/>
  <c r="AO72" i="1"/>
  <c r="AU72" i="1"/>
  <c r="AN72" i="1"/>
  <c r="BF32" i="1" l="1"/>
  <c r="AZ33" i="1" s="1"/>
  <c r="BG32" i="1"/>
  <c r="BC33" i="1"/>
  <c r="AL74" i="1"/>
  <c r="AT73" i="1"/>
  <c r="AR73" i="1"/>
  <c r="AQ73" i="1"/>
  <c r="AO73" i="1"/>
  <c r="AU73" i="1"/>
  <c r="AN73" i="1"/>
  <c r="BA33" i="1" l="1"/>
  <c r="BK33" i="1" s="1"/>
  <c r="BD33" i="1"/>
  <c r="BU33" i="1"/>
  <c r="BP33" i="1"/>
  <c r="BT33" i="1"/>
  <c r="BO33" i="1"/>
  <c r="BJ33" i="1"/>
  <c r="AL75" i="1"/>
  <c r="AU74" i="1"/>
  <c r="AT74" i="1"/>
  <c r="AR74" i="1"/>
  <c r="AQ74" i="1"/>
  <c r="AO74" i="1"/>
  <c r="AN74" i="1"/>
  <c r="BG33" i="1" l="1"/>
  <c r="BA34" i="1" s="1"/>
  <c r="BF33" i="1"/>
  <c r="AL76" i="1"/>
  <c r="AU75" i="1"/>
  <c r="AT75" i="1"/>
  <c r="AR75" i="1"/>
  <c r="AQ75" i="1"/>
  <c r="AO75" i="1"/>
  <c r="AN75" i="1"/>
  <c r="BD34" i="1" l="1"/>
  <c r="AZ34" i="1"/>
  <c r="BK34" i="1" s="1"/>
  <c r="BC34" i="1"/>
  <c r="AL77" i="1"/>
  <c r="AU76" i="1"/>
  <c r="AT76" i="1"/>
  <c r="AR76" i="1"/>
  <c r="AQ76" i="1"/>
  <c r="AO76" i="1"/>
  <c r="AN76" i="1"/>
  <c r="BT34" i="1" l="1"/>
  <c r="BO34" i="1"/>
  <c r="BP34" i="1"/>
  <c r="BU34" i="1"/>
  <c r="BJ34" i="1"/>
  <c r="AL78" i="1"/>
  <c r="AQ77" i="1"/>
  <c r="AO77" i="1"/>
  <c r="AN77" i="1"/>
  <c r="AU77" i="1"/>
  <c r="AT77" i="1"/>
  <c r="AR77" i="1"/>
  <c r="BF34" i="1" l="1"/>
  <c r="BG34" i="1"/>
  <c r="AL79" i="1"/>
  <c r="AR78" i="1"/>
  <c r="AQ78" i="1"/>
  <c r="AO78" i="1"/>
  <c r="AN78" i="1"/>
  <c r="AU78" i="1"/>
  <c r="AT78" i="1"/>
  <c r="BA35" i="1" l="1"/>
  <c r="BD35" i="1"/>
  <c r="AZ35" i="1"/>
  <c r="BU35" i="1" s="1"/>
  <c r="BC35" i="1"/>
  <c r="AL80" i="1"/>
  <c r="AR79" i="1"/>
  <c r="AQ79" i="1"/>
  <c r="AO79" i="1"/>
  <c r="AU79" i="1"/>
  <c r="AT79" i="1"/>
  <c r="AN79" i="1"/>
  <c r="BP35" i="1" l="1"/>
  <c r="BJ35" i="1"/>
  <c r="BO35" i="1"/>
  <c r="BK35" i="1"/>
  <c r="BG35" i="1" s="1"/>
  <c r="BA36" i="1" s="1"/>
  <c r="BT35" i="1"/>
  <c r="AL81" i="1"/>
  <c r="AT80" i="1"/>
  <c r="AR80" i="1"/>
  <c r="AQ80" i="1"/>
  <c r="AO80" i="1"/>
  <c r="AU80" i="1"/>
  <c r="AN80" i="1"/>
  <c r="BD36" i="1" l="1"/>
  <c r="BF35" i="1"/>
  <c r="AZ36" i="1" s="1"/>
  <c r="BO36" i="1" s="1"/>
  <c r="AL82" i="1"/>
  <c r="AT81" i="1"/>
  <c r="AR81" i="1"/>
  <c r="AQ81" i="1"/>
  <c r="AO81" i="1"/>
  <c r="AU81" i="1"/>
  <c r="AN81" i="1"/>
  <c r="BT36" i="1" l="1"/>
  <c r="BP36" i="1"/>
  <c r="BU36" i="1"/>
  <c r="BK36" i="1"/>
  <c r="BG36" i="1" s="1"/>
  <c r="BJ36" i="1"/>
  <c r="BF36" i="1" s="1"/>
  <c r="AZ37" i="1" s="1"/>
  <c r="BC36" i="1"/>
  <c r="AL83" i="1"/>
  <c r="AU82" i="1"/>
  <c r="AT82" i="1"/>
  <c r="AR82" i="1"/>
  <c r="AQ82" i="1"/>
  <c r="AO82" i="1"/>
  <c r="AN82" i="1"/>
  <c r="BA37" i="1" l="1"/>
  <c r="BD37" i="1"/>
  <c r="BC37" i="1"/>
  <c r="BJ37" i="1"/>
  <c r="AL84" i="1"/>
  <c r="AU83" i="1"/>
  <c r="AT83" i="1"/>
  <c r="AR83" i="1"/>
  <c r="AQ83" i="1"/>
  <c r="AO83" i="1"/>
  <c r="AN83" i="1"/>
  <c r="BO37" i="1" l="1"/>
  <c r="BT37" i="1"/>
  <c r="BP37" i="1"/>
  <c r="BK37" i="1"/>
  <c r="BU37" i="1"/>
  <c r="AL85" i="1"/>
  <c r="AU84" i="1"/>
  <c r="AT84" i="1"/>
  <c r="AR84" i="1"/>
  <c r="AQ84" i="1"/>
  <c r="AO84" i="1"/>
  <c r="AN84" i="1"/>
  <c r="BF37" i="1" l="1"/>
  <c r="BG37" i="1"/>
  <c r="AL86" i="1"/>
  <c r="AQ85" i="1"/>
  <c r="AO85" i="1"/>
  <c r="AN85" i="1"/>
  <c r="AU85" i="1"/>
  <c r="AT85" i="1"/>
  <c r="AR85" i="1"/>
  <c r="BA38" i="1" l="1"/>
  <c r="BD38" i="1"/>
  <c r="AZ38" i="1"/>
  <c r="BJ38" i="1" s="1"/>
  <c r="BC38" i="1"/>
  <c r="AL87" i="1"/>
  <c r="AR86" i="1"/>
  <c r="AQ86" i="1"/>
  <c r="AO86" i="1"/>
  <c r="AN86" i="1"/>
  <c r="AU86" i="1"/>
  <c r="AT86" i="1"/>
  <c r="BK38" i="1" l="1"/>
  <c r="BP38" i="1"/>
  <c r="BU38" i="1"/>
  <c r="BT38" i="1"/>
  <c r="BO38" i="1"/>
  <c r="AL88" i="1"/>
  <c r="AR87" i="1"/>
  <c r="AQ87" i="1"/>
  <c r="AO87" i="1"/>
  <c r="AU87" i="1"/>
  <c r="AT87" i="1"/>
  <c r="AN87" i="1"/>
  <c r="BF38" i="1" l="1"/>
  <c r="BG38" i="1"/>
  <c r="AL89" i="1"/>
  <c r="AT88" i="1"/>
  <c r="AR88" i="1"/>
  <c r="AQ88" i="1"/>
  <c r="AO88" i="1"/>
  <c r="AU88" i="1"/>
  <c r="AN88" i="1"/>
  <c r="BA39" i="1" l="1"/>
  <c r="BD39" i="1"/>
  <c r="AZ39" i="1"/>
  <c r="BC39" i="1"/>
  <c r="AL90" i="1"/>
  <c r="AT89" i="1"/>
  <c r="AR89" i="1"/>
  <c r="AQ89" i="1"/>
  <c r="AO89" i="1"/>
  <c r="AU89" i="1"/>
  <c r="AN89" i="1"/>
  <c r="BJ39" i="1" l="1"/>
  <c r="BT39" i="1"/>
  <c r="BO39" i="1"/>
  <c r="BU39" i="1"/>
  <c r="BP39" i="1"/>
  <c r="BK39" i="1"/>
  <c r="AL91" i="1"/>
  <c r="AU90" i="1"/>
  <c r="AT90" i="1"/>
  <c r="AR90" i="1"/>
  <c r="AQ90" i="1"/>
  <c r="AO90" i="1"/>
  <c r="AN90" i="1"/>
  <c r="BG39" i="1" l="1"/>
  <c r="BF39" i="1"/>
  <c r="AL92" i="1"/>
  <c r="AU91" i="1"/>
  <c r="AT91" i="1"/>
  <c r="AR91" i="1"/>
  <c r="AQ91" i="1"/>
  <c r="AO91" i="1"/>
  <c r="AN91" i="1"/>
  <c r="BA40" i="1" l="1"/>
  <c r="BD40" i="1"/>
  <c r="AZ40" i="1"/>
  <c r="BJ40" i="1" s="1"/>
  <c r="BC40" i="1"/>
  <c r="AL93" i="1"/>
  <c r="AU92" i="1"/>
  <c r="AT92" i="1"/>
  <c r="AR92" i="1"/>
  <c r="AQ92" i="1"/>
  <c r="AO92" i="1"/>
  <c r="AN92" i="1"/>
  <c r="BP40" i="1" l="1"/>
  <c r="BK40" i="1"/>
  <c r="BU40" i="1"/>
  <c r="BO40" i="1"/>
  <c r="BT40" i="1"/>
  <c r="AL94" i="1"/>
  <c r="AQ93" i="1"/>
  <c r="AO93" i="1"/>
  <c r="AU93" i="1"/>
  <c r="AT93" i="1"/>
  <c r="AR93" i="1"/>
  <c r="AN93" i="1"/>
  <c r="BF40" i="1" l="1"/>
  <c r="BG40" i="1"/>
  <c r="AL95" i="1"/>
  <c r="AR94" i="1"/>
  <c r="AQ94" i="1"/>
  <c r="AO94" i="1"/>
  <c r="AN94" i="1"/>
  <c r="AU94" i="1"/>
  <c r="AT94" i="1"/>
  <c r="BA41" i="1" l="1"/>
  <c r="BD41" i="1"/>
  <c r="AZ41" i="1"/>
  <c r="BJ41" i="1" s="1"/>
  <c r="BC41" i="1"/>
  <c r="AL96" i="1"/>
  <c r="AR95" i="1"/>
  <c r="AQ95" i="1"/>
  <c r="AO95" i="1"/>
  <c r="AU95" i="1"/>
  <c r="AT95" i="1"/>
  <c r="AN95" i="1"/>
  <c r="BU41" i="1" l="1"/>
  <c r="BP41" i="1"/>
  <c r="BK41" i="1"/>
  <c r="BO41" i="1"/>
  <c r="BT41" i="1"/>
  <c r="AL97" i="1"/>
  <c r="AT96" i="1"/>
  <c r="AR96" i="1"/>
  <c r="AQ96" i="1"/>
  <c r="AO96" i="1"/>
  <c r="AU96" i="1"/>
  <c r="AN96" i="1"/>
  <c r="BG41" i="1" l="1"/>
  <c r="BF41" i="1"/>
  <c r="AL98" i="1"/>
  <c r="AT97" i="1"/>
  <c r="AR97" i="1"/>
  <c r="AQ97" i="1"/>
  <c r="AO97" i="1"/>
  <c r="AU97" i="1"/>
  <c r="AN97" i="1"/>
  <c r="BA42" i="1" l="1"/>
  <c r="BD42" i="1"/>
  <c r="AZ42" i="1"/>
  <c r="BJ42" i="1" s="1"/>
  <c r="BC42" i="1"/>
  <c r="AL99" i="1"/>
  <c r="AU98" i="1"/>
  <c r="AT98" i="1"/>
  <c r="AR98" i="1"/>
  <c r="AQ98" i="1"/>
  <c r="AO98" i="1"/>
  <c r="AN98" i="1"/>
  <c r="BO42" i="1" l="1"/>
  <c r="BT42" i="1"/>
  <c r="BU42" i="1"/>
  <c r="BP42" i="1"/>
  <c r="BK42" i="1"/>
  <c r="AL100" i="1"/>
  <c r="AU99" i="1"/>
  <c r="AT99" i="1"/>
  <c r="AR99" i="1"/>
  <c r="AQ99" i="1"/>
  <c r="AO99" i="1"/>
  <c r="AN99" i="1"/>
  <c r="BG42" i="1" l="1"/>
  <c r="BF42" i="1"/>
  <c r="AL101" i="1"/>
  <c r="AU100" i="1"/>
  <c r="AT100" i="1"/>
  <c r="AR100" i="1"/>
  <c r="AQ100" i="1"/>
  <c r="AO100" i="1"/>
  <c r="AN100" i="1"/>
  <c r="BA43" i="1" l="1"/>
  <c r="BD43" i="1"/>
  <c r="AZ43" i="1"/>
  <c r="BC43" i="1"/>
  <c r="AL102" i="1"/>
  <c r="AQ101" i="1"/>
  <c r="AO101" i="1"/>
  <c r="AU101" i="1"/>
  <c r="AT101" i="1"/>
  <c r="AR101" i="1"/>
  <c r="AN101" i="1"/>
  <c r="BJ43" i="1" l="1"/>
  <c r="BO43" i="1"/>
  <c r="BT43" i="1"/>
  <c r="BU43" i="1"/>
  <c r="BK43" i="1"/>
  <c r="BP43" i="1"/>
  <c r="AL103" i="1"/>
  <c r="AR102" i="1"/>
  <c r="AQ102" i="1"/>
  <c r="AO102" i="1"/>
  <c r="AN102" i="1"/>
  <c r="AU102" i="1"/>
  <c r="AT102" i="1"/>
  <c r="BF43" i="1" l="1"/>
  <c r="BG43" i="1"/>
  <c r="AL104" i="1"/>
  <c r="AR103" i="1"/>
  <c r="AQ103" i="1"/>
  <c r="AO103" i="1"/>
  <c r="AU103" i="1"/>
  <c r="AT103" i="1"/>
  <c r="AN103" i="1"/>
  <c r="BA44" i="1" l="1"/>
  <c r="BD44" i="1"/>
  <c r="AZ44" i="1"/>
  <c r="BJ44" i="1" s="1"/>
  <c r="BC44" i="1"/>
  <c r="AL105" i="1"/>
  <c r="AT104" i="1"/>
  <c r="AR104" i="1"/>
  <c r="AQ104" i="1"/>
  <c r="AO104" i="1"/>
  <c r="AU104" i="1"/>
  <c r="AN104" i="1"/>
  <c r="BO44" i="1" l="1"/>
  <c r="BT44" i="1"/>
  <c r="BP44" i="1"/>
  <c r="BU44" i="1"/>
  <c r="BK44" i="1"/>
  <c r="AL106" i="1"/>
  <c r="AT105" i="1"/>
  <c r="AR105" i="1"/>
  <c r="AQ105" i="1"/>
  <c r="AO105" i="1"/>
  <c r="AU105" i="1"/>
  <c r="AN105" i="1"/>
  <c r="BG44" i="1" l="1"/>
  <c r="BF44" i="1"/>
  <c r="AL107" i="1"/>
  <c r="AU106" i="1"/>
  <c r="AT106" i="1"/>
  <c r="AR106" i="1"/>
  <c r="AQ106" i="1"/>
  <c r="AO106" i="1"/>
  <c r="AN106" i="1"/>
  <c r="BA45" i="1" l="1"/>
  <c r="BD45" i="1"/>
  <c r="AZ45" i="1"/>
  <c r="BC45" i="1"/>
  <c r="AL108" i="1"/>
  <c r="AU107" i="1"/>
  <c r="AT107" i="1"/>
  <c r="AR107" i="1"/>
  <c r="AQ107" i="1"/>
  <c r="AO107" i="1"/>
  <c r="AN107" i="1"/>
  <c r="BJ45" i="1" l="1"/>
  <c r="BP45" i="1"/>
  <c r="BU45" i="1"/>
  <c r="BK45" i="1"/>
  <c r="BT45" i="1"/>
  <c r="BO45" i="1"/>
  <c r="AL109" i="1"/>
  <c r="AU108" i="1"/>
  <c r="AT108" i="1"/>
  <c r="AR108" i="1"/>
  <c r="AQ108" i="1"/>
  <c r="AO108" i="1"/>
  <c r="AN108" i="1"/>
  <c r="BG45" i="1" l="1"/>
  <c r="BF45" i="1"/>
  <c r="AL110" i="1"/>
  <c r="AQ109" i="1"/>
  <c r="AO109" i="1"/>
  <c r="AU109" i="1"/>
  <c r="AT109" i="1"/>
  <c r="AR109" i="1"/>
  <c r="AN109" i="1"/>
  <c r="BA46" i="1" l="1"/>
  <c r="BD46" i="1"/>
  <c r="AZ46" i="1"/>
  <c r="BC46" i="1"/>
  <c r="AL111" i="1"/>
  <c r="AR110" i="1"/>
  <c r="AQ110" i="1"/>
  <c r="AO110" i="1"/>
  <c r="AN110" i="1"/>
  <c r="AU110" i="1"/>
  <c r="AT110" i="1"/>
  <c r="BJ46" i="1" l="1"/>
  <c r="BP46" i="1"/>
  <c r="BU46" i="1"/>
  <c r="BK46" i="1"/>
  <c r="BO46" i="1"/>
  <c r="BT46" i="1"/>
  <c r="AL112" i="1"/>
  <c r="AR111" i="1"/>
  <c r="AQ111" i="1"/>
  <c r="AO111" i="1"/>
  <c r="AU111" i="1"/>
  <c r="AT111" i="1"/>
  <c r="AN111" i="1"/>
  <c r="BF46" i="1" l="1"/>
  <c r="BG46" i="1"/>
  <c r="AL113" i="1"/>
  <c r="AT112" i="1"/>
  <c r="AR112" i="1"/>
  <c r="AQ112" i="1"/>
  <c r="AO112" i="1"/>
  <c r="AU112" i="1"/>
  <c r="AN112" i="1"/>
  <c r="BA47" i="1" l="1"/>
  <c r="BD47" i="1"/>
  <c r="AZ47" i="1"/>
  <c r="BT47" i="1" s="1"/>
  <c r="BC47" i="1"/>
  <c r="BO47" i="1"/>
  <c r="BP47" i="1"/>
  <c r="AL114" i="1"/>
  <c r="AT113" i="1"/>
  <c r="AR113" i="1"/>
  <c r="AQ113" i="1"/>
  <c r="AO113" i="1"/>
  <c r="AU113" i="1"/>
  <c r="AN113" i="1"/>
  <c r="BU47" i="1" l="1"/>
  <c r="BJ47" i="1"/>
  <c r="BF47" i="1" s="1"/>
  <c r="AZ48" i="1" s="1"/>
  <c r="BK47" i="1"/>
  <c r="BG47" i="1" s="1"/>
  <c r="BA48" i="1" s="1"/>
  <c r="AL115" i="1"/>
  <c r="AU114" i="1"/>
  <c r="AT114" i="1"/>
  <c r="AR114" i="1"/>
  <c r="AQ114" i="1"/>
  <c r="AO114" i="1"/>
  <c r="AN114" i="1"/>
  <c r="BD48" i="1" l="1"/>
  <c r="BC48" i="1"/>
  <c r="BJ48" i="1"/>
  <c r="AL116" i="1"/>
  <c r="AU115" i="1"/>
  <c r="AT115" i="1"/>
  <c r="AR115" i="1"/>
  <c r="AQ115" i="1"/>
  <c r="AO115" i="1"/>
  <c r="AN115" i="1"/>
  <c r="BO48" i="1" l="1"/>
  <c r="BT48" i="1"/>
  <c r="BK48" i="1"/>
  <c r="BP48" i="1"/>
  <c r="BU48" i="1"/>
  <c r="AL117" i="1"/>
  <c r="AU116" i="1"/>
  <c r="AT116" i="1"/>
  <c r="AR116" i="1"/>
  <c r="AQ116" i="1"/>
  <c r="AO116" i="1"/>
  <c r="AN116" i="1"/>
  <c r="BF48" i="1" l="1"/>
  <c r="BG48" i="1"/>
  <c r="AL118" i="1"/>
  <c r="AQ117" i="1"/>
  <c r="AO117" i="1"/>
  <c r="AU117" i="1"/>
  <c r="AT117" i="1"/>
  <c r="AR117" i="1"/>
  <c r="AN117" i="1"/>
  <c r="BA49" i="1" l="1"/>
  <c r="BD49" i="1"/>
  <c r="AZ49" i="1"/>
  <c r="BJ49" i="1" s="1"/>
  <c r="BC49" i="1"/>
  <c r="AL119" i="1"/>
  <c r="AR118" i="1"/>
  <c r="AQ118" i="1"/>
  <c r="AO118" i="1"/>
  <c r="AN118" i="1"/>
  <c r="AU118" i="1"/>
  <c r="AT118" i="1"/>
  <c r="BO49" i="1" l="1"/>
  <c r="BT49" i="1"/>
  <c r="BK49" i="1"/>
  <c r="BP49" i="1"/>
  <c r="BU49" i="1"/>
  <c r="AL120" i="1"/>
  <c r="AR119" i="1"/>
  <c r="AQ119" i="1"/>
  <c r="AO119" i="1"/>
  <c r="AU119" i="1"/>
  <c r="AT119" i="1"/>
  <c r="AN119" i="1"/>
  <c r="BG49" i="1" l="1"/>
  <c r="BF49" i="1"/>
  <c r="AL121" i="1"/>
  <c r="AT120" i="1"/>
  <c r="AR120" i="1"/>
  <c r="AQ120" i="1"/>
  <c r="AO120" i="1"/>
  <c r="AU120" i="1"/>
  <c r="AN120" i="1"/>
  <c r="BA50" i="1" l="1"/>
  <c r="BD50" i="1"/>
  <c r="AZ50" i="1"/>
  <c r="BP50" i="1" s="1"/>
  <c r="BC50" i="1"/>
  <c r="AT121" i="1"/>
  <c r="AR121" i="1"/>
  <c r="AQ121" i="1"/>
  <c r="AO121" i="1"/>
  <c r="AU121" i="1"/>
  <c r="AN121" i="1"/>
  <c r="BJ50" i="1" l="1"/>
  <c r="BK50" i="1"/>
  <c r="BU50" i="1"/>
  <c r="BO50" i="1"/>
  <c r="BT50" i="1"/>
  <c r="BG50" i="1" l="1"/>
  <c r="BF50" i="1"/>
  <c r="BA51" i="1" l="1"/>
  <c r="BD51" i="1"/>
  <c r="AZ51" i="1"/>
  <c r="BT51" i="1" s="1"/>
  <c r="BC51" i="1"/>
  <c r="BO51" i="1"/>
  <c r="BP51" i="1"/>
  <c r="BK51" i="1"/>
  <c r="BU51" i="1"/>
  <c r="BJ51" i="1" l="1"/>
  <c r="BF51" i="1" s="1"/>
  <c r="AZ52" i="1" s="1"/>
  <c r="BG51" i="1"/>
  <c r="BA52" i="1" s="1"/>
  <c r="BD52" i="1" l="1"/>
  <c r="BC52" i="1"/>
  <c r="BJ52" i="1"/>
  <c r="BT52" i="1" l="1"/>
  <c r="BU52" i="1"/>
  <c r="BP52" i="1"/>
  <c r="BK52" i="1"/>
  <c r="BO52" i="1"/>
  <c r="BF52" i="1" l="1"/>
  <c r="BG52" i="1"/>
  <c r="BA53" i="1" l="1"/>
  <c r="BD53" i="1"/>
  <c r="AZ53" i="1"/>
  <c r="BC53" i="1"/>
  <c r="BJ53" i="1" l="1"/>
  <c r="BP53" i="1"/>
  <c r="BU53" i="1"/>
  <c r="BK53" i="1"/>
  <c r="BT53" i="1"/>
  <c r="BO53" i="1"/>
  <c r="BG53" i="1" l="1"/>
  <c r="BF53" i="1"/>
  <c r="BA54" i="1" l="1"/>
  <c r="BD54" i="1"/>
  <c r="AZ54" i="1"/>
  <c r="BJ54" i="1" s="1"/>
  <c r="BC54" i="1"/>
  <c r="BK54" i="1" l="1"/>
  <c r="BO54" i="1"/>
  <c r="BU54" i="1"/>
  <c r="BP54" i="1"/>
  <c r="BT54" i="1"/>
  <c r="BF54" i="1" s="1"/>
  <c r="AZ55" i="1" s="1"/>
  <c r="BC55" i="1" l="1"/>
  <c r="BG54" i="1"/>
  <c r="BA55" i="1" l="1"/>
  <c r="BD55" i="1"/>
  <c r="BJ55" i="1"/>
  <c r="BO55" i="1" l="1"/>
  <c r="BT55" i="1"/>
  <c r="BP55" i="1"/>
  <c r="BU55" i="1"/>
  <c r="BK55" i="1"/>
  <c r="BG55" i="1" l="1"/>
  <c r="BD56" i="1" s="1"/>
  <c r="BF55" i="1"/>
  <c r="BA56" i="1" l="1"/>
  <c r="AZ56" i="1"/>
  <c r="BJ56" i="1" s="1"/>
  <c r="BC56" i="1"/>
  <c r="BU56" i="1" l="1"/>
  <c r="BT56" i="1"/>
  <c r="BO56" i="1"/>
  <c r="BP56" i="1"/>
  <c r="BK56" i="1"/>
  <c r="BF56" i="1"/>
  <c r="AZ57" i="1" s="1"/>
  <c r="BG56" i="1" l="1"/>
  <c r="BC57" i="1"/>
  <c r="BA57" i="1" l="1"/>
  <c r="BP57" i="1" s="1"/>
  <c r="BD57" i="1"/>
  <c r="BK57" i="1"/>
  <c r="BO57" i="1"/>
  <c r="BT57" i="1"/>
  <c r="BU57" i="1"/>
  <c r="BG57" i="1" s="1"/>
  <c r="BJ57" i="1"/>
  <c r="BD58" i="1" l="1"/>
  <c r="BA58" i="1"/>
  <c r="BF57" i="1"/>
  <c r="AZ58" i="1" s="1"/>
  <c r="BO58" i="1" s="1"/>
  <c r="BC58" i="1" l="1"/>
  <c r="BJ58" i="1"/>
  <c r="BK58" i="1"/>
  <c r="BP58" i="1"/>
  <c r="BU58" i="1"/>
  <c r="BT58" i="1"/>
  <c r="BF58" i="1" s="1"/>
  <c r="BC59" i="1" s="1"/>
  <c r="BG58" i="1" l="1"/>
  <c r="AZ59" i="1"/>
  <c r="BA59" i="1" l="1"/>
  <c r="BO59" i="1" s="1"/>
  <c r="BD59" i="1"/>
  <c r="BT59" i="1"/>
  <c r="BP59" i="1"/>
  <c r="BK59" i="1"/>
  <c r="BJ59" i="1"/>
  <c r="BF59" i="1" l="1"/>
  <c r="BU59" i="1"/>
  <c r="AZ60" i="1"/>
  <c r="BC60" i="1"/>
  <c r="BG59" i="1"/>
  <c r="BA60" i="1" s="1"/>
  <c r="BJ60" i="1" s="1"/>
  <c r="BD60" i="1" l="1"/>
  <c r="BO60" i="1"/>
  <c r="BT60" i="1"/>
  <c r="BK60" i="1"/>
  <c r="BP60" i="1"/>
  <c r="BU60" i="1"/>
  <c r="BF60" i="1" l="1"/>
  <c r="BG60" i="1"/>
  <c r="BA61" i="1" s="1"/>
  <c r="BD61" i="1" l="1"/>
  <c r="AZ61" i="1"/>
  <c r="BJ61" i="1" s="1"/>
  <c r="BC61" i="1"/>
  <c r="BT61" i="1" l="1"/>
  <c r="BP61" i="1"/>
  <c r="BK61" i="1"/>
  <c r="BU61" i="1"/>
  <c r="BO61" i="1"/>
  <c r="BF61" i="1" l="1"/>
  <c r="BG61" i="1"/>
  <c r="BA62" i="1" l="1"/>
  <c r="BD62" i="1"/>
  <c r="AZ62" i="1"/>
  <c r="BU62" i="1" s="1"/>
  <c r="BC62" i="1"/>
  <c r="BJ62" i="1"/>
  <c r="BO62" i="1"/>
  <c r="BT62" i="1"/>
  <c r="BP62" i="1"/>
  <c r="BK62" i="1" l="1"/>
  <c r="BG62" i="1" s="1"/>
  <c r="BA63" i="1" s="1"/>
  <c r="BF62" i="1"/>
  <c r="AZ63" i="1" s="1"/>
  <c r="BD63" i="1" l="1"/>
  <c r="BC63" i="1"/>
  <c r="BJ63" i="1"/>
  <c r="BU63" i="1" l="1"/>
  <c r="BK63" i="1"/>
  <c r="BT63" i="1"/>
  <c r="BO63" i="1"/>
  <c r="BP63" i="1"/>
  <c r="BG63" i="1" l="1"/>
  <c r="BF63" i="1"/>
  <c r="BA64" i="1" l="1"/>
  <c r="BD64" i="1"/>
  <c r="AZ64" i="1"/>
  <c r="BC64" i="1"/>
  <c r="BO64" i="1"/>
  <c r="BT64" i="1" l="1"/>
  <c r="BK64" i="1"/>
  <c r="BU64" i="1"/>
  <c r="BP64" i="1"/>
  <c r="BJ64" i="1"/>
  <c r="BG64" i="1" l="1"/>
  <c r="BF64" i="1"/>
  <c r="BA65" i="1" l="1"/>
  <c r="BD65" i="1"/>
  <c r="AZ65" i="1"/>
  <c r="BO65" i="1" s="1"/>
  <c r="BC65" i="1"/>
  <c r="BT65" i="1" l="1"/>
  <c r="BK65" i="1"/>
  <c r="BJ65" i="1"/>
  <c r="BP65" i="1"/>
  <c r="BU65" i="1"/>
  <c r="BF65" i="1" l="1"/>
  <c r="BG65" i="1"/>
  <c r="BA66" i="1" l="1"/>
  <c r="BD66" i="1"/>
  <c r="AZ66" i="1"/>
  <c r="BC66" i="1"/>
  <c r="BJ66" i="1" l="1"/>
  <c r="BP66" i="1"/>
  <c r="BU66" i="1"/>
  <c r="BK66" i="1"/>
  <c r="BO66" i="1"/>
  <c r="BT66" i="1"/>
  <c r="BG66" i="1" l="1"/>
  <c r="BF66" i="1"/>
  <c r="BA67" i="1" l="1"/>
  <c r="BD67" i="1"/>
  <c r="AZ67" i="1"/>
  <c r="BC67" i="1"/>
  <c r="BK67" i="1" l="1"/>
  <c r="BU67" i="1"/>
  <c r="BP67" i="1"/>
  <c r="BT67" i="1"/>
  <c r="BJ67" i="1"/>
  <c r="BO67" i="1"/>
  <c r="BG67" i="1" l="1"/>
  <c r="BF67" i="1"/>
  <c r="BA68" i="1" l="1"/>
  <c r="BD68" i="1"/>
  <c r="AZ68" i="1"/>
  <c r="BC68" i="1"/>
  <c r="BO68" i="1" l="1"/>
  <c r="BJ68" i="1"/>
  <c r="BT68" i="1"/>
  <c r="BP68" i="1"/>
  <c r="BU68" i="1"/>
  <c r="BK68" i="1"/>
  <c r="BG68" i="1" l="1"/>
  <c r="BF68" i="1"/>
  <c r="BA69" i="1" l="1"/>
  <c r="BD69" i="1"/>
  <c r="AZ69" i="1"/>
  <c r="BK69" i="1" s="1"/>
  <c r="BC69" i="1"/>
  <c r="BP69" i="1" l="1"/>
  <c r="BU69" i="1"/>
  <c r="BJ69" i="1"/>
  <c r="BO69" i="1"/>
  <c r="BT69" i="1"/>
  <c r="BG69" i="1" l="1"/>
  <c r="BF69" i="1"/>
  <c r="BA70" i="1" l="1"/>
  <c r="BD70" i="1"/>
  <c r="AZ70" i="1"/>
  <c r="BU70" i="1" s="1"/>
  <c r="BC70" i="1"/>
  <c r="BJ70" i="1"/>
  <c r="BT70" i="1"/>
  <c r="BK70" i="1"/>
  <c r="BP70" i="1"/>
  <c r="BO70" i="1" l="1"/>
  <c r="BF70" i="1" s="1"/>
  <c r="AZ71" i="1" s="1"/>
  <c r="BG70" i="1"/>
  <c r="BA71" i="1" s="1"/>
  <c r="BD71" i="1" l="1"/>
  <c r="BC71" i="1"/>
  <c r="BJ71" i="1"/>
  <c r="BO71" i="1"/>
  <c r="BT71" i="1"/>
  <c r="BK71" i="1"/>
  <c r="BP71" i="1"/>
  <c r="BU71" i="1"/>
  <c r="BF71" i="1" l="1"/>
  <c r="AZ72" i="1" s="1"/>
  <c r="BG71" i="1"/>
  <c r="BA72" i="1" s="1"/>
  <c r="BD72" i="1" l="1"/>
  <c r="BC72" i="1"/>
  <c r="BU72" i="1" l="1"/>
  <c r="BP72" i="1"/>
  <c r="BK72" i="1"/>
  <c r="BJ72" i="1"/>
  <c r="BO72" i="1"/>
  <c r="BT72" i="1"/>
  <c r="BF72" i="1" l="1"/>
  <c r="BG72" i="1"/>
  <c r="BA73" i="1" l="1"/>
  <c r="BD73" i="1"/>
  <c r="AZ73" i="1"/>
  <c r="BC73" i="1"/>
  <c r="BO73" i="1" l="1"/>
  <c r="BJ73" i="1"/>
  <c r="BT73" i="1"/>
  <c r="BU73" i="1"/>
  <c r="BK73" i="1"/>
  <c r="BP73" i="1"/>
  <c r="BG73" i="1" l="1"/>
  <c r="BF73" i="1"/>
  <c r="BA74" i="1" l="1"/>
  <c r="BD74" i="1"/>
  <c r="AZ74" i="1"/>
  <c r="BC74" i="1"/>
  <c r="BP74" i="1" l="1"/>
  <c r="BU74" i="1"/>
  <c r="BK74" i="1"/>
  <c r="BT74" i="1"/>
  <c r="BO74" i="1"/>
  <c r="BJ74" i="1"/>
  <c r="BF74" i="1" l="1"/>
  <c r="BG74" i="1"/>
  <c r="BA75" i="1" l="1"/>
  <c r="BD75" i="1"/>
  <c r="AZ75" i="1"/>
  <c r="BC75" i="1"/>
  <c r="BJ75" i="1" l="1"/>
  <c r="BO75" i="1"/>
  <c r="BT75" i="1"/>
  <c r="BP75" i="1"/>
  <c r="BU75" i="1"/>
  <c r="BK75" i="1"/>
  <c r="BG75" i="1" l="1"/>
  <c r="BF75" i="1"/>
  <c r="BA76" i="1" l="1"/>
  <c r="BD76" i="1"/>
  <c r="AZ76" i="1"/>
  <c r="BU76" i="1" s="1"/>
  <c r="BC76" i="1"/>
  <c r="BT76" i="1" l="1"/>
  <c r="BO76" i="1"/>
  <c r="BK76" i="1"/>
  <c r="BP76" i="1"/>
  <c r="BJ76" i="1"/>
  <c r="BF76" i="1" s="1"/>
  <c r="AZ77" i="1" s="1"/>
  <c r="BG76" i="1"/>
  <c r="BA77" i="1" s="1"/>
  <c r="BD77" i="1" l="1"/>
  <c r="BC77" i="1"/>
  <c r="BJ77" i="1" l="1"/>
  <c r="BO77" i="1"/>
  <c r="BT77" i="1"/>
  <c r="BU77" i="1"/>
  <c r="BK77" i="1"/>
  <c r="BP77" i="1"/>
  <c r="BG77" i="1" l="1"/>
  <c r="BF77" i="1"/>
  <c r="BA78" i="1" l="1"/>
  <c r="BD78" i="1"/>
  <c r="AZ78" i="1"/>
  <c r="BC78" i="1"/>
  <c r="BK78" i="1" l="1"/>
  <c r="BU78" i="1"/>
  <c r="BP78" i="1"/>
  <c r="BT78" i="1"/>
  <c r="BJ78" i="1"/>
  <c r="BO78" i="1"/>
  <c r="BF78" i="1" l="1"/>
  <c r="BG78" i="1"/>
  <c r="BA79" i="1" l="1"/>
  <c r="BD79" i="1"/>
  <c r="AZ79" i="1"/>
  <c r="BC79" i="1"/>
  <c r="BO79" i="1" l="1"/>
  <c r="BJ79" i="1"/>
  <c r="BT79" i="1"/>
  <c r="BK79" i="1"/>
  <c r="BP79" i="1"/>
  <c r="BU79" i="1"/>
  <c r="BG79" i="1" l="1"/>
  <c r="BF79" i="1"/>
  <c r="BA80" i="1" l="1"/>
  <c r="BD80" i="1"/>
  <c r="AZ80" i="1"/>
  <c r="BC80" i="1"/>
  <c r="BP80" i="1" l="1"/>
  <c r="BU80" i="1"/>
  <c r="BK80" i="1"/>
  <c r="BT80" i="1"/>
  <c r="BO80" i="1"/>
  <c r="BJ80" i="1"/>
  <c r="BF80" i="1" l="1"/>
  <c r="BG80" i="1"/>
  <c r="BA81" i="1" l="1"/>
  <c r="BD81" i="1"/>
  <c r="AZ81" i="1"/>
  <c r="BC81" i="1"/>
  <c r="BO81" i="1" l="1"/>
  <c r="BU81" i="1"/>
  <c r="BJ81" i="1"/>
  <c r="BP81" i="1"/>
  <c r="BK81" i="1"/>
  <c r="BT81" i="1"/>
  <c r="BG81" i="1" l="1"/>
  <c r="BF81" i="1"/>
  <c r="BA82" i="1" l="1"/>
  <c r="BD82" i="1"/>
  <c r="AZ82" i="1"/>
  <c r="BC82" i="1"/>
  <c r="BP82" i="1" l="1"/>
  <c r="BJ82" i="1"/>
  <c r="BO82" i="1"/>
  <c r="BU82" i="1"/>
  <c r="BK82" i="1"/>
  <c r="BT82" i="1"/>
  <c r="BG82" i="1" l="1"/>
  <c r="BF82" i="1"/>
  <c r="BA83" i="1" l="1"/>
  <c r="BD83" i="1"/>
  <c r="AZ83" i="1"/>
  <c r="BC83" i="1"/>
  <c r="BP83" i="1" l="1"/>
  <c r="BU83" i="1"/>
  <c r="BK83" i="1"/>
  <c r="BJ83" i="1"/>
  <c r="BO83" i="1"/>
  <c r="BT83" i="1"/>
  <c r="BF83" i="1" l="1"/>
  <c r="BG83" i="1"/>
  <c r="BA84" i="1" l="1"/>
  <c r="BD84" i="1"/>
  <c r="AZ84" i="1"/>
  <c r="BC84" i="1"/>
  <c r="BJ84" i="1" l="1"/>
  <c r="BO84" i="1"/>
  <c r="BT84" i="1"/>
  <c r="BU84" i="1"/>
  <c r="BP84" i="1"/>
  <c r="BK84" i="1"/>
  <c r="BG84" i="1" l="1"/>
  <c r="BD85" i="1" s="1"/>
  <c r="BF84" i="1"/>
  <c r="BA85" i="1" l="1"/>
  <c r="AZ85" i="1"/>
  <c r="BC85" i="1"/>
  <c r="BP85" i="1"/>
  <c r="BT85" i="1"/>
  <c r="BO85" i="1"/>
  <c r="BJ85" i="1"/>
  <c r="BU85" i="1" l="1"/>
  <c r="BK85" i="1"/>
  <c r="BG85" i="1" s="1"/>
  <c r="BF85" i="1"/>
  <c r="AZ86" i="1" s="1"/>
  <c r="BA86" i="1" l="1"/>
  <c r="BD86" i="1"/>
  <c r="BC86" i="1"/>
  <c r="BJ86" i="1"/>
  <c r="BO86" i="1"/>
  <c r="BT86" i="1"/>
  <c r="BP86" i="1"/>
  <c r="BU86" i="1"/>
  <c r="BK86" i="1"/>
  <c r="BG86" i="1" l="1"/>
  <c r="BA87" i="1" s="1"/>
  <c r="BF86" i="1"/>
  <c r="AZ87" i="1" s="1"/>
  <c r="BD87" i="1" l="1"/>
  <c r="BC87" i="1"/>
  <c r="BU87" i="1"/>
  <c r="BP87" i="1" l="1"/>
  <c r="BK87" i="1"/>
  <c r="BJ87" i="1"/>
  <c r="BT87" i="1"/>
  <c r="BO87" i="1"/>
  <c r="BG87" i="1" l="1"/>
  <c r="BF87" i="1"/>
  <c r="BA88" i="1" l="1"/>
  <c r="BD88" i="1"/>
  <c r="AZ88" i="1"/>
  <c r="BK88" i="1" s="1"/>
  <c r="BC88" i="1"/>
  <c r="BJ88" i="1" l="1"/>
  <c r="BO88" i="1"/>
  <c r="BT88" i="1"/>
  <c r="BP88" i="1"/>
  <c r="BU88" i="1"/>
  <c r="BG88" i="1" l="1"/>
  <c r="BF88" i="1"/>
  <c r="BA89" i="1" l="1"/>
  <c r="BD89" i="1"/>
  <c r="AZ89" i="1"/>
  <c r="BK89" i="1" s="1"/>
  <c r="BC89" i="1"/>
  <c r="BU89" i="1" l="1"/>
  <c r="BP89" i="1"/>
  <c r="BG89" i="1"/>
  <c r="BA90" i="1" s="1"/>
  <c r="BJ89" i="1"/>
  <c r="BO89" i="1"/>
  <c r="BT89" i="1"/>
  <c r="BD90" i="1" l="1"/>
  <c r="BF89" i="1"/>
  <c r="AZ90" i="1" l="1"/>
  <c r="BP90" i="1" s="1"/>
  <c r="BC90" i="1"/>
  <c r="BK90" i="1" l="1"/>
  <c r="BU90" i="1"/>
  <c r="BJ90" i="1"/>
  <c r="BT90" i="1"/>
  <c r="BO90" i="1"/>
  <c r="BG90" i="1" l="1"/>
  <c r="BF90" i="1"/>
  <c r="BA91" i="1" l="1"/>
  <c r="BD91" i="1"/>
  <c r="AZ91" i="1"/>
  <c r="BK91" i="1" s="1"/>
  <c r="BC91" i="1"/>
  <c r="BJ91" i="1" l="1"/>
  <c r="BT91" i="1"/>
  <c r="BO91" i="1"/>
  <c r="BU91" i="1"/>
  <c r="BP91" i="1"/>
  <c r="BG91" i="1" l="1"/>
  <c r="BF91" i="1"/>
  <c r="BA92" i="1" l="1"/>
  <c r="BD92" i="1"/>
  <c r="AZ92" i="1"/>
  <c r="BP92" i="1" s="1"/>
  <c r="BC92" i="1"/>
  <c r="BU92" i="1" l="1"/>
  <c r="BK92" i="1"/>
  <c r="BT92" i="1"/>
  <c r="BJ92" i="1"/>
  <c r="BO92" i="1"/>
  <c r="BF92" i="1" l="1"/>
  <c r="BG92" i="1"/>
  <c r="BA93" i="1" l="1"/>
  <c r="BD93" i="1"/>
  <c r="AZ93" i="1"/>
  <c r="BC93" i="1"/>
  <c r="BJ93" i="1" l="1"/>
  <c r="BO93" i="1"/>
  <c r="BT93" i="1"/>
  <c r="BP93" i="1"/>
  <c r="BK93" i="1"/>
  <c r="BU93" i="1"/>
  <c r="BG93" i="1" l="1"/>
  <c r="BF93" i="1"/>
  <c r="BA94" i="1" l="1"/>
  <c r="BD94" i="1"/>
  <c r="AZ94" i="1"/>
  <c r="BC94" i="1"/>
  <c r="BP94" i="1" l="1"/>
  <c r="BU94" i="1"/>
  <c r="BK94" i="1"/>
  <c r="BJ94" i="1"/>
  <c r="BO94" i="1"/>
  <c r="BT94" i="1"/>
  <c r="BG94" i="1" l="1"/>
  <c r="BD95" i="1" s="1"/>
  <c r="BF94" i="1"/>
  <c r="BA95" i="1" l="1"/>
  <c r="AZ95" i="1"/>
  <c r="BJ95" i="1" s="1"/>
  <c r="BC95" i="1"/>
  <c r="BO95" i="1"/>
  <c r="BK95" i="1"/>
  <c r="BT95" i="1" l="1"/>
  <c r="BP95" i="1"/>
  <c r="BU95" i="1"/>
  <c r="BG95" i="1" s="1"/>
  <c r="BF95" i="1"/>
  <c r="AZ96" i="1" s="1"/>
  <c r="BA96" i="1" l="1"/>
  <c r="BD96" i="1"/>
  <c r="BC96" i="1"/>
  <c r="BP96" i="1" l="1"/>
  <c r="BO96" i="1"/>
  <c r="BT96" i="1"/>
  <c r="BJ96" i="1"/>
  <c r="BU96" i="1"/>
  <c r="BK96" i="1"/>
  <c r="BG96" i="1" l="1"/>
  <c r="BF96" i="1"/>
  <c r="BA97" i="1" l="1"/>
  <c r="BD97" i="1"/>
  <c r="AZ97" i="1"/>
  <c r="BP97" i="1" s="1"/>
  <c r="BC97" i="1"/>
  <c r="BU97" i="1" l="1"/>
  <c r="BK97" i="1"/>
  <c r="BT97" i="1"/>
  <c r="BO97" i="1"/>
  <c r="BJ97" i="1"/>
  <c r="BG97" i="1"/>
  <c r="BA98" i="1" s="1"/>
  <c r="BF97" i="1"/>
  <c r="AZ98" i="1" s="1"/>
  <c r="BD98" i="1" l="1"/>
  <c r="BC98" i="1"/>
  <c r="BK98" i="1"/>
  <c r="BU98" i="1" l="1"/>
  <c r="BP98" i="1"/>
  <c r="BJ98" i="1"/>
  <c r="BO98" i="1"/>
  <c r="BT98" i="1"/>
  <c r="BG98" i="1" l="1"/>
  <c r="BF98" i="1"/>
  <c r="BA99" i="1" l="1"/>
  <c r="BD99" i="1"/>
  <c r="AZ99" i="1"/>
  <c r="BJ99" i="1" s="1"/>
  <c r="BC99" i="1"/>
  <c r="BU99" i="1"/>
  <c r="BP99" i="1"/>
  <c r="BT99" i="1" l="1"/>
  <c r="BK99" i="1"/>
  <c r="BG99" i="1" s="1"/>
  <c r="BO99" i="1"/>
  <c r="BF99" i="1" s="1"/>
  <c r="BA100" i="1" l="1"/>
  <c r="BD100" i="1"/>
  <c r="AZ100" i="1"/>
  <c r="BC100" i="1"/>
  <c r="BP100" i="1" l="1"/>
  <c r="BU100" i="1"/>
  <c r="BK100" i="1"/>
  <c r="BT100" i="1"/>
  <c r="BJ100" i="1"/>
  <c r="BO100" i="1"/>
  <c r="BF100" i="1" l="1"/>
  <c r="BG100" i="1"/>
  <c r="BA101" i="1" l="1"/>
  <c r="BD101" i="1"/>
  <c r="AZ101" i="1"/>
  <c r="BC101" i="1"/>
  <c r="BT101" i="1" l="1"/>
  <c r="BJ101" i="1"/>
  <c r="BO101" i="1"/>
  <c r="BU101" i="1"/>
  <c r="BK101" i="1"/>
  <c r="BP101" i="1"/>
  <c r="BF101" i="1" l="1"/>
  <c r="BG101" i="1"/>
  <c r="BA102" i="1" l="1"/>
  <c r="BD102" i="1"/>
  <c r="AZ102" i="1"/>
  <c r="BC102" i="1"/>
  <c r="BJ102" i="1" l="1"/>
  <c r="BO102" i="1"/>
  <c r="BT102" i="1"/>
  <c r="BK102" i="1"/>
  <c r="BP102" i="1"/>
  <c r="BU102" i="1"/>
  <c r="BG102" i="1" l="1"/>
  <c r="BF102" i="1"/>
  <c r="BA103" i="1" l="1"/>
  <c r="BD103" i="1"/>
  <c r="AZ103" i="1"/>
  <c r="BU103" i="1" s="1"/>
  <c r="BC103" i="1"/>
  <c r="BK103" i="1"/>
  <c r="BT103" i="1"/>
  <c r="BJ103" i="1"/>
  <c r="BO103" i="1"/>
  <c r="BP103" i="1" l="1"/>
  <c r="BF103" i="1"/>
  <c r="AZ104" i="1" s="1"/>
  <c r="BG103" i="1"/>
  <c r="BA104" i="1" s="1"/>
  <c r="BD104" i="1" l="1"/>
  <c r="BC104" i="1"/>
  <c r="BK104" i="1" l="1"/>
  <c r="BP104" i="1"/>
  <c r="BU104" i="1"/>
  <c r="BO104" i="1"/>
  <c r="BT104" i="1"/>
  <c r="BJ104" i="1"/>
  <c r="BF104" i="1" l="1"/>
  <c r="BG104" i="1"/>
  <c r="BA105" i="1" l="1"/>
  <c r="BD105" i="1"/>
  <c r="AZ105" i="1"/>
  <c r="BC105" i="1"/>
  <c r="BJ105" i="1"/>
  <c r="BT105" i="1"/>
  <c r="BO105" i="1"/>
  <c r="BF105" i="1" l="1"/>
  <c r="AZ106" i="1" s="1"/>
  <c r="BK105" i="1"/>
  <c r="BU105" i="1"/>
  <c r="BP105" i="1"/>
  <c r="BC106" i="1" l="1"/>
  <c r="BG105" i="1"/>
  <c r="BD106" i="1" s="1"/>
  <c r="BA106" i="1" l="1"/>
  <c r="BP106" i="1" s="1"/>
  <c r="BO106" i="1"/>
  <c r="BT106" i="1" l="1"/>
  <c r="BJ106" i="1"/>
  <c r="BU106" i="1"/>
  <c r="BK106" i="1"/>
  <c r="BF106" i="1"/>
  <c r="BG106" i="1" l="1"/>
  <c r="BD107" i="1" s="1"/>
  <c r="AZ107" i="1"/>
  <c r="BC107" i="1"/>
  <c r="BA107" i="1" l="1"/>
  <c r="BK107" i="1" l="1"/>
  <c r="BP107" i="1"/>
  <c r="BU107" i="1"/>
  <c r="BO107" i="1"/>
  <c r="BT107" i="1"/>
  <c r="BJ107" i="1"/>
  <c r="BG107" i="1" l="1"/>
  <c r="BD108" i="1" s="1"/>
  <c r="BF107" i="1"/>
  <c r="AZ108" i="1" l="1"/>
  <c r="BC108" i="1"/>
  <c r="BA108" i="1"/>
  <c r="BP108" i="1" l="1"/>
  <c r="BU108" i="1"/>
  <c r="BK108" i="1"/>
  <c r="BO108" i="1"/>
  <c r="BJ108" i="1"/>
  <c r="BT108" i="1"/>
  <c r="BG108" i="1" l="1"/>
  <c r="BD109" i="1" s="1"/>
  <c r="BF108" i="1"/>
  <c r="BC109" i="1" l="1"/>
  <c r="AZ109" i="1"/>
  <c r="BA109" i="1"/>
  <c r="BK109" i="1" l="1"/>
  <c r="BU109" i="1"/>
  <c r="BP109" i="1"/>
  <c r="BJ109" i="1"/>
  <c r="BF109" i="1" s="1"/>
  <c r="BC110" i="1" s="1"/>
  <c r="BT109" i="1"/>
  <c r="BO109" i="1"/>
  <c r="BG109" i="1" l="1"/>
  <c r="BD110" i="1" s="1"/>
  <c r="AZ110" i="1"/>
  <c r="BA110" i="1" l="1"/>
  <c r="BK110" i="1" l="1"/>
  <c r="BU110" i="1"/>
  <c r="BP110" i="1"/>
  <c r="BO110" i="1"/>
  <c r="BT110" i="1"/>
  <c r="BJ110" i="1"/>
  <c r="BG110" i="1" l="1"/>
  <c r="BD111" i="1" s="1"/>
  <c r="BF110" i="1"/>
  <c r="AZ111" i="1" l="1"/>
  <c r="BC111" i="1"/>
  <c r="BA111" i="1"/>
  <c r="BU111" i="1" l="1"/>
  <c r="BP111" i="1"/>
  <c r="BK111" i="1"/>
  <c r="BO111" i="1"/>
  <c r="BJ111" i="1"/>
  <c r="BT111" i="1"/>
  <c r="BF111" i="1" l="1"/>
  <c r="AZ112" i="1"/>
  <c r="BC112" i="1"/>
  <c r="BG111" i="1"/>
  <c r="BD112" i="1" s="1"/>
  <c r="BA112" i="1" l="1"/>
  <c r="BJ112" i="1" s="1"/>
  <c r="BO112" i="1"/>
  <c r="BT112" i="1" l="1"/>
  <c r="BF112" i="1" s="1"/>
  <c r="BP112" i="1"/>
  <c r="BK112" i="1"/>
  <c r="BU112" i="1"/>
  <c r="BC113" i="1" l="1"/>
  <c r="AZ113" i="1"/>
  <c r="BG112" i="1"/>
  <c r="BD113" i="1" s="1"/>
  <c r="BA113" i="1" l="1"/>
  <c r="BP113" i="1" l="1"/>
  <c r="BO113" i="1"/>
  <c r="BT113" i="1"/>
  <c r="BU113" i="1"/>
  <c r="BJ113" i="1"/>
  <c r="BK113" i="1"/>
  <c r="BG113" i="1" s="1"/>
  <c r="BA114" i="1" l="1"/>
  <c r="BD114" i="1"/>
  <c r="BF113" i="1"/>
  <c r="AZ114" i="1"/>
  <c r="BU114" i="1" s="1"/>
  <c r="BC114" i="1"/>
  <c r="BJ114" i="1" l="1"/>
  <c r="BO114" i="1"/>
  <c r="BT114" i="1"/>
  <c r="BK114" i="1"/>
  <c r="BP114" i="1"/>
  <c r="BG114" i="1" l="1"/>
  <c r="BF114" i="1"/>
  <c r="BA115" i="1" l="1"/>
  <c r="BD115" i="1"/>
  <c r="AZ115" i="1"/>
  <c r="BC115" i="1"/>
  <c r="BO115" i="1" l="1"/>
  <c r="BJ115" i="1"/>
  <c r="BT115" i="1"/>
  <c r="BP115" i="1"/>
  <c r="BK115" i="1"/>
  <c r="BU115" i="1"/>
  <c r="BG115" i="1" l="1"/>
  <c r="BD116" i="1" s="1"/>
  <c r="BF115" i="1"/>
  <c r="AZ116" i="1" l="1"/>
  <c r="BC116" i="1"/>
  <c r="BA116" i="1"/>
  <c r="BK116" i="1" l="1"/>
  <c r="BU116" i="1"/>
  <c r="BP116" i="1"/>
  <c r="BJ116" i="1"/>
  <c r="BO116" i="1"/>
  <c r="BT116" i="1"/>
  <c r="BF116" i="1" l="1"/>
  <c r="AZ117" i="1" s="1"/>
  <c r="BG116" i="1"/>
  <c r="BD117" i="1" s="1"/>
  <c r="BC117" i="1"/>
  <c r="BA117" i="1" l="1"/>
  <c r="BP117" i="1" l="1"/>
  <c r="BU117" i="1"/>
  <c r="BK117" i="1"/>
  <c r="BT117" i="1"/>
  <c r="BJ117" i="1"/>
  <c r="BO117" i="1"/>
  <c r="BF117" i="1" l="1"/>
  <c r="BG117" i="1"/>
  <c r="AZ118" i="1"/>
  <c r="BC118" i="1"/>
  <c r="BA118" i="1" l="1"/>
  <c r="BD118" i="1"/>
  <c r="BO118" i="1"/>
  <c r="BT118" i="1"/>
  <c r="BJ118" i="1"/>
  <c r="BK118" i="1"/>
  <c r="BP118" i="1"/>
  <c r="BU118" i="1"/>
  <c r="BG118" i="1" l="1"/>
  <c r="BA119" i="1" s="1"/>
  <c r="BF118" i="1"/>
  <c r="BC119" i="1" s="1"/>
  <c r="AZ119" i="1"/>
  <c r="BD119" i="1" l="1"/>
  <c r="BJ119" i="1"/>
  <c r="BO119" i="1"/>
  <c r="BT119" i="1"/>
  <c r="BP119" i="1"/>
  <c r="BU119" i="1"/>
  <c r="BK119" i="1"/>
  <c r="BG119" i="1" l="1"/>
  <c r="BA120" i="1" s="1"/>
  <c r="BF119" i="1"/>
  <c r="BD120" i="1" l="1"/>
  <c r="BC120" i="1"/>
  <c r="AZ120" i="1"/>
  <c r="BT120" i="1" l="1"/>
  <c r="BJ120" i="1"/>
  <c r="BO120" i="1"/>
  <c r="BP120" i="1"/>
  <c r="BK120" i="1"/>
  <c r="BU120" i="1"/>
  <c r="BG120" i="1" l="1"/>
  <c r="BD121" i="1" s="1"/>
  <c r="BF120" i="1"/>
  <c r="BC121" i="1" l="1"/>
  <c r="AZ121" i="1"/>
  <c r="BA121" i="1"/>
  <c r="BJ121" i="1" l="1"/>
  <c r="BO121" i="1"/>
  <c r="BT121" i="1"/>
  <c r="BK121" i="1"/>
  <c r="BG121" i="1" s="1"/>
  <c r="BD122" i="1" s="1"/>
  <c r="BU121" i="1"/>
  <c r="BP121" i="1"/>
  <c r="BA122" i="1" l="1"/>
  <c r="BF121" i="1"/>
  <c r="AZ122" i="1" l="1"/>
  <c r="BP122" i="1" s="1"/>
  <c r="BC122" i="1"/>
  <c r="BK122" i="1"/>
  <c r="BU122" i="1"/>
  <c r="BG122" i="1" l="1"/>
  <c r="BD123" i="1" s="1"/>
  <c r="BA123" i="1"/>
  <c r="BT122" i="1"/>
  <c r="BJ122" i="1"/>
  <c r="BO122" i="1"/>
  <c r="BF122" i="1" l="1"/>
  <c r="BC123" i="1" s="1"/>
  <c r="AZ123" i="1"/>
  <c r="BU123" i="1" s="1"/>
  <c r="BP123" i="1" l="1"/>
  <c r="BT123" i="1"/>
  <c r="BJ123" i="1"/>
  <c r="BO123" i="1"/>
  <c r="BK123" i="1"/>
  <c r="BG123" i="1" s="1"/>
  <c r="BD124" i="1" s="1"/>
  <c r="BF123" i="1" l="1"/>
  <c r="BA124" i="1"/>
  <c r="AZ124" i="1" l="1"/>
  <c r="BC124" i="1"/>
  <c r="BO124" i="1" l="1"/>
  <c r="BJ124" i="1"/>
  <c r="BT124" i="1"/>
  <c r="BK124" i="1"/>
  <c r="BU124" i="1"/>
  <c r="BP124" i="1"/>
  <c r="BF124" i="1" l="1"/>
  <c r="BG124" i="1"/>
  <c r="BD125" i="1" s="1"/>
  <c r="BA125" i="1" l="1"/>
  <c r="AZ125" i="1"/>
  <c r="BC125" i="1"/>
  <c r="BK125" i="1" l="1"/>
  <c r="BP125" i="1"/>
  <c r="BO125" i="1"/>
  <c r="BJ125" i="1"/>
  <c r="BT125" i="1"/>
  <c r="BU125" i="1"/>
  <c r="BF125" i="1" l="1"/>
  <c r="BC126" i="1" s="1"/>
  <c r="BG125" i="1"/>
  <c r="BD126" i="1" s="1"/>
  <c r="AZ126" i="1"/>
  <c r="BA126" i="1"/>
  <c r="BP126" i="1" l="1"/>
  <c r="BK126" i="1"/>
  <c r="BU126" i="1"/>
  <c r="BJ126" i="1"/>
  <c r="BO126" i="1"/>
  <c r="BT126" i="1"/>
  <c r="BG126" i="1" l="1"/>
  <c r="BD127" i="1" s="1"/>
  <c r="BF126" i="1"/>
  <c r="BA127" i="1"/>
  <c r="AZ127" i="1" l="1"/>
  <c r="BC127" i="1"/>
  <c r="BJ127" i="1" l="1"/>
  <c r="BT127" i="1"/>
  <c r="BO127" i="1"/>
  <c r="BK127" i="1"/>
  <c r="BP127" i="1"/>
  <c r="BU127" i="1"/>
  <c r="BF127" i="1" l="1"/>
  <c r="AZ128" i="1" s="1"/>
  <c r="BC128" i="1"/>
  <c r="BG127" i="1"/>
  <c r="BD128" i="1" s="1"/>
  <c r="BA128" i="1" l="1"/>
  <c r="BK128" i="1" l="1"/>
  <c r="BU128" i="1"/>
  <c r="BP128" i="1"/>
  <c r="BJ128" i="1"/>
  <c r="BO128" i="1"/>
  <c r="BT128" i="1"/>
  <c r="BF128" i="1" l="1"/>
  <c r="BG128" i="1"/>
  <c r="BD129" i="1" s="1"/>
  <c r="BA129" i="1" l="1"/>
  <c r="AZ129" i="1"/>
  <c r="BC129" i="1"/>
  <c r="BJ129" i="1" l="1"/>
  <c r="BT129" i="1"/>
  <c r="BO129" i="1"/>
  <c r="BP129" i="1"/>
  <c r="BU129" i="1"/>
  <c r="BK129" i="1"/>
  <c r="BG129" i="1" l="1"/>
  <c r="BD130" i="1" s="1"/>
  <c r="BF129" i="1"/>
  <c r="AZ130" i="1" l="1"/>
  <c r="BC130" i="1"/>
  <c r="BA130" i="1"/>
  <c r="BP130" i="1" l="1"/>
  <c r="BK130" i="1"/>
  <c r="BU130" i="1"/>
  <c r="BJ130" i="1"/>
  <c r="BT130" i="1"/>
  <c r="BO130" i="1"/>
  <c r="BF130" i="1" l="1"/>
  <c r="AZ131" i="1" s="1"/>
  <c r="BG130" i="1"/>
  <c r="BD131" i="1" s="1"/>
  <c r="BC131" i="1"/>
  <c r="BA131" i="1" l="1"/>
  <c r="BU131" i="1" l="1"/>
  <c r="BP131" i="1"/>
  <c r="BK131" i="1"/>
  <c r="BG131" i="1" s="1"/>
  <c r="BD132" i="1" s="1"/>
  <c r="BT131" i="1"/>
  <c r="BO131" i="1"/>
  <c r="BJ131" i="1"/>
  <c r="BA132" i="1" l="1"/>
  <c r="BF131" i="1"/>
  <c r="AZ132" i="1" l="1"/>
  <c r="BC132" i="1"/>
  <c r="BK132" i="1"/>
  <c r="BU132" i="1"/>
  <c r="BP132" i="1"/>
  <c r="BG132" i="1" l="1"/>
  <c r="BD133" i="1" s="1"/>
  <c r="BT132" i="1"/>
  <c r="BO132" i="1"/>
  <c r="BJ132" i="1"/>
  <c r="BF132" i="1" s="1"/>
  <c r="BC133" i="1" s="1"/>
  <c r="AZ133" i="1" l="1"/>
  <c r="BA133" i="1"/>
  <c r="BP133" i="1" l="1"/>
  <c r="BU133" i="1"/>
  <c r="BK133" i="1"/>
  <c r="BG133" i="1" s="1"/>
  <c r="BD134" i="1" s="1"/>
  <c r="BT133" i="1"/>
  <c r="BO133" i="1"/>
  <c r="BJ133" i="1"/>
  <c r="BA134" i="1" l="1"/>
  <c r="BF133" i="1"/>
  <c r="BC134" i="1" l="1"/>
  <c r="AZ134" i="1"/>
  <c r="BP134" i="1" s="1"/>
  <c r="BJ134" i="1" l="1"/>
  <c r="BT134" i="1"/>
  <c r="BO134" i="1"/>
  <c r="BK134" i="1"/>
  <c r="BU134" i="1"/>
  <c r="BG134" i="1" l="1"/>
  <c r="BD135" i="1" s="1"/>
  <c r="BA135" i="1"/>
  <c r="BF134" i="1"/>
  <c r="AZ135" i="1" l="1"/>
  <c r="BC135" i="1"/>
  <c r="BJ135" i="1" l="1"/>
  <c r="BT135" i="1"/>
  <c r="BO135" i="1"/>
  <c r="BU135" i="1"/>
  <c r="BK135" i="1"/>
  <c r="BP135" i="1"/>
  <c r="BG135" i="1" l="1"/>
  <c r="BD136" i="1" s="1"/>
  <c r="BF135" i="1"/>
  <c r="AZ136" i="1" l="1"/>
  <c r="BC136" i="1"/>
  <c r="BA136" i="1"/>
  <c r="BU136" i="1" l="1"/>
  <c r="BK136" i="1"/>
  <c r="BP136" i="1"/>
  <c r="BJ136" i="1"/>
  <c r="BT136" i="1"/>
  <c r="BO136" i="1"/>
  <c r="BF136" i="1" l="1"/>
  <c r="BG136" i="1"/>
  <c r="BD137" i="1" s="1"/>
  <c r="BA137" i="1" l="1"/>
  <c r="AZ137" i="1"/>
  <c r="BC137" i="1"/>
  <c r="BO137" i="1" l="1"/>
  <c r="BJ137" i="1"/>
  <c r="BT137" i="1"/>
  <c r="BU137" i="1"/>
  <c r="BP137" i="1"/>
  <c r="BK137" i="1"/>
  <c r="BF137" i="1" l="1"/>
  <c r="BG137" i="1"/>
  <c r="BD138" i="1" s="1"/>
  <c r="BA138" i="1" l="1"/>
  <c r="BC138" i="1"/>
  <c r="AZ138" i="1"/>
  <c r="BJ138" i="1" l="1"/>
  <c r="BO138" i="1"/>
  <c r="BT138" i="1"/>
  <c r="BU138" i="1"/>
  <c r="BP138" i="1"/>
  <c r="BK138" i="1"/>
  <c r="BG138" i="1" l="1"/>
  <c r="BD139" i="1" s="1"/>
  <c r="BA139" i="1"/>
  <c r="BF138" i="1"/>
  <c r="AZ139" i="1" l="1"/>
  <c r="BC139" i="1"/>
  <c r="BO139" i="1" l="1"/>
  <c r="BT139" i="1"/>
  <c r="BJ139" i="1"/>
  <c r="BF139" i="1" s="1"/>
  <c r="BC140" i="1" s="1"/>
  <c r="BK139" i="1"/>
  <c r="BU139" i="1"/>
  <c r="BP139" i="1"/>
  <c r="BG139" i="1" l="1"/>
  <c r="BD140" i="1" s="1"/>
  <c r="AZ140" i="1"/>
  <c r="BA140" i="1" l="1"/>
  <c r="BK140" i="1" l="1"/>
  <c r="BP140" i="1"/>
  <c r="BU140" i="1"/>
  <c r="BJ140" i="1"/>
  <c r="BO140" i="1"/>
  <c r="BT140" i="1"/>
  <c r="BF140" i="1" l="1"/>
  <c r="BG140" i="1"/>
  <c r="BD141" i="1" s="1"/>
  <c r="BA141" i="1" l="1"/>
  <c r="BC141" i="1"/>
  <c r="AZ141" i="1"/>
  <c r="BJ141" i="1" l="1"/>
  <c r="BT141" i="1"/>
  <c r="BO141" i="1"/>
  <c r="BP141" i="1"/>
  <c r="BK141" i="1"/>
  <c r="BU141" i="1"/>
  <c r="BG141" i="1" l="1"/>
  <c r="BD142" i="1" s="1"/>
  <c r="BA142" i="1"/>
  <c r="BF141" i="1"/>
  <c r="AZ142" i="1" l="1"/>
  <c r="BK142" i="1" s="1"/>
  <c r="BC142" i="1"/>
  <c r="BU142" i="1"/>
  <c r="BP142" i="1"/>
  <c r="BG142" i="1" l="1"/>
  <c r="BD143" i="1" s="1"/>
  <c r="BO142" i="1"/>
  <c r="BT142" i="1"/>
  <c r="BJ142" i="1"/>
  <c r="BF142" i="1" s="1"/>
  <c r="AZ143" i="1" s="1"/>
  <c r="BC143" i="1" l="1"/>
  <c r="BA143" i="1"/>
  <c r="BP143" i="1" l="1"/>
  <c r="BU143" i="1"/>
  <c r="BK143" i="1"/>
  <c r="BG143" i="1" s="1"/>
  <c r="BO143" i="1"/>
  <c r="BJ143" i="1"/>
  <c r="BT143" i="1"/>
  <c r="BA144" i="1" l="1"/>
  <c r="BD144" i="1"/>
  <c r="BF143" i="1"/>
  <c r="BC144" i="1" l="1"/>
  <c r="AZ144" i="1"/>
  <c r="BJ144" i="1" l="1"/>
  <c r="BT144" i="1"/>
  <c r="BO144" i="1"/>
  <c r="BU144" i="1"/>
  <c r="BP144" i="1"/>
  <c r="BK144" i="1"/>
  <c r="BG144" i="1" l="1"/>
  <c r="BD145" i="1" s="1"/>
  <c r="BA145" i="1"/>
  <c r="BF144" i="1"/>
  <c r="AZ145" i="1" l="1"/>
  <c r="BP145" i="1" s="1"/>
  <c r="BC145" i="1"/>
  <c r="BJ145" i="1" l="1"/>
  <c r="BO145" i="1"/>
  <c r="BT145" i="1"/>
  <c r="BK145" i="1"/>
  <c r="BU145" i="1"/>
  <c r="BG145" i="1" l="1"/>
  <c r="BD146" i="1" s="1"/>
  <c r="BF145" i="1"/>
  <c r="BC146" i="1" l="1"/>
  <c r="AZ146" i="1"/>
  <c r="BA146" i="1"/>
  <c r="BT146" i="1" l="1"/>
  <c r="BJ146" i="1"/>
  <c r="BO146" i="1"/>
  <c r="BP146" i="1"/>
  <c r="BK146" i="1"/>
  <c r="BU146" i="1"/>
  <c r="BF146" i="1" l="1"/>
  <c r="BG146" i="1"/>
  <c r="BD147" i="1" s="1"/>
  <c r="BA147" i="1" l="1"/>
  <c r="BC147" i="1"/>
  <c r="AZ147" i="1"/>
  <c r="BK147" i="1" l="1"/>
  <c r="BP147" i="1"/>
  <c r="BU147" i="1"/>
  <c r="BJ147" i="1"/>
  <c r="BO147" i="1"/>
  <c r="BT147" i="1"/>
  <c r="BF147" i="1" l="1"/>
  <c r="BG147" i="1"/>
  <c r="BD148" i="1" s="1"/>
  <c r="BA148" i="1" l="1"/>
  <c r="AZ148" i="1"/>
  <c r="BC148" i="1"/>
  <c r="BT148" i="1" l="1"/>
  <c r="BJ148" i="1"/>
  <c r="BO148" i="1"/>
  <c r="BU148" i="1"/>
  <c r="BK148" i="1"/>
  <c r="BP148" i="1"/>
  <c r="BF148" i="1" l="1"/>
  <c r="BG148" i="1"/>
  <c r="BD149" i="1" s="1"/>
  <c r="BA149" i="1" l="1"/>
  <c r="AZ149" i="1"/>
  <c r="BC149" i="1"/>
  <c r="BJ149" i="1" l="1"/>
  <c r="BO149" i="1"/>
  <c r="BT149" i="1"/>
  <c r="BP149" i="1"/>
  <c r="BK149" i="1"/>
  <c r="BU149" i="1"/>
  <c r="BG149" i="1" l="1"/>
  <c r="BF149" i="1"/>
  <c r="BA150" i="1" l="1"/>
  <c r="BD150" i="1"/>
  <c r="BC150" i="1"/>
  <c r="AZ150" i="1"/>
  <c r="BJ150" i="1" l="1"/>
  <c r="BO150" i="1"/>
  <c r="BT150" i="1"/>
  <c r="BK150" i="1"/>
  <c r="BU150" i="1"/>
  <c r="BP150" i="1"/>
  <c r="BG150" i="1" l="1"/>
  <c r="BD151" i="1" s="1"/>
  <c r="BF150" i="1"/>
  <c r="AZ151" i="1" l="1"/>
  <c r="BC151" i="1"/>
  <c r="BA151" i="1"/>
  <c r="BU151" i="1" l="1"/>
  <c r="BP151" i="1"/>
  <c r="BK151" i="1"/>
  <c r="BT151" i="1"/>
  <c r="BO151" i="1"/>
  <c r="BJ151" i="1"/>
  <c r="BG151" i="1" l="1"/>
  <c r="BD152" i="1" s="1"/>
  <c r="BA152" i="1"/>
  <c r="BF151" i="1"/>
  <c r="BC152" i="1" l="1"/>
  <c r="AZ152" i="1"/>
  <c r="BU152" i="1" l="1"/>
  <c r="BJ152" i="1"/>
  <c r="BT152" i="1"/>
  <c r="BO152" i="1"/>
  <c r="BP152" i="1"/>
  <c r="BK152" i="1"/>
  <c r="BG152" i="1" l="1"/>
  <c r="BD153" i="1" s="1"/>
  <c r="BF152" i="1"/>
  <c r="BA153" i="1"/>
  <c r="AZ153" i="1" l="1"/>
  <c r="BC153" i="1"/>
  <c r="BT153" i="1" l="1"/>
  <c r="BJ153" i="1"/>
  <c r="BO153" i="1"/>
  <c r="BK153" i="1"/>
  <c r="BP153" i="1"/>
  <c r="BU153" i="1"/>
  <c r="BG153" i="1" l="1"/>
  <c r="BD154" i="1" s="1"/>
  <c r="BF153" i="1"/>
  <c r="BC154" i="1" l="1"/>
  <c r="AZ154" i="1"/>
  <c r="BA154" i="1"/>
  <c r="BJ154" i="1" l="1"/>
  <c r="BT154" i="1"/>
  <c r="BO154" i="1"/>
  <c r="BK154" i="1"/>
  <c r="BP154" i="1"/>
  <c r="BU154" i="1"/>
  <c r="BG154" i="1" l="1"/>
  <c r="BD155" i="1" s="1"/>
  <c r="BF154" i="1"/>
  <c r="BC155" i="1" l="1"/>
  <c r="AZ155" i="1"/>
  <c r="BA155" i="1"/>
  <c r="BJ155" i="1" l="1"/>
  <c r="BO155" i="1"/>
  <c r="BT155" i="1"/>
  <c r="BK155" i="1"/>
  <c r="BP155" i="1"/>
  <c r="BU155" i="1"/>
  <c r="BG155" i="1" l="1"/>
  <c r="BD156" i="1" s="1"/>
  <c r="BA156" i="1"/>
  <c r="BF155" i="1"/>
  <c r="BC156" i="1" l="1"/>
  <c r="AZ156" i="1"/>
  <c r="BK156" i="1" s="1"/>
  <c r="BT156" i="1" l="1"/>
  <c r="BJ156" i="1"/>
  <c r="BO156" i="1"/>
  <c r="BU156" i="1"/>
  <c r="BP156" i="1"/>
  <c r="BG156" i="1" s="1"/>
  <c r="BD157" i="1" s="1"/>
  <c r="BF156" i="1" l="1"/>
  <c r="BA157" i="1"/>
  <c r="AZ157" i="1" l="1"/>
  <c r="BT157" i="1" s="1"/>
  <c r="BC157" i="1"/>
  <c r="BK157" i="1"/>
  <c r="BP157" i="1"/>
  <c r="BU157" i="1"/>
  <c r="BO157" i="1"/>
  <c r="BJ157" i="1"/>
  <c r="BF157" i="1" l="1"/>
  <c r="AZ158" i="1"/>
  <c r="BC158" i="1"/>
  <c r="BG157" i="1"/>
  <c r="BD158" i="1" s="1"/>
  <c r="BA158" i="1" l="1"/>
  <c r="BO158" i="1" s="1"/>
  <c r="BT158" i="1"/>
  <c r="BK158" i="1" l="1"/>
  <c r="BU158" i="1"/>
  <c r="BP158" i="1"/>
  <c r="BJ158" i="1"/>
  <c r="BF158" i="1" s="1"/>
  <c r="BC159" i="1" l="1"/>
  <c r="AZ159" i="1"/>
  <c r="BG158" i="1"/>
  <c r="BD159" i="1" s="1"/>
  <c r="BA159" i="1" l="1"/>
  <c r="BO159" i="1" s="1"/>
  <c r="BP159" i="1" l="1"/>
  <c r="BK159" i="1"/>
  <c r="BG159" i="1" s="1"/>
  <c r="BD160" i="1" s="1"/>
  <c r="BU159" i="1"/>
  <c r="BT159" i="1"/>
  <c r="BJ159" i="1"/>
  <c r="BF159" i="1" l="1"/>
  <c r="BA160" i="1"/>
  <c r="AZ160" i="1" l="1"/>
  <c r="BC160" i="1"/>
  <c r="BT160" i="1" l="1"/>
  <c r="BJ160" i="1"/>
  <c r="BO160" i="1"/>
  <c r="BK160" i="1"/>
  <c r="BP160" i="1"/>
  <c r="BU160" i="1"/>
  <c r="BG160" i="1" l="1"/>
  <c r="BD161" i="1" s="1"/>
  <c r="BA161" i="1"/>
  <c r="BF160" i="1"/>
  <c r="AZ161" i="1" l="1"/>
  <c r="BC161" i="1"/>
  <c r="BP161" i="1" l="1"/>
  <c r="BJ161" i="1"/>
  <c r="BO161" i="1"/>
  <c r="BT161" i="1"/>
  <c r="BK161" i="1"/>
  <c r="BU161" i="1"/>
  <c r="BG161" i="1" l="1"/>
  <c r="BD162" i="1" s="1"/>
  <c r="BA162" i="1"/>
  <c r="BF161" i="1"/>
  <c r="BC162" i="1" l="1"/>
  <c r="AZ162" i="1"/>
  <c r="BK162" i="1" s="1"/>
  <c r="BT162" i="1" l="1"/>
  <c r="BJ162" i="1"/>
  <c r="BO162" i="1"/>
  <c r="BU162" i="1"/>
  <c r="BP162" i="1"/>
  <c r="BG162" i="1" l="1"/>
  <c r="BD163" i="1" s="1"/>
  <c r="BA163" i="1"/>
  <c r="BF162" i="1"/>
  <c r="AZ163" i="1" l="1"/>
  <c r="BC163" i="1"/>
  <c r="BU163" i="1"/>
  <c r="BP163" i="1"/>
  <c r="BK163" i="1"/>
  <c r="BG163" i="1" s="1"/>
  <c r="BA164" i="1" s="1"/>
  <c r="BD164" i="1" l="1"/>
  <c r="BJ163" i="1"/>
  <c r="BO163" i="1"/>
  <c r="BT163" i="1"/>
  <c r="BF163" i="1" l="1"/>
  <c r="BC164" i="1" s="1"/>
  <c r="AZ164" i="1"/>
  <c r="BO164" i="1" l="1"/>
  <c r="BT164" i="1"/>
  <c r="BJ164" i="1"/>
  <c r="BP164" i="1"/>
  <c r="BU164" i="1"/>
  <c r="BK164" i="1"/>
  <c r="BF164" i="1" l="1"/>
  <c r="BG164" i="1"/>
  <c r="BD165" i="1" s="1"/>
  <c r="AZ165" i="1"/>
  <c r="BC165" i="1"/>
  <c r="BA165" i="1" l="1"/>
  <c r="BP165" i="1" l="1"/>
  <c r="BK165" i="1"/>
  <c r="BU165" i="1"/>
  <c r="BT165" i="1"/>
  <c r="BO165" i="1"/>
  <c r="BJ165" i="1"/>
  <c r="BF165" i="1" l="1"/>
  <c r="BG165" i="1"/>
  <c r="AZ166" i="1"/>
  <c r="BC166" i="1"/>
  <c r="BA166" i="1" l="1"/>
  <c r="BD166" i="1"/>
  <c r="BP166" i="1"/>
  <c r="BJ166" i="1"/>
  <c r="BO166" i="1"/>
  <c r="BT166" i="1"/>
  <c r="BK166" i="1"/>
  <c r="BU166" i="1"/>
  <c r="BG166" i="1" l="1"/>
  <c r="BD167" i="1" s="1"/>
  <c r="BF166" i="1"/>
  <c r="BA167" i="1"/>
  <c r="AZ167" i="1" l="1"/>
  <c r="BC167" i="1"/>
  <c r="BO167" i="1" l="1"/>
  <c r="BT167" i="1"/>
  <c r="BJ167" i="1"/>
  <c r="BK167" i="1"/>
  <c r="BP167" i="1"/>
  <c r="BU167" i="1"/>
  <c r="BF167" i="1" l="1"/>
  <c r="BG167" i="1"/>
  <c r="BD168" i="1" s="1"/>
  <c r="BA168" i="1"/>
  <c r="AZ168" i="1" l="1"/>
  <c r="BJ168" i="1" s="1"/>
  <c r="BC168" i="1"/>
  <c r="BU168" i="1"/>
  <c r="BK168" i="1"/>
  <c r="BP168" i="1"/>
  <c r="BO168" i="1"/>
  <c r="BT168" i="1"/>
  <c r="BG168" i="1" l="1"/>
  <c r="BD169" i="1" s="1"/>
  <c r="BF168" i="1"/>
  <c r="BC169" i="1" l="1"/>
  <c r="AZ169" i="1"/>
  <c r="BA169" i="1"/>
  <c r="BP169" i="1" l="1"/>
  <c r="BU169" i="1"/>
  <c r="BK169" i="1"/>
  <c r="BJ169" i="1"/>
  <c r="BO169" i="1"/>
  <c r="BT169" i="1"/>
  <c r="BF169" i="1" l="1"/>
  <c r="BC170" i="1" s="1"/>
  <c r="BG169" i="1"/>
  <c r="BD170" i="1" s="1"/>
  <c r="AZ170" i="1"/>
  <c r="BA170" i="1" l="1"/>
  <c r="BT170" i="1" s="1"/>
  <c r="BO170" i="1"/>
  <c r="BJ170" i="1"/>
  <c r="BF170" i="1" l="1"/>
  <c r="BC171" i="1" s="1"/>
  <c r="AZ171" i="1"/>
  <c r="BK170" i="1"/>
  <c r="BP170" i="1"/>
  <c r="BU170" i="1"/>
  <c r="BG170" i="1" l="1"/>
  <c r="BD171" i="1" s="1"/>
  <c r="BA171" i="1" l="1"/>
  <c r="BK171" i="1" l="1"/>
  <c r="BP171" i="1"/>
  <c r="BU171" i="1"/>
  <c r="BO171" i="1"/>
  <c r="BT171" i="1"/>
  <c r="BJ171" i="1"/>
  <c r="BG171" i="1" l="1"/>
  <c r="BD172" i="1" s="1"/>
  <c r="BF171" i="1"/>
  <c r="BC172" i="1" l="1"/>
  <c r="AZ172" i="1"/>
  <c r="BA172" i="1"/>
  <c r="BT172" i="1" l="1"/>
  <c r="BJ172" i="1"/>
  <c r="BO172" i="1"/>
  <c r="BU172" i="1"/>
  <c r="BP172" i="1"/>
  <c r="BK172" i="1"/>
  <c r="BF172" i="1" l="1"/>
  <c r="BG172" i="1"/>
  <c r="BD173" i="1" s="1"/>
  <c r="BA173" i="1" l="1"/>
  <c r="BC173" i="1"/>
  <c r="AZ173" i="1"/>
  <c r="BP173" i="1" l="1"/>
  <c r="BO173" i="1"/>
  <c r="BJ173" i="1"/>
  <c r="BT173" i="1"/>
  <c r="BK173" i="1"/>
  <c r="BU173" i="1"/>
  <c r="BF173" i="1" l="1"/>
  <c r="BC174" i="1" s="1"/>
  <c r="BG173" i="1"/>
  <c r="BD174" i="1" s="1"/>
  <c r="AZ174" i="1"/>
  <c r="BA174" i="1"/>
  <c r="BP174" i="1" l="1"/>
  <c r="BK174" i="1"/>
  <c r="BU174" i="1"/>
  <c r="BO174" i="1"/>
  <c r="BJ174" i="1"/>
  <c r="BT174" i="1"/>
  <c r="BF174" i="1" l="1"/>
  <c r="BC175" i="1" s="1"/>
  <c r="BG174" i="1"/>
  <c r="BD175" i="1" s="1"/>
  <c r="AZ175" i="1"/>
  <c r="BA175" i="1"/>
  <c r="BK175" i="1" l="1"/>
  <c r="BP175" i="1"/>
  <c r="BU175" i="1"/>
  <c r="BT175" i="1"/>
  <c r="BJ175" i="1"/>
  <c r="BO175" i="1"/>
  <c r="BF175" i="1" l="1"/>
  <c r="BG175" i="1"/>
  <c r="BD176" i="1" s="1"/>
  <c r="BA176" i="1" l="1"/>
  <c r="BC176" i="1"/>
  <c r="AZ176" i="1"/>
  <c r="BO176" i="1" l="1"/>
  <c r="BJ176" i="1"/>
  <c r="BT176" i="1"/>
  <c r="BK176" i="1"/>
  <c r="BP176" i="1"/>
  <c r="BU176" i="1"/>
  <c r="BG176" i="1" l="1"/>
  <c r="BD177" i="1" s="1"/>
  <c r="BF176" i="1"/>
  <c r="AZ177" i="1" l="1"/>
  <c r="BC177" i="1"/>
  <c r="BA177" i="1"/>
  <c r="BK177" i="1" l="1"/>
  <c r="BU177" i="1"/>
  <c r="BP177" i="1"/>
  <c r="BO177" i="1"/>
  <c r="BJ177" i="1"/>
  <c r="BT177" i="1"/>
  <c r="BF177" i="1" l="1"/>
  <c r="AZ178" i="1" s="1"/>
  <c r="BC178" i="1"/>
  <c r="BG177" i="1"/>
  <c r="BD178" i="1" s="1"/>
  <c r="BA178" i="1" l="1"/>
  <c r="BP178" i="1" l="1"/>
  <c r="BK178" i="1"/>
  <c r="BU178" i="1"/>
  <c r="BT178" i="1"/>
  <c r="BJ178" i="1"/>
  <c r="BO178" i="1"/>
  <c r="BG178" i="1" l="1"/>
  <c r="BD179" i="1" s="1"/>
  <c r="BF178" i="1"/>
  <c r="BA179" i="1"/>
  <c r="BC179" i="1" l="1"/>
  <c r="AZ179" i="1"/>
  <c r="BJ179" i="1" l="1"/>
  <c r="BT179" i="1"/>
  <c r="BO179" i="1"/>
  <c r="BU179" i="1"/>
  <c r="BP179" i="1"/>
  <c r="BK179" i="1"/>
  <c r="BG179" i="1" s="1"/>
  <c r="BD180" i="1" s="1"/>
  <c r="BA180" i="1" l="1"/>
  <c r="BF179" i="1"/>
  <c r="BC180" i="1" l="1"/>
  <c r="AZ180" i="1"/>
  <c r="BP180" i="1" s="1"/>
  <c r="BU180" i="1"/>
  <c r="BK180" i="1" l="1"/>
  <c r="BG180" i="1" s="1"/>
  <c r="BD181" i="1" s="1"/>
  <c r="BJ180" i="1"/>
  <c r="BT180" i="1"/>
  <c r="BO180" i="1"/>
  <c r="BF180" i="1" l="1"/>
  <c r="BA181" i="1"/>
  <c r="AZ181" i="1" l="1"/>
  <c r="BP181" i="1" s="1"/>
  <c r="BC181" i="1"/>
  <c r="BK181" i="1" l="1"/>
  <c r="BU181" i="1"/>
  <c r="BO181" i="1"/>
  <c r="BJ181" i="1"/>
  <c r="BT181" i="1"/>
  <c r="BF181" i="1" l="1"/>
  <c r="BC182" i="1" s="1"/>
  <c r="AZ182" i="1"/>
  <c r="BG181" i="1"/>
  <c r="BD182" i="1" s="1"/>
  <c r="BA182" i="1" l="1"/>
  <c r="BO182" i="1" s="1"/>
  <c r="BJ182" i="1"/>
  <c r="BT182" i="1"/>
  <c r="BF182" i="1" l="1"/>
  <c r="BC183" i="1" s="1"/>
  <c r="AZ183" i="1"/>
  <c r="BP182" i="1"/>
  <c r="BK182" i="1"/>
  <c r="BU182" i="1"/>
  <c r="BG182" i="1" l="1"/>
  <c r="BD183" i="1" s="1"/>
  <c r="BA183" i="1" l="1"/>
  <c r="BU183" i="1" l="1"/>
  <c r="BK183" i="1"/>
  <c r="BP183" i="1"/>
  <c r="BO183" i="1"/>
  <c r="BJ183" i="1"/>
  <c r="BT183" i="1"/>
  <c r="BF183" i="1" l="1"/>
  <c r="BG183" i="1"/>
  <c r="BD184" i="1" s="1"/>
  <c r="BA184" i="1" l="1"/>
  <c r="BC184" i="1"/>
  <c r="AZ184" i="1"/>
  <c r="BO184" i="1" l="1"/>
  <c r="BJ184" i="1"/>
  <c r="BT184" i="1"/>
  <c r="BU184" i="1"/>
  <c r="BK184" i="1"/>
  <c r="BP184" i="1"/>
  <c r="BF184" i="1" l="1"/>
  <c r="AZ185" i="1" s="1"/>
  <c r="BG184" i="1"/>
  <c r="BD185" i="1" s="1"/>
  <c r="BA185" i="1"/>
  <c r="BC185" i="1"/>
  <c r="BU185" i="1" l="1"/>
  <c r="BK185" i="1"/>
  <c r="BP185" i="1"/>
  <c r="BJ185" i="1"/>
  <c r="BO185" i="1"/>
  <c r="BT185" i="1"/>
  <c r="BG185" i="1" l="1"/>
  <c r="BD186" i="1" s="1"/>
  <c r="BA186" i="1"/>
  <c r="BF185" i="1"/>
  <c r="BC186" i="1" l="1"/>
  <c r="AZ186" i="1"/>
  <c r="BU186" i="1" s="1"/>
  <c r="BK186" i="1"/>
  <c r="BP186" i="1" l="1"/>
  <c r="BG186" i="1" s="1"/>
  <c r="BJ186" i="1"/>
  <c r="BT186" i="1"/>
  <c r="BO186" i="1"/>
  <c r="BD187" i="1" l="1"/>
  <c r="BA187" i="1"/>
  <c r="BF186" i="1"/>
  <c r="AZ187" i="1" l="1"/>
  <c r="BC187" i="1"/>
  <c r="BT187" i="1" l="1"/>
  <c r="BO187" i="1"/>
  <c r="BJ187" i="1"/>
  <c r="BF187" i="1" s="1"/>
  <c r="BC188" i="1" s="1"/>
  <c r="BK187" i="1"/>
  <c r="BU187" i="1"/>
  <c r="BP187" i="1"/>
  <c r="AZ188" i="1" l="1"/>
  <c r="BG187" i="1"/>
  <c r="BD188" i="1" s="1"/>
  <c r="BA188" i="1" l="1"/>
  <c r="BO188" i="1" s="1"/>
  <c r="BJ188" i="1"/>
  <c r="BT188" i="1" l="1"/>
  <c r="BF188" i="1" s="1"/>
  <c r="BK188" i="1"/>
  <c r="BP188" i="1"/>
  <c r="BU188" i="1"/>
  <c r="BG188" i="1" l="1"/>
  <c r="BD189" i="1" s="1"/>
  <c r="BC189" i="1"/>
  <c r="AZ189" i="1"/>
  <c r="BA189" i="1" l="1"/>
  <c r="BU189" i="1" l="1"/>
  <c r="BK189" i="1"/>
  <c r="BP189" i="1"/>
  <c r="BT189" i="1"/>
  <c r="BO189" i="1"/>
  <c r="BJ189" i="1"/>
  <c r="BF189" i="1" l="1"/>
  <c r="BG189" i="1"/>
  <c r="BD190" i="1" s="1"/>
  <c r="BA190" i="1" l="1"/>
  <c r="AZ190" i="1"/>
  <c r="BC190" i="1"/>
  <c r="BT190" i="1" l="1"/>
  <c r="BO190" i="1"/>
  <c r="BJ190" i="1"/>
  <c r="BF190" i="1" s="1"/>
  <c r="BC191" i="1" s="1"/>
  <c r="BU190" i="1"/>
  <c r="BK190" i="1"/>
  <c r="BP190" i="1"/>
  <c r="BG190" i="1" l="1"/>
  <c r="BD191" i="1" s="1"/>
  <c r="AZ191" i="1"/>
  <c r="BA191" i="1"/>
  <c r="BU191" i="1" l="1"/>
  <c r="BK191" i="1"/>
  <c r="BP191" i="1"/>
  <c r="BO191" i="1"/>
  <c r="BT191" i="1"/>
  <c r="BJ191" i="1"/>
  <c r="BF191" i="1" l="1"/>
  <c r="BC192" i="1" s="1"/>
  <c r="AZ192" i="1"/>
  <c r="BG191" i="1"/>
  <c r="BD192" i="1" s="1"/>
  <c r="BA192" i="1" l="1"/>
  <c r="BT192" i="1" s="1"/>
  <c r="BJ192" i="1"/>
  <c r="BO192" i="1" l="1"/>
  <c r="BF192" i="1" s="1"/>
  <c r="BP192" i="1"/>
  <c r="BK192" i="1"/>
  <c r="BU192" i="1"/>
  <c r="BG192" i="1" l="1"/>
  <c r="BD193" i="1" s="1"/>
  <c r="AZ193" i="1"/>
  <c r="BC193" i="1"/>
  <c r="BA193" i="1" l="1"/>
  <c r="BK193" i="1" l="1"/>
  <c r="BP193" i="1"/>
  <c r="BU193" i="1"/>
  <c r="BO193" i="1"/>
  <c r="BT193" i="1"/>
  <c r="BJ193" i="1"/>
  <c r="BF193" i="1" l="1"/>
  <c r="AZ194" i="1"/>
  <c r="BC194" i="1"/>
  <c r="BG193" i="1"/>
  <c r="BD194" i="1" s="1"/>
  <c r="BA194" i="1" l="1"/>
  <c r="BP194" i="1" l="1"/>
  <c r="BK194" i="1"/>
  <c r="BU194" i="1"/>
  <c r="BO194" i="1"/>
  <c r="BT194" i="1"/>
  <c r="BJ194" i="1"/>
  <c r="BF194" i="1" l="1"/>
  <c r="BG194" i="1"/>
  <c r="BC195" i="1"/>
  <c r="AZ195" i="1"/>
  <c r="BA195" i="1" l="1"/>
  <c r="BD195" i="1"/>
  <c r="BJ195" i="1"/>
  <c r="BO195" i="1"/>
  <c r="BT195" i="1"/>
  <c r="BK195" i="1"/>
  <c r="BP195" i="1"/>
  <c r="BU195" i="1"/>
  <c r="BG195" i="1" l="1"/>
  <c r="BD196" i="1" s="1"/>
  <c r="BF195" i="1"/>
  <c r="AZ196" i="1" l="1"/>
  <c r="BC196" i="1"/>
  <c r="BA196" i="1"/>
  <c r="BU196" i="1" l="1"/>
  <c r="BK196" i="1"/>
  <c r="BP196" i="1"/>
  <c r="BJ196" i="1"/>
  <c r="BO196" i="1"/>
  <c r="BT196" i="1"/>
  <c r="BG196" i="1" l="1"/>
  <c r="BD197" i="1" s="1"/>
  <c r="BA197" i="1"/>
  <c r="BF196" i="1"/>
  <c r="BC197" i="1" l="1"/>
  <c r="AZ197" i="1"/>
  <c r="BK197" i="1" s="1"/>
  <c r="BT197" i="1" l="1"/>
  <c r="BJ197" i="1"/>
  <c r="BO197" i="1"/>
  <c r="BU197" i="1"/>
  <c r="BP197" i="1"/>
  <c r="BG197" i="1" s="1"/>
  <c r="BD198" i="1" s="1"/>
  <c r="BF197" i="1" l="1"/>
  <c r="AZ198" i="1" s="1"/>
  <c r="BA198" i="1"/>
  <c r="BC198" i="1"/>
  <c r="BT198" i="1"/>
  <c r="BO198" i="1"/>
  <c r="BJ198" i="1"/>
  <c r="BF198" i="1" l="1"/>
  <c r="AZ199" i="1" s="1"/>
  <c r="BC199" i="1"/>
  <c r="BP198" i="1"/>
  <c r="BK198" i="1"/>
  <c r="BU198" i="1"/>
  <c r="BG198" i="1" l="1"/>
  <c r="BD199" i="1" s="1"/>
  <c r="BA199" i="1" l="1"/>
  <c r="BP199" i="1" l="1"/>
  <c r="BU199" i="1"/>
  <c r="BK199" i="1"/>
  <c r="BG199" i="1" s="1"/>
  <c r="BT199" i="1"/>
  <c r="BJ199" i="1"/>
  <c r="BO199" i="1"/>
  <c r="BA200" i="1" l="1"/>
  <c r="BD200" i="1"/>
  <c r="BF199" i="1"/>
  <c r="AZ200" i="1"/>
  <c r="BK200" i="1" s="1"/>
  <c r="BC200" i="1"/>
  <c r="BT200" i="1" l="1"/>
  <c r="BJ200" i="1"/>
  <c r="BO200" i="1"/>
  <c r="BU200" i="1"/>
  <c r="BP200" i="1"/>
  <c r="BF200" i="1" l="1"/>
  <c r="AZ201" i="1" s="1"/>
  <c r="BC201" i="1"/>
  <c r="BG200" i="1"/>
  <c r="BD201" i="1" s="1"/>
  <c r="BA201" i="1" l="1"/>
  <c r="BU201" i="1" l="1"/>
  <c r="BK201" i="1"/>
  <c r="BG201" i="1" s="1"/>
  <c r="BP201" i="1"/>
  <c r="BJ201" i="1"/>
  <c r="BO201" i="1"/>
  <c r="BT201" i="1"/>
  <c r="BA202" i="1" l="1"/>
  <c r="BD202" i="1"/>
  <c r="BF201" i="1"/>
  <c r="BC202" i="1" l="1"/>
  <c r="AZ202" i="1"/>
  <c r="BT202" i="1" l="1"/>
  <c r="BJ202" i="1"/>
  <c r="BO202" i="1"/>
  <c r="BP202" i="1"/>
  <c r="BK202" i="1"/>
  <c r="BU202" i="1"/>
  <c r="BG202" i="1" l="1"/>
  <c r="BD203" i="1" s="1"/>
  <c r="BF202" i="1"/>
  <c r="BC203" i="1" l="1"/>
  <c r="AZ203" i="1"/>
  <c r="BA203" i="1"/>
  <c r="BJ203" i="1" l="1"/>
  <c r="BO203" i="1"/>
  <c r="BT203" i="1"/>
  <c r="BK203" i="1"/>
  <c r="BU203" i="1"/>
  <c r="BP203" i="1"/>
  <c r="BG203" i="1" l="1"/>
  <c r="BD204" i="1" s="1"/>
  <c r="BF203" i="1"/>
  <c r="AZ204" i="1" l="1"/>
  <c r="BC204" i="1"/>
  <c r="BA204" i="1"/>
  <c r="BK204" i="1" l="1"/>
  <c r="BP204" i="1"/>
  <c r="BU204" i="1"/>
  <c r="BO204" i="1"/>
  <c r="BJ204" i="1"/>
  <c r="BF204" i="1" s="1"/>
  <c r="AZ205" i="1" s="1"/>
  <c r="BT204" i="1"/>
  <c r="BC205" i="1" l="1"/>
  <c r="BG204" i="1"/>
  <c r="BD205" i="1" s="1"/>
  <c r="BA205" i="1" l="1"/>
  <c r="BP205" i="1" l="1"/>
  <c r="BK205" i="1"/>
  <c r="BU205" i="1"/>
  <c r="BG205" i="1" s="1"/>
  <c r="BJ205" i="1"/>
  <c r="BO205" i="1"/>
  <c r="BT205" i="1"/>
  <c r="BA206" i="1" l="1"/>
  <c r="BD206" i="1"/>
  <c r="BF205" i="1"/>
  <c r="BC206" i="1" l="1"/>
  <c r="AZ206" i="1"/>
  <c r="BO206" i="1" l="1"/>
  <c r="BT206" i="1"/>
  <c r="BJ206" i="1"/>
  <c r="BF206" i="1" s="1"/>
  <c r="AZ207" i="1" s="1"/>
  <c r="BK206" i="1"/>
  <c r="BP206" i="1"/>
  <c r="BU206" i="1"/>
  <c r="BC207" i="1" l="1"/>
  <c r="BG206" i="1"/>
  <c r="BD207" i="1" s="1"/>
  <c r="BA207" i="1" l="1"/>
  <c r="BP207" i="1" l="1"/>
  <c r="BK207" i="1"/>
  <c r="BU207" i="1"/>
  <c r="BO207" i="1"/>
  <c r="BJ207" i="1"/>
  <c r="BT207" i="1"/>
  <c r="BF207" i="1" l="1"/>
  <c r="BG207" i="1"/>
  <c r="BD208" i="1" s="1"/>
  <c r="BA208" i="1" l="1"/>
  <c r="AZ208" i="1"/>
  <c r="BC208" i="1"/>
  <c r="BU208" i="1" l="1"/>
  <c r="BP208" i="1"/>
  <c r="BK208" i="1"/>
  <c r="BG208" i="1" s="1"/>
  <c r="BD209" i="1" s="1"/>
  <c r="BO208" i="1"/>
  <c r="BT208" i="1"/>
  <c r="BJ208" i="1"/>
  <c r="BA209" i="1" l="1"/>
  <c r="BF208" i="1"/>
  <c r="BC209" i="1" l="1"/>
  <c r="AZ209" i="1"/>
  <c r="BK209" i="1"/>
  <c r="BU209" i="1"/>
  <c r="BP209" i="1"/>
  <c r="BO209" i="1" l="1"/>
  <c r="BJ209" i="1"/>
  <c r="BT209" i="1"/>
  <c r="BG209" i="1"/>
  <c r="BD210" i="1" s="1"/>
  <c r="BA210" i="1" l="1"/>
  <c r="BF209" i="1"/>
  <c r="AZ210" i="1" l="1"/>
  <c r="BC210" i="1"/>
  <c r="BT210" i="1" l="1"/>
  <c r="BO210" i="1"/>
  <c r="BJ210" i="1"/>
  <c r="BK210" i="1"/>
  <c r="BP210" i="1"/>
  <c r="BU210" i="1"/>
  <c r="BG210" i="1" l="1"/>
  <c r="BD211" i="1" s="1"/>
  <c r="BF210" i="1"/>
  <c r="AZ211" i="1" l="1"/>
  <c r="BC211" i="1"/>
  <c r="BA211" i="1"/>
  <c r="BK211" i="1" l="1"/>
  <c r="BU211" i="1"/>
  <c r="BP211" i="1"/>
  <c r="BO211" i="1"/>
  <c r="BJ211" i="1"/>
  <c r="BT211" i="1"/>
  <c r="BF211" i="1" l="1"/>
  <c r="BG211" i="1"/>
  <c r="BD212" i="1" s="1"/>
  <c r="BA212" i="1" l="1"/>
  <c r="BC212" i="1"/>
  <c r="AZ212" i="1"/>
  <c r="BJ212" i="1" l="1"/>
  <c r="BO212" i="1"/>
  <c r="BT212" i="1"/>
  <c r="BK212" i="1"/>
  <c r="BP212" i="1"/>
  <c r="BU212" i="1"/>
  <c r="BG212" i="1" l="1"/>
  <c r="BD213" i="1" s="1"/>
  <c r="BF212" i="1"/>
  <c r="AZ213" i="1" l="1"/>
  <c r="BC213" i="1"/>
  <c r="BA213" i="1"/>
  <c r="BK213" i="1" l="1"/>
  <c r="BU213" i="1"/>
  <c r="BP213" i="1"/>
  <c r="BJ213" i="1"/>
  <c r="BT213" i="1"/>
  <c r="BO213" i="1"/>
  <c r="BF213" i="1" l="1"/>
  <c r="BG213" i="1"/>
  <c r="BD214" i="1" s="1"/>
  <c r="BA214" i="1" l="1"/>
  <c r="BC214" i="1"/>
  <c r="AZ214" i="1"/>
  <c r="BJ214" i="1" l="1"/>
  <c r="BT214" i="1"/>
  <c r="BO214" i="1"/>
  <c r="BK214" i="1"/>
  <c r="BP214" i="1"/>
  <c r="BU214" i="1"/>
  <c r="BG214" i="1" l="1"/>
  <c r="BD215" i="1" s="1"/>
  <c r="BA215" i="1"/>
  <c r="BF214" i="1"/>
  <c r="AZ215" i="1" l="1"/>
  <c r="BC215" i="1"/>
  <c r="BU215" i="1"/>
  <c r="BK215" i="1"/>
  <c r="BP215" i="1"/>
  <c r="BG215" i="1" l="1"/>
  <c r="BD216" i="1" s="1"/>
  <c r="BT215" i="1"/>
  <c r="BJ215" i="1"/>
  <c r="BO215" i="1"/>
  <c r="BA216" i="1" l="1"/>
  <c r="BF215" i="1"/>
  <c r="AZ216" i="1" l="1"/>
  <c r="BC216" i="1"/>
  <c r="BO216" i="1" l="1"/>
  <c r="BJ216" i="1"/>
  <c r="BT216" i="1"/>
  <c r="BK216" i="1"/>
  <c r="BP216" i="1"/>
  <c r="BU216" i="1"/>
  <c r="BF216" i="1" l="1"/>
  <c r="BC217" i="1" s="1"/>
  <c r="AZ217" i="1"/>
  <c r="BG216" i="1"/>
  <c r="BD217" i="1" s="1"/>
  <c r="BA217" i="1" l="1"/>
  <c r="BK217" i="1" l="1"/>
  <c r="BP217" i="1"/>
  <c r="BU217" i="1"/>
  <c r="BJ217" i="1"/>
  <c r="BT217" i="1"/>
  <c r="BO217" i="1"/>
  <c r="BF217" i="1" l="1"/>
  <c r="BC218" i="1"/>
  <c r="AZ218" i="1"/>
  <c r="BG217" i="1"/>
  <c r="BD218" i="1" s="1"/>
  <c r="BA218" i="1" l="1"/>
  <c r="BO218" i="1" s="1"/>
  <c r="BK218" i="1" l="1"/>
  <c r="BU218" i="1"/>
  <c r="BP218" i="1"/>
  <c r="BJ218" i="1"/>
  <c r="BT218" i="1"/>
  <c r="BF218" i="1" l="1"/>
  <c r="BG218" i="1"/>
  <c r="BD219" i="1" s="1"/>
  <c r="BA219" i="1" l="1"/>
  <c r="AZ219" i="1"/>
  <c r="BC219" i="1"/>
  <c r="BP219" i="1" l="1"/>
  <c r="BU219" i="1"/>
  <c r="BK219" i="1"/>
  <c r="BJ219" i="1"/>
  <c r="BT219" i="1"/>
  <c r="BO219" i="1"/>
  <c r="BF219" i="1" l="1"/>
  <c r="BC220" i="1" s="1"/>
  <c r="BG219" i="1"/>
  <c r="BD220" i="1" s="1"/>
  <c r="AZ220" i="1"/>
  <c r="BA220" i="1" l="1"/>
  <c r="BK220" i="1" l="1"/>
  <c r="BU220" i="1"/>
  <c r="BP220" i="1"/>
  <c r="BO220" i="1"/>
  <c r="BT220" i="1"/>
  <c r="BJ220" i="1"/>
  <c r="BG220" i="1" l="1"/>
  <c r="BD221" i="1" s="1"/>
  <c r="BF220" i="1"/>
  <c r="BC221" i="1" l="1"/>
  <c r="AZ221" i="1"/>
  <c r="BA221" i="1"/>
  <c r="BJ221" i="1" l="1"/>
  <c r="BT221" i="1"/>
  <c r="BO221" i="1"/>
  <c r="BK221" i="1"/>
  <c r="BP221" i="1"/>
  <c r="BU221" i="1"/>
  <c r="BG221" i="1" l="1"/>
  <c r="BD222" i="1" s="1"/>
  <c r="BF221" i="1"/>
  <c r="BA222" i="1"/>
  <c r="BC222" i="1" l="1"/>
  <c r="AZ222" i="1"/>
  <c r="BT222" i="1" l="1"/>
  <c r="BJ222" i="1"/>
  <c r="BO222" i="1"/>
  <c r="BK222" i="1"/>
  <c r="BP222" i="1"/>
  <c r="BU222" i="1"/>
  <c r="BG222" i="1" l="1"/>
  <c r="BD223" i="1" s="1"/>
  <c r="BF222" i="1"/>
  <c r="BC223" i="1" l="1"/>
  <c r="AZ223" i="1"/>
  <c r="BA223" i="1"/>
  <c r="BO223" i="1" l="1"/>
  <c r="BJ223" i="1"/>
  <c r="BT223" i="1"/>
  <c r="BP223" i="1"/>
  <c r="BU223" i="1"/>
  <c r="BK223" i="1"/>
  <c r="BG223" i="1" l="1"/>
  <c r="BD224" i="1" s="1"/>
  <c r="BF223" i="1"/>
  <c r="BC224" i="1" l="1"/>
  <c r="AZ224" i="1"/>
  <c r="BA224" i="1"/>
  <c r="BJ224" i="1" l="1"/>
  <c r="BT224" i="1"/>
  <c r="BO224" i="1"/>
  <c r="BK224" i="1"/>
  <c r="BU224" i="1"/>
  <c r="BP224" i="1"/>
  <c r="BG224" i="1" l="1"/>
  <c r="BD225" i="1" s="1"/>
  <c r="BF224" i="1"/>
  <c r="BC225" i="1" l="1"/>
  <c r="AZ225" i="1"/>
  <c r="BA225" i="1"/>
  <c r="BT225" i="1" l="1"/>
  <c r="BO225" i="1"/>
  <c r="BJ225" i="1"/>
  <c r="BF225" i="1" s="1"/>
  <c r="BC226" i="1" s="1"/>
  <c r="BK225" i="1"/>
  <c r="BP225" i="1"/>
  <c r="BU225" i="1"/>
  <c r="AZ226" i="1" l="1"/>
  <c r="BG225" i="1"/>
  <c r="BD226" i="1" s="1"/>
  <c r="BA226" i="1" l="1"/>
  <c r="BK226" i="1" l="1"/>
  <c r="BU226" i="1"/>
  <c r="BP226" i="1"/>
  <c r="BO226" i="1"/>
  <c r="BT226" i="1"/>
  <c r="BJ226" i="1"/>
  <c r="BG226" i="1" l="1"/>
  <c r="BD227" i="1" s="1"/>
  <c r="BF226" i="1"/>
  <c r="BC227" i="1" l="1"/>
  <c r="AZ227" i="1"/>
  <c r="BA227" i="1"/>
  <c r="BJ227" i="1" l="1"/>
  <c r="BO227" i="1"/>
  <c r="BT227" i="1"/>
  <c r="BK227" i="1"/>
  <c r="BU227" i="1"/>
  <c r="BP227" i="1"/>
  <c r="BG227" i="1" l="1"/>
  <c r="BD228" i="1" s="1"/>
  <c r="BA228" i="1"/>
  <c r="BF227" i="1"/>
  <c r="AZ228" i="1" l="1"/>
  <c r="BK228" i="1" s="1"/>
  <c r="BC228" i="1"/>
  <c r="BP228" i="1"/>
  <c r="BU228" i="1"/>
  <c r="BG228" i="1" l="1"/>
  <c r="BD229" i="1" s="1"/>
  <c r="BO228" i="1"/>
  <c r="BJ228" i="1"/>
  <c r="BT228" i="1"/>
  <c r="BF228" i="1" l="1"/>
  <c r="BC229" i="1" s="1"/>
  <c r="AZ229" i="1"/>
  <c r="BA229" i="1"/>
  <c r="BK229" i="1" l="1"/>
  <c r="BP229" i="1"/>
  <c r="BU229" i="1"/>
  <c r="BJ229" i="1"/>
  <c r="BO229" i="1"/>
  <c r="BT229" i="1"/>
  <c r="BF229" i="1" l="1"/>
  <c r="BG229" i="1"/>
  <c r="BD230" i="1" s="1"/>
  <c r="BA230" i="1" l="1"/>
  <c r="AZ230" i="1"/>
  <c r="BC230" i="1"/>
  <c r="BJ230" i="1" l="1"/>
  <c r="BT230" i="1"/>
  <c r="BO230" i="1"/>
  <c r="BK230" i="1"/>
  <c r="BP230" i="1"/>
  <c r="BU230" i="1"/>
  <c r="BG230" i="1" l="1"/>
  <c r="BD231" i="1" s="1"/>
  <c r="BF230" i="1"/>
  <c r="BC231" i="1" l="1"/>
  <c r="AZ231" i="1"/>
  <c r="BA231" i="1"/>
  <c r="BO231" i="1" l="1"/>
  <c r="BJ231" i="1"/>
  <c r="BT231" i="1"/>
  <c r="BU231" i="1"/>
  <c r="BK231" i="1"/>
  <c r="BP231" i="1"/>
  <c r="BG231" i="1" l="1"/>
  <c r="BD232" i="1" s="1"/>
  <c r="BA232" i="1"/>
  <c r="BF231" i="1"/>
  <c r="BC232" i="1" l="1"/>
  <c r="AZ232" i="1"/>
  <c r="BJ232" i="1" l="1"/>
  <c r="BO232" i="1"/>
  <c r="BT232" i="1"/>
  <c r="BU232" i="1"/>
  <c r="BK232" i="1"/>
  <c r="BP232" i="1"/>
  <c r="BG232" i="1" l="1"/>
  <c r="BD233" i="1" s="1"/>
  <c r="BF232" i="1"/>
  <c r="AZ233" i="1" l="1"/>
  <c r="BC233" i="1"/>
  <c r="BA233" i="1"/>
  <c r="BK233" i="1" l="1"/>
  <c r="BU233" i="1"/>
  <c r="BP233" i="1"/>
  <c r="BJ233" i="1"/>
  <c r="BO233" i="1"/>
  <c r="BT233" i="1"/>
  <c r="BG233" i="1" l="1"/>
  <c r="BD234" i="1" s="1"/>
  <c r="BF233" i="1"/>
  <c r="BC234" i="1" s="1"/>
  <c r="BA234" i="1"/>
  <c r="AZ234" i="1"/>
  <c r="BT234" i="1" l="1"/>
  <c r="BO234" i="1"/>
  <c r="BJ234" i="1"/>
  <c r="BU234" i="1"/>
  <c r="BP234" i="1"/>
  <c r="BK234" i="1"/>
  <c r="BF234" i="1" l="1"/>
  <c r="BG234" i="1"/>
  <c r="BD235" i="1" s="1"/>
  <c r="BC235" i="1" l="1"/>
  <c r="AZ235" i="1"/>
  <c r="BA235" i="1"/>
  <c r="BU235" i="1" l="1"/>
  <c r="BP235" i="1"/>
  <c r="BK235" i="1"/>
  <c r="BG235" i="1" s="1"/>
  <c r="BD236" i="1" s="1"/>
  <c r="BT235" i="1"/>
  <c r="BO235" i="1"/>
  <c r="BJ235" i="1"/>
  <c r="BF235" i="1" l="1"/>
  <c r="BA236" i="1"/>
  <c r="BC236" i="1" l="1"/>
  <c r="AZ236" i="1"/>
  <c r="BT236" i="1" l="1"/>
  <c r="BJ236" i="1"/>
  <c r="BO236" i="1"/>
  <c r="BP236" i="1"/>
  <c r="BU236" i="1"/>
  <c r="BK236" i="1"/>
  <c r="BG236" i="1" s="1"/>
  <c r="BD237" i="1" s="1"/>
  <c r="BA237" i="1" l="1"/>
  <c r="BF236" i="1"/>
  <c r="BC237" i="1" l="1"/>
  <c r="AZ237" i="1"/>
  <c r="BT237" i="1" l="1"/>
  <c r="BO237" i="1"/>
  <c r="BJ237" i="1"/>
  <c r="BF237" i="1" s="1"/>
  <c r="BC238" i="1" s="1"/>
  <c r="BU237" i="1"/>
  <c r="BK237" i="1"/>
  <c r="BP237" i="1"/>
  <c r="BG237" i="1" l="1"/>
  <c r="BD238" i="1" s="1"/>
  <c r="AZ238" i="1"/>
  <c r="BA238" i="1"/>
  <c r="BT238" i="1"/>
  <c r="BO238" i="1"/>
  <c r="BJ238" i="1"/>
  <c r="BF238" i="1" l="1"/>
  <c r="BP238" i="1"/>
  <c r="BK238" i="1"/>
  <c r="BU238" i="1"/>
  <c r="BG238" i="1" l="1"/>
  <c r="BC239" i="1"/>
  <c r="AZ239" i="1"/>
  <c r="BA239" i="1" l="1"/>
  <c r="BD239" i="1"/>
  <c r="BJ239" i="1"/>
  <c r="BT239" i="1"/>
  <c r="BO239" i="1"/>
  <c r="BP239" i="1"/>
  <c r="BU239" i="1"/>
  <c r="BK239" i="1"/>
  <c r="BF239" i="1" l="1"/>
  <c r="BG239" i="1"/>
  <c r="BD240" i="1" s="1"/>
  <c r="BA240" i="1" l="1"/>
  <c r="AZ240" i="1"/>
  <c r="BC240" i="1"/>
  <c r="BU240" i="1" l="1"/>
  <c r="BK240" i="1"/>
  <c r="BP240" i="1"/>
  <c r="BT240" i="1"/>
  <c r="BJ240" i="1"/>
  <c r="BO240" i="1"/>
  <c r="BG240" i="1" l="1"/>
  <c r="BD241" i="1" s="1"/>
  <c r="BA241" i="1"/>
  <c r="BF240" i="1"/>
  <c r="BC241" i="1" l="1"/>
  <c r="AZ241" i="1"/>
  <c r="BP241" i="1" s="1"/>
  <c r="BK241" i="1" l="1"/>
  <c r="BU241" i="1"/>
  <c r="BG241" i="1" s="1"/>
  <c r="BD242" i="1" s="1"/>
  <c r="BO241" i="1"/>
  <c r="BT241" i="1"/>
  <c r="BJ241" i="1"/>
  <c r="BF241" i="1" s="1"/>
  <c r="AZ242" i="1" s="1"/>
  <c r="BA242" i="1" l="1"/>
  <c r="BU242" i="1" s="1"/>
  <c r="BJ242" i="1"/>
  <c r="BO242" i="1"/>
  <c r="BC242" i="1"/>
  <c r="BK242" i="1"/>
  <c r="BP242" i="1"/>
  <c r="BG242" i="1" l="1"/>
  <c r="BD243" i="1" s="1"/>
  <c r="BT242" i="1"/>
  <c r="BF242" i="1" s="1"/>
  <c r="AZ243" i="1" s="1"/>
  <c r="BA243" i="1"/>
  <c r="BU243" i="1" l="1"/>
  <c r="BP243" i="1"/>
  <c r="BC243" i="1"/>
  <c r="BK243" i="1"/>
  <c r="BG243" i="1" s="1"/>
  <c r="BD244" i="1" s="1"/>
  <c r="BT243" i="1"/>
  <c r="BO243" i="1"/>
  <c r="BJ243" i="1"/>
  <c r="BF243" i="1" l="1"/>
  <c r="AZ244" i="1" s="1"/>
  <c r="BA244" i="1"/>
  <c r="BU244" i="1" l="1"/>
  <c r="BP244" i="1"/>
  <c r="BK244" i="1"/>
  <c r="BJ244" i="1"/>
  <c r="BT244" i="1"/>
  <c r="BO244" i="1"/>
  <c r="BC244" i="1"/>
  <c r="BF244" i="1" l="1"/>
  <c r="AZ245" i="1" s="1"/>
  <c r="BG244" i="1"/>
  <c r="BD245" i="1" s="1"/>
  <c r="BC245" i="1"/>
  <c r="BA245" i="1" l="1"/>
  <c r="BT245" i="1" s="1"/>
  <c r="BO245" i="1" l="1"/>
  <c r="BJ245" i="1"/>
  <c r="BF245" i="1" s="1"/>
  <c r="BP245" i="1"/>
  <c r="BK245" i="1"/>
  <c r="BU245" i="1"/>
  <c r="BG245" i="1" l="1"/>
  <c r="BD246" i="1" s="1"/>
  <c r="BA246" i="1"/>
  <c r="BC246" i="1"/>
  <c r="AZ246" i="1"/>
  <c r="BP246" i="1" l="1"/>
  <c r="BU246" i="1"/>
  <c r="BK246" i="1"/>
  <c r="BG246" i="1" s="1"/>
  <c r="BD247" i="1" s="1"/>
  <c r="BJ246" i="1"/>
  <c r="BT246" i="1"/>
  <c r="BO246" i="1"/>
  <c r="BF246" i="1" l="1"/>
  <c r="BA247" i="1"/>
  <c r="BC247" i="1" l="1"/>
  <c r="AZ247" i="1"/>
  <c r="BO247" i="1" l="1"/>
  <c r="BJ247" i="1"/>
  <c r="BT247" i="1"/>
  <c r="BP247" i="1"/>
  <c r="BK247" i="1"/>
  <c r="BU247" i="1"/>
  <c r="BG247" i="1" l="1"/>
  <c r="BD248" i="1" s="1"/>
  <c r="BF247" i="1"/>
  <c r="BC248" i="1" l="1"/>
  <c r="AZ248" i="1"/>
  <c r="BA248" i="1"/>
  <c r="BT248" i="1" l="1"/>
  <c r="BO248" i="1"/>
  <c r="BJ248" i="1"/>
  <c r="BF248" i="1" s="1"/>
  <c r="BC249" i="1" s="1"/>
  <c r="BK248" i="1"/>
  <c r="BU248" i="1"/>
  <c r="BP248" i="1"/>
  <c r="BG248" i="1" l="1"/>
  <c r="BD249" i="1" s="1"/>
  <c r="AZ249" i="1"/>
  <c r="BA249" i="1"/>
  <c r="BT249" i="1" s="1"/>
  <c r="BJ249" i="1" l="1"/>
  <c r="BO249" i="1"/>
  <c r="BP249" i="1"/>
  <c r="BU249" i="1"/>
  <c r="BK249" i="1"/>
  <c r="BG249" i="1" l="1"/>
  <c r="BD250" i="1" s="1"/>
  <c r="BF249" i="1"/>
  <c r="BC250" i="1" l="1"/>
  <c r="AZ250" i="1"/>
  <c r="BA250" i="1"/>
  <c r="BJ250" i="1" l="1"/>
  <c r="BT250" i="1"/>
  <c r="BO250" i="1"/>
  <c r="BK250" i="1"/>
  <c r="BU250" i="1"/>
  <c r="BP250" i="1"/>
  <c r="BG250" i="1" l="1"/>
  <c r="BD251" i="1" s="1"/>
  <c r="BA251" i="1"/>
  <c r="BF250" i="1"/>
  <c r="AZ251" i="1" l="1"/>
  <c r="BC251" i="1"/>
  <c r="BK251" i="1"/>
  <c r="BP251" i="1"/>
  <c r="BU251" i="1"/>
  <c r="BG251" i="1" l="1"/>
  <c r="BD252" i="1" s="1"/>
  <c r="BJ251" i="1"/>
  <c r="BO251" i="1"/>
  <c r="BT251" i="1"/>
  <c r="BF251" i="1" l="1"/>
  <c r="BA252" i="1"/>
  <c r="BC252" i="1" l="1"/>
  <c r="AZ252" i="1"/>
  <c r="BK252" i="1" s="1"/>
  <c r="BJ252" i="1" l="1"/>
  <c r="BT252" i="1"/>
  <c r="BO252" i="1"/>
  <c r="BP252" i="1"/>
  <c r="BU252" i="1"/>
  <c r="BG252" i="1" l="1"/>
  <c r="BD253" i="1" s="1"/>
  <c r="BA253" i="1"/>
  <c r="BF252" i="1"/>
  <c r="AZ253" i="1" l="1"/>
  <c r="BU253" i="1" s="1"/>
  <c r="BC253" i="1"/>
  <c r="BP253" i="1"/>
  <c r="BK253" i="1" l="1"/>
  <c r="BG253" i="1" s="1"/>
  <c r="BD254" i="1" s="1"/>
  <c r="BJ253" i="1"/>
  <c r="BO253" i="1"/>
  <c r="BT253" i="1"/>
  <c r="BF253" i="1" l="1"/>
  <c r="BA254" i="1"/>
  <c r="BC254" i="1" l="1"/>
  <c r="AZ254" i="1"/>
  <c r="BJ254" i="1" l="1"/>
  <c r="BT254" i="1"/>
  <c r="BO254" i="1"/>
  <c r="BU254" i="1"/>
  <c r="BP254" i="1"/>
  <c r="BK254" i="1"/>
  <c r="BG254" i="1" l="1"/>
  <c r="BD255" i="1" s="1"/>
  <c r="BF254" i="1"/>
  <c r="BC255" i="1" l="1"/>
  <c r="AZ255" i="1"/>
  <c r="BA255" i="1"/>
  <c r="BJ255" i="1" l="1"/>
  <c r="BO255" i="1"/>
  <c r="BT255" i="1"/>
  <c r="BU255" i="1"/>
  <c r="BP255" i="1"/>
  <c r="BK255" i="1"/>
  <c r="BG255" i="1" l="1"/>
  <c r="BD256" i="1" s="1"/>
  <c r="BA256" i="1"/>
  <c r="BF255" i="1"/>
  <c r="BC256" i="1" l="1"/>
  <c r="AZ256" i="1"/>
  <c r="BP256" i="1" s="1"/>
  <c r="BU256" i="1"/>
  <c r="BK256" i="1"/>
  <c r="BG256" i="1" l="1"/>
  <c r="BD257" i="1" s="1"/>
  <c r="BA257" i="1"/>
  <c r="BO256" i="1"/>
  <c r="BJ256" i="1"/>
  <c r="BT256" i="1"/>
  <c r="BF256" i="1" l="1"/>
  <c r="AZ257" i="1" s="1"/>
  <c r="BC257" i="1"/>
  <c r="BT257" i="1"/>
  <c r="BO257" i="1"/>
  <c r="BJ257" i="1"/>
  <c r="BU257" i="1"/>
  <c r="BP257" i="1"/>
  <c r="BK257" i="1"/>
  <c r="BF257" i="1" l="1"/>
  <c r="AZ258" i="1" s="1"/>
  <c r="BG257" i="1"/>
  <c r="BD258" i="1" s="1"/>
  <c r="BC258" i="1" l="1"/>
  <c r="BA258" i="1"/>
  <c r="BU258" i="1" l="1"/>
  <c r="BK258" i="1"/>
  <c r="BP258" i="1"/>
  <c r="BT258" i="1"/>
  <c r="BJ258" i="1"/>
  <c r="BO258" i="1"/>
  <c r="BF258" i="1" l="1"/>
  <c r="BG258" i="1"/>
  <c r="BC259" i="1"/>
  <c r="AZ259" i="1"/>
  <c r="BA259" i="1" l="1"/>
  <c r="BD259" i="1"/>
  <c r="BT259" i="1"/>
  <c r="BO259" i="1"/>
  <c r="BJ259" i="1"/>
  <c r="BK259" i="1"/>
  <c r="BU259" i="1"/>
  <c r="BP259" i="1"/>
  <c r="BF259" i="1" l="1"/>
  <c r="AZ260" i="1" s="1"/>
  <c r="BC260" i="1"/>
  <c r="BG259" i="1"/>
  <c r="BD260" i="1" s="1"/>
  <c r="BA260" i="1" l="1"/>
  <c r="BU260" i="1" l="1"/>
  <c r="BK260" i="1"/>
  <c r="BP260" i="1"/>
  <c r="BJ260" i="1"/>
  <c r="BT260" i="1"/>
  <c r="BO260" i="1"/>
  <c r="BF260" i="1" l="1"/>
  <c r="BG260" i="1"/>
  <c r="BD261" i="1" s="1"/>
  <c r="BA261" i="1" l="1"/>
  <c r="AZ261" i="1"/>
  <c r="BC261" i="1"/>
  <c r="BU261" i="1" l="1"/>
  <c r="BP261" i="1"/>
  <c r="BK261" i="1"/>
  <c r="BO261" i="1"/>
  <c r="BT261" i="1"/>
  <c r="BJ261" i="1"/>
  <c r="BG261" i="1" l="1"/>
  <c r="BD262" i="1" s="1"/>
  <c r="BA262" i="1"/>
  <c r="BF261" i="1"/>
  <c r="BC262" i="1" l="1"/>
  <c r="AZ262" i="1"/>
  <c r="BP262" i="1" s="1"/>
  <c r="BT262" i="1" l="1"/>
  <c r="BJ262" i="1"/>
  <c r="BO262" i="1"/>
  <c r="BK262" i="1"/>
  <c r="BU262" i="1"/>
  <c r="BF262" i="1" l="1"/>
  <c r="BC263" i="1" s="1"/>
  <c r="BG262" i="1"/>
  <c r="BD263" i="1" s="1"/>
  <c r="BA263" i="1"/>
  <c r="AZ263" i="1"/>
  <c r="BT263" i="1" l="1"/>
  <c r="BJ263" i="1"/>
  <c r="BO263" i="1"/>
  <c r="BK263" i="1"/>
  <c r="BU263" i="1"/>
  <c r="BP263" i="1"/>
  <c r="BG263" i="1" l="1"/>
  <c r="BD264" i="1" s="1"/>
  <c r="BF263" i="1"/>
  <c r="BC264" i="1" l="1"/>
  <c r="AZ264" i="1"/>
  <c r="BA264" i="1"/>
  <c r="BK264" i="1" l="1"/>
  <c r="BP264" i="1"/>
  <c r="BU264" i="1"/>
  <c r="BO264" i="1"/>
  <c r="BJ264" i="1"/>
  <c r="BT264" i="1"/>
  <c r="BG264" i="1" l="1"/>
  <c r="BD265" i="1" s="1"/>
  <c r="BF264" i="1"/>
  <c r="BA265" i="1" l="1"/>
  <c r="BC265" i="1"/>
  <c r="AZ265" i="1"/>
  <c r="BU265" i="1" s="1"/>
  <c r="BJ265" i="1" l="1"/>
  <c r="BT265" i="1"/>
  <c r="BO265" i="1"/>
  <c r="BP265" i="1"/>
  <c r="BK265" i="1"/>
  <c r="BF265" i="1" l="1"/>
  <c r="BG265" i="1"/>
  <c r="BD266" i="1" s="1"/>
  <c r="BA266" i="1" l="1"/>
  <c r="BC266" i="1"/>
  <c r="AZ266" i="1"/>
  <c r="BT266" i="1" l="1"/>
  <c r="BJ266" i="1"/>
  <c r="BO266" i="1"/>
  <c r="BK266" i="1"/>
  <c r="BU266" i="1"/>
  <c r="BP266" i="1"/>
  <c r="BG266" i="1" l="1"/>
  <c r="BD267" i="1" s="1"/>
  <c r="BA267" i="1"/>
  <c r="BF266" i="1"/>
  <c r="AZ267" i="1" l="1"/>
  <c r="BU267" i="1" s="1"/>
  <c r="BC267" i="1"/>
  <c r="BK267" i="1"/>
  <c r="BP267" i="1"/>
  <c r="BG267" i="1" l="1"/>
  <c r="BD268" i="1" s="1"/>
  <c r="BA268" i="1"/>
  <c r="BT267" i="1"/>
  <c r="BJ267" i="1"/>
  <c r="BO267" i="1"/>
  <c r="BF267" i="1" l="1"/>
  <c r="BC268" i="1" l="1"/>
  <c r="AZ268" i="1"/>
  <c r="BT268" i="1" l="1"/>
  <c r="BJ268" i="1"/>
  <c r="BO268" i="1"/>
  <c r="BK268" i="1"/>
  <c r="BU268" i="1"/>
  <c r="BP268" i="1"/>
  <c r="BG268" i="1" l="1"/>
  <c r="BD269" i="1" s="1"/>
  <c r="BF268" i="1"/>
  <c r="AZ269" i="1" l="1"/>
  <c r="BC269" i="1"/>
  <c r="BA269" i="1"/>
  <c r="BP269" i="1" l="1"/>
  <c r="BU269" i="1"/>
  <c r="BK269" i="1"/>
  <c r="BG269" i="1" s="1"/>
  <c r="BD270" i="1" s="1"/>
  <c r="BO269" i="1"/>
  <c r="BT269" i="1"/>
  <c r="BJ269" i="1"/>
  <c r="BA270" i="1" l="1"/>
  <c r="BF269" i="1"/>
  <c r="AZ270" i="1" l="1"/>
  <c r="BC270" i="1"/>
  <c r="BK270" i="1"/>
  <c r="BU270" i="1"/>
  <c r="BP270" i="1"/>
  <c r="BG270" i="1" l="1"/>
  <c r="BD271" i="1" s="1"/>
  <c r="BT270" i="1"/>
  <c r="BO270" i="1"/>
  <c r="BJ270" i="1"/>
  <c r="BF270" i="1" l="1"/>
  <c r="BA271" i="1"/>
  <c r="BC271" i="1" l="1"/>
  <c r="AZ271" i="1"/>
  <c r="BP271" i="1" s="1"/>
  <c r="BT271" i="1" l="1"/>
  <c r="BJ271" i="1"/>
  <c r="BO271" i="1"/>
  <c r="BU271" i="1"/>
  <c r="BK271" i="1"/>
  <c r="BG271" i="1" l="1"/>
  <c r="BD272" i="1" s="1"/>
  <c r="BF271" i="1"/>
  <c r="BC272" i="1" s="1"/>
  <c r="BA272" i="1"/>
  <c r="AZ272" i="1"/>
  <c r="BU272" i="1" l="1"/>
  <c r="BK272" i="1"/>
  <c r="BP272" i="1"/>
  <c r="BO272" i="1"/>
  <c r="BJ272" i="1"/>
  <c r="BF272" i="1" s="1"/>
  <c r="BC273" i="1" s="1"/>
  <c r="BT272" i="1"/>
  <c r="BG272" i="1" l="1"/>
  <c r="BD273" i="1" s="1"/>
  <c r="AZ273" i="1"/>
  <c r="BA273" i="1"/>
  <c r="BK273" i="1" l="1"/>
  <c r="BP273" i="1"/>
  <c r="BU273" i="1"/>
  <c r="BO273" i="1"/>
  <c r="BT273" i="1"/>
  <c r="BJ273" i="1"/>
  <c r="BF273" i="1" l="1"/>
  <c r="BG273" i="1"/>
  <c r="BD274" i="1" s="1"/>
  <c r="BA274" i="1" l="1"/>
  <c r="BC274" i="1"/>
  <c r="AZ274" i="1"/>
  <c r="BJ274" i="1" l="1"/>
  <c r="BT274" i="1"/>
  <c r="BO274" i="1"/>
  <c r="BP274" i="1"/>
  <c r="BU274" i="1"/>
  <c r="BK274" i="1"/>
  <c r="BG274" i="1" l="1"/>
  <c r="BD275" i="1" s="1"/>
  <c r="BA275" i="1"/>
  <c r="BF274" i="1"/>
  <c r="BC275" i="1" l="1"/>
  <c r="AZ275" i="1"/>
  <c r="BU275" i="1" s="1"/>
  <c r="BP275" i="1"/>
  <c r="BK275" i="1" l="1"/>
  <c r="BG275" i="1" s="1"/>
  <c r="BD276" i="1" s="1"/>
  <c r="BO275" i="1"/>
  <c r="BT275" i="1"/>
  <c r="BJ275" i="1"/>
  <c r="BF275" i="1" s="1"/>
  <c r="BC276" i="1" s="1"/>
  <c r="AZ276" i="1" l="1"/>
  <c r="BA276" i="1"/>
  <c r="BU276" i="1" l="1"/>
  <c r="BP276" i="1"/>
  <c r="BK276" i="1"/>
  <c r="BO276" i="1"/>
  <c r="BJ276" i="1"/>
  <c r="BT276" i="1"/>
  <c r="BG276" i="1" l="1"/>
  <c r="BD277" i="1" s="1"/>
  <c r="BA277" i="1"/>
  <c r="BF276" i="1"/>
  <c r="BC277" i="1" l="1"/>
  <c r="AZ277" i="1"/>
  <c r="BP277" i="1" s="1"/>
  <c r="BK277" i="1" l="1"/>
  <c r="BU277" i="1"/>
  <c r="BG277" i="1" s="1"/>
  <c r="BD278" i="1" s="1"/>
  <c r="BO277" i="1"/>
  <c r="BJ277" i="1"/>
  <c r="BT277" i="1"/>
  <c r="BA278" i="1" l="1"/>
  <c r="BF277" i="1"/>
  <c r="BC278" i="1" l="1"/>
  <c r="AZ278" i="1"/>
  <c r="BK278" i="1"/>
  <c r="BP278" i="1"/>
  <c r="BU278" i="1" l="1"/>
  <c r="BG278" i="1" s="1"/>
  <c r="BD279" i="1" s="1"/>
  <c r="BO278" i="1"/>
  <c r="BT278" i="1"/>
  <c r="BJ278" i="1"/>
  <c r="BF278" i="1" s="1"/>
  <c r="BC279" i="1" s="1"/>
  <c r="AZ279" i="1" l="1"/>
  <c r="BJ279" i="1" s="1"/>
  <c r="BA279" i="1"/>
  <c r="BO279" i="1"/>
  <c r="BT279" i="1"/>
  <c r="BF279" i="1" l="1"/>
  <c r="BK279" i="1"/>
  <c r="BP279" i="1"/>
  <c r="BU279" i="1"/>
  <c r="BC280" i="1" l="1"/>
  <c r="AZ280" i="1"/>
  <c r="BG279" i="1"/>
  <c r="BD280" i="1" s="1"/>
  <c r="BA280" i="1" l="1"/>
  <c r="BK280" i="1" l="1"/>
  <c r="BU280" i="1"/>
  <c r="BP280" i="1"/>
  <c r="BT280" i="1"/>
  <c r="BJ280" i="1"/>
  <c r="BF280" i="1" s="1"/>
  <c r="BO280" i="1"/>
  <c r="BC281" i="1" l="1"/>
  <c r="AZ281" i="1"/>
  <c r="BG280" i="1"/>
  <c r="BD281" i="1" s="1"/>
  <c r="BA281" i="1" l="1"/>
  <c r="BK281" i="1" l="1"/>
  <c r="BP281" i="1"/>
  <c r="BU281" i="1"/>
  <c r="BT281" i="1"/>
  <c r="BO281" i="1"/>
  <c r="BJ281" i="1"/>
  <c r="BF281" i="1" l="1"/>
  <c r="BG281" i="1"/>
  <c r="BD282" i="1" s="1"/>
  <c r="BA282" i="1" l="1"/>
  <c r="BC282" i="1"/>
  <c r="AZ282" i="1"/>
  <c r="BT282" i="1" l="1"/>
  <c r="BO282" i="1"/>
  <c r="BJ282" i="1"/>
  <c r="BF282" i="1" s="1"/>
  <c r="BC283" i="1" s="1"/>
  <c r="BP282" i="1"/>
  <c r="BU282" i="1"/>
  <c r="BK282" i="1"/>
  <c r="BG282" i="1" l="1"/>
  <c r="BD283" i="1" s="1"/>
  <c r="AZ283" i="1"/>
  <c r="BA283" i="1" l="1"/>
  <c r="BK283" i="1" l="1"/>
  <c r="BP283" i="1"/>
  <c r="BJ283" i="1"/>
  <c r="BO283" i="1"/>
  <c r="BT283" i="1"/>
  <c r="BU283" i="1"/>
  <c r="BF283" i="1" l="1"/>
  <c r="BG283" i="1"/>
  <c r="BD284" i="1" s="1"/>
  <c r="BA284" i="1" l="1"/>
  <c r="BC284" i="1"/>
  <c r="AZ284" i="1"/>
  <c r="BK284" i="1" l="1"/>
  <c r="BP284" i="1"/>
  <c r="BU284" i="1"/>
  <c r="BO284" i="1"/>
  <c r="BJ284" i="1"/>
  <c r="BT284" i="1"/>
  <c r="BF284" i="1" l="1"/>
  <c r="BC285" i="1" s="1"/>
  <c r="AZ285" i="1"/>
  <c r="BG284" i="1"/>
  <c r="BD285" i="1" s="1"/>
  <c r="BA285" i="1" l="1"/>
  <c r="BT285" i="1"/>
  <c r="BJ285" i="1"/>
  <c r="BO285" i="1"/>
  <c r="BF285" i="1" l="1"/>
  <c r="BU285" i="1"/>
  <c r="BP285" i="1"/>
  <c r="BK285" i="1"/>
  <c r="BG285" i="1" s="1"/>
  <c r="BD286" i="1" s="1"/>
  <c r="BA286" i="1" l="1"/>
  <c r="BC286" i="1"/>
  <c r="AZ286" i="1"/>
  <c r="BO286" i="1" l="1"/>
  <c r="BJ286" i="1"/>
  <c r="BT286" i="1"/>
  <c r="BP286" i="1"/>
  <c r="BU286" i="1"/>
  <c r="BK286" i="1"/>
  <c r="BG286" i="1" l="1"/>
  <c r="BD287" i="1" s="1"/>
  <c r="BA287" i="1"/>
  <c r="BF286" i="1"/>
  <c r="BC287" i="1" l="1"/>
  <c r="AZ287" i="1"/>
  <c r="BU287" i="1" s="1"/>
  <c r="BP287" i="1"/>
  <c r="BK287" i="1" l="1"/>
  <c r="BG287" i="1" s="1"/>
  <c r="BD288" i="1" s="1"/>
  <c r="BJ287" i="1"/>
  <c r="BO287" i="1"/>
  <c r="BT287" i="1"/>
  <c r="BF287" i="1" l="1"/>
  <c r="BA288" i="1"/>
  <c r="BC288" i="1" l="1"/>
  <c r="AZ288" i="1"/>
  <c r="BT288" i="1" l="1"/>
  <c r="BO288" i="1"/>
  <c r="BJ288" i="1"/>
  <c r="BP288" i="1"/>
  <c r="BK288" i="1"/>
  <c r="BU288" i="1"/>
  <c r="BG288" i="1" l="1"/>
  <c r="BD289" i="1" s="1"/>
  <c r="BA289" i="1"/>
  <c r="BF288" i="1"/>
  <c r="BC289" i="1" l="1"/>
  <c r="AZ289" i="1"/>
  <c r="BP289" i="1" s="1"/>
  <c r="BU289" i="1" l="1"/>
  <c r="BK289" i="1"/>
  <c r="BG289" i="1" s="1"/>
  <c r="BD290" i="1" s="1"/>
  <c r="BJ289" i="1"/>
  <c r="BT289" i="1"/>
  <c r="BO289" i="1"/>
  <c r="BF289" i="1" l="1"/>
  <c r="BC290" i="1" s="1"/>
  <c r="AZ290" i="1"/>
  <c r="BA290" i="1"/>
  <c r="BP290" i="1" l="1"/>
  <c r="BU290" i="1"/>
  <c r="BK290" i="1"/>
  <c r="BG290" i="1" s="1"/>
  <c r="BD291" i="1" s="1"/>
  <c r="BO290" i="1"/>
  <c r="BT290" i="1"/>
  <c r="BJ290" i="1"/>
  <c r="BF290" i="1" s="1"/>
  <c r="BC291" i="1" s="1"/>
  <c r="AZ291" i="1" l="1"/>
  <c r="BA291" i="1"/>
  <c r="BU291" i="1" l="1"/>
  <c r="BK291" i="1"/>
  <c r="BG291" i="1" s="1"/>
  <c r="BD292" i="1" s="1"/>
  <c r="BP291" i="1"/>
  <c r="BJ291" i="1"/>
  <c r="BO291" i="1"/>
  <c r="BT291" i="1"/>
  <c r="BF291" i="1" l="1"/>
  <c r="BC292" i="1" s="1"/>
  <c r="AZ292" i="1"/>
  <c r="BA292" i="1"/>
  <c r="BP292" i="1" l="1"/>
  <c r="BU292" i="1"/>
  <c r="BK292" i="1"/>
  <c r="BG292" i="1" s="1"/>
  <c r="BD293" i="1" s="1"/>
  <c r="BO292" i="1"/>
  <c r="BT292" i="1"/>
  <c r="BJ292" i="1"/>
  <c r="BF292" i="1" s="1"/>
  <c r="BC293" i="1" s="1"/>
  <c r="AZ293" i="1" l="1"/>
  <c r="BA293" i="1"/>
  <c r="BP293" i="1" l="1"/>
  <c r="BK293" i="1"/>
  <c r="BU293" i="1"/>
  <c r="BJ293" i="1"/>
  <c r="BT293" i="1"/>
  <c r="BO293" i="1"/>
  <c r="BF293" i="1" l="1"/>
  <c r="BG293" i="1"/>
  <c r="BD294" i="1" s="1"/>
  <c r="BA294" i="1" l="1"/>
  <c r="BC294" i="1"/>
  <c r="AZ294" i="1"/>
  <c r="BU294" i="1" l="1"/>
  <c r="BK294" i="1"/>
  <c r="BP294" i="1"/>
  <c r="BO294" i="1"/>
  <c r="BJ294" i="1"/>
  <c r="BT294" i="1"/>
  <c r="BF294" i="1" l="1"/>
  <c r="BC295" i="1" s="1"/>
  <c r="BG294" i="1"/>
  <c r="AZ295" i="1"/>
  <c r="BA295" i="1" l="1"/>
  <c r="BD295" i="1"/>
  <c r="BJ295" i="1"/>
  <c r="BT295" i="1"/>
  <c r="BO295" i="1"/>
  <c r="BK295" i="1"/>
  <c r="BU295" i="1"/>
  <c r="BP295" i="1"/>
  <c r="BG295" i="1" l="1"/>
  <c r="BD296" i="1" s="1"/>
  <c r="BF295" i="1"/>
  <c r="BC296" i="1" l="1"/>
  <c r="AZ296" i="1"/>
  <c r="BA296" i="1"/>
  <c r="BU296" i="1" l="1"/>
  <c r="BK296" i="1"/>
  <c r="BP296" i="1"/>
  <c r="BT296" i="1"/>
  <c r="BJ296" i="1"/>
  <c r="BO296" i="1"/>
  <c r="BF296" i="1" l="1"/>
  <c r="BC297" i="1" s="1"/>
  <c r="AZ297" i="1"/>
  <c r="BG296" i="1"/>
  <c r="BD297" i="1" s="1"/>
  <c r="BA297" i="1" l="1"/>
  <c r="BK297" i="1" s="1"/>
  <c r="BJ297" i="1"/>
  <c r="BO297" i="1"/>
  <c r="BT297" i="1" l="1"/>
  <c r="BF297" i="1" s="1"/>
  <c r="BP297" i="1"/>
  <c r="BU297" i="1"/>
  <c r="BG297" i="1" l="1"/>
  <c r="BD298" i="1" s="1"/>
  <c r="BA298" i="1"/>
  <c r="BC298" i="1"/>
  <c r="AZ298" i="1"/>
  <c r="BJ298" i="1" l="1"/>
  <c r="BT298" i="1"/>
  <c r="BO298" i="1"/>
  <c r="BU298" i="1"/>
  <c r="BK298" i="1"/>
  <c r="BP298" i="1"/>
  <c r="BG298" i="1" l="1"/>
  <c r="BD299" i="1" s="1"/>
  <c r="BA299" i="1"/>
  <c r="BF298" i="1"/>
  <c r="BC299" i="1" l="1"/>
  <c r="AZ299" i="1"/>
  <c r="BU299" i="1" s="1"/>
  <c r="BK299" i="1" l="1"/>
  <c r="BT299" i="1"/>
  <c r="BJ299" i="1"/>
  <c r="BO299" i="1"/>
  <c r="BP299" i="1"/>
  <c r="BG299" i="1" s="1"/>
  <c r="BD300" i="1" s="1"/>
  <c r="BF299" i="1" l="1"/>
  <c r="BC300" i="1" s="1"/>
  <c r="BA300" i="1"/>
  <c r="AZ300" i="1"/>
  <c r="BP300" i="1" l="1"/>
  <c r="BU300" i="1"/>
  <c r="BK300" i="1"/>
  <c r="BG300" i="1" s="1"/>
  <c r="BT300" i="1"/>
  <c r="BJ300" i="1"/>
  <c r="BO300" i="1"/>
  <c r="BA301" i="1" l="1"/>
  <c r="BD301" i="1"/>
  <c r="BF300" i="1"/>
  <c r="BC301" i="1" s="1"/>
  <c r="AZ301" i="1"/>
  <c r="BT301" i="1" l="1"/>
  <c r="BO301" i="1"/>
  <c r="BJ301" i="1"/>
  <c r="BU301" i="1"/>
  <c r="BP301" i="1"/>
  <c r="BK301" i="1"/>
  <c r="BG301" i="1" s="1"/>
  <c r="BD302" i="1" s="1"/>
  <c r="BF301" i="1" l="1"/>
  <c r="BA302" i="1"/>
  <c r="BC302" i="1" l="1"/>
  <c r="AZ302" i="1"/>
  <c r="BP302" i="1" s="1"/>
  <c r="BK302" i="1" l="1"/>
  <c r="BO302" i="1"/>
  <c r="BT302" i="1"/>
  <c r="BJ302" i="1"/>
  <c r="BU302" i="1"/>
  <c r="BF302" i="1" l="1"/>
  <c r="BG302" i="1"/>
  <c r="BD303" i="1" s="1"/>
  <c r="BA303" i="1" l="1"/>
  <c r="BC303" i="1"/>
  <c r="AZ303" i="1"/>
  <c r="BP303" i="1" l="1"/>
  <c r="BK303" i="1"/>
  <c r="BU303" i="1"/>
  <c r="BT303" i="1"/>
  <c r="BO303" i="1"/>
  <c r="BJ303" i="1"/>
  <c r="BF303" i="1" l="1"/>
  <c r="BC304" i="1" s="1"/>
  <c r="BG303" i="1"/>
  <c r="AZ304" i="1"/>
  <c r="BA304" i="1" l="1"/>
  <c r="BP304" i="1" s="1"/>
  <c r="BD304" i="1"/>
  <c r="BK304" i="1"/>
  <c r="BU304" i="1"/>
  <c r="BO304" i="1"/>
  <c r="BJ304" i="1"/>
  <c r="BT304" i="1"/>
  <c r="BF304" i="1" l="1"/>
  <c r="BC305" i="1" s="1"/>
  <c r="AZ305" i="1"/>
  <c r="BG304" i="1"/>
  <c r="BD305" i="1" s="1"/>
  <c r="BA305" i="1" l="1"/>
  <c r="BJ305" i="1" s="1"/>
  <c r="BK305" i="1" l="1"/>
  <c r="BP305" i="1"/>
  <c r="BU305" i="1"/>
  <c r="BO305" i="1"/>
  <c r="BF305" i="1" s="1"/>
  <c r="BT305" i="1"/>
  <c r="BC306" i="1" l="1"/>
  <c r="AZ306" i="1"/>
  <c r="BG305" i="1"/>
  <c r="BD306" i="1" s="1"/>
  <c r="BA306" i="1" l="1"/>
  <c r="BJ306" i="1" s="1"/>
  <c r="BT306" i="1"/>
  <c r="BO306" i="1" l="1"/>
  <c r="BF306" i="1" s="1"/>
  <c r="BU306" i="1"/>
  <c r="BP306" i="1"/>
  <c r="BK306" i="1"/>
  <c r="BG306" i="1" s="1"/>
  <c r="AZ307" i="1" l="1"/>
  <c r="BC307" i="1"/>
  <c r="BA307" i="1"/>
  <c r="BO307" i="1" s="1"/>
  <c r="BD307" i="1"/>
  <c r="BT307" i="1"/>
  <c r="BU307" i="1" l="1"/>
  <c r="BP307" i="1"/>
  <c r="BK307" i="1"/>
  <c r="BJ307" i="1"/>
  <c r="BF307" i="1" s="1"/>
  <c r="BG307" i="1"/>
  <c r="BA308" i="1" s="1"/>
  <c r="BD308" i="1" l="1"/>
  <c r="BC308" i="1"/>
  <c r="AZ308" i="1"/>
  <c r="BJ308" i="1" l="1"/>
  <c r="BT308" i="1"/>
  <c r="BO308" i="1"/>
  <c r="BK308" i="1"/>
  <c r="BU308" i="1"/>
  <c r="BP308" i="1"/>
  <c r="BG308" i="1" l="1"/>
  <c r="BD309" i="1" s="1"/>
  <c r="BF308" i="1"/>
  <c r="BC309" i="1" l="1"/>
  <c r="AZ309" i="1"/>
  <c r="BA309" i="1"/>
  <c r="BK309" i="1" l="1"/>
  <c r="BO309" i="1"/>
  <c r="BJ309" i="1"/>
  <c r="BT309" i="1"/>
  <c r="BF309" i="1" s="1"/>
  <c r="BC310" i="1" s="1"/>
  <c r="BU309" i="1"/>
  <c r="BP309" i="1"/>
  <c r="BG309" i="1" l="1"/>
  <c r="BD310" i="1" s="1"/>
  <c r="AZ310" i="1"/>
  <c r="BA310" i="1" l="1"/>
  <c r="BT310" i="1" s="1"/>
  <c r="BP310" i="1" l="1"/>
  <c r="BU310" i="1"/>
  <c r="BK310" i="1"/>
  <c r="BJ310" i="1"/>
  <c r="BO310" i="1"/>
  <c r="BG310" i="1" l="1"/>
  <c r="BD311" i="1" s="1"/>
  <c r="BF310" i="1"/>
  <c r="BC311" i="1" l="1"/>
  <c r="AZ311" i="1"/>
  <c r="BA311" i="1"/>
  <c r="BT311" i="1" l="1"/>
  <c r="BO311" i="1"/>
  <c r="BJ311" i="1"/>
  <c r="BF311" i="1" s="1"/>
  <c r="BC312" i="1" s="1"/>
  <c r="BP311" i="1"/>
  <c r="BK311" i="1"/>
  <c r="BU311" i="1"/>
  <c r="AZ312" i="1" l="1"/>
  <c r="BG311" i="1"/>
  <c r="BD312" i="1" s="1"/>
  <c r="BA312" i="1" l="1"/>
  <c r="BK312" i="1" l="1"/>
  <c r="BU312" i="1"/>
  <c r="BP312" i="1"/>
  <c r="BT312" i="1"/>
  <c r="BJ312" i="1"/>
  <c r="BO312" i="1"/>
  <c r="BF312" i="1" l="1"/>
  <c r="BC313" i="1"/>
  <c r="AZ313" i="1"/>
  <c r="BG312" i="1"/>
  <c r="BD313" i="1" s="1"/>
  <c r="BA313" i="1" l="1"/>
  <c r="BO313" i="1"/>
  <c r="BT313" i="1"/>
  <c r="BJ313" i="1"/>
  <c r="BF313" i="1" l="1"/>
  <c r="BK313" i="1"/>
  <c r="BP313" i="1"/>
  <c r="BU313" i="1"/>
  <c r="BG313" i="1" l="1"/>
  <c r="BD314" i="1" s="1"/>
  <c r="BA314" i="1"/>
  <c r="BC314" i="1"/>
  <c r="AZ314" i="1"/>
  <c r="BJ314" i="1" l="1"/>
  <c r="BT314" i="1"/>
  <c r="BO314" i="1"/>
  <c r="BP314" i="1"/>
  <c r="BU314" i="1"/>
  <c r="BK314" i="1"/>
  <c r="BG314" i="1" l="1"/>
  <c r="BD315" i="1" s="1"/>
  <c r="BF314" i="1"/>
  <c r="BC315" i="1" l="1"/>
  <c r="AZ315" i="1"/>
  <c r="BA315" i="1"/>
  <c r="BP315" i="1" l="1"/>
  <c r="BK315" i="1"/>
  <c r="BU315" i="1"/>
  <c r="BO315" i="1"/>
  <c r="BJ315" i="1"/>
  <c r="BT315" i="1"/>
  <c r="BG315" i="1" l="1"/>
  <c r="BD316" i="1" s="1"/>
  <c r="BF315" i="1"/>
  <c r="BA316" i="1"/>
  <c r="BC316" i="1" l="1"/>
  <c r="AZ316" i="1"/>
  <c r="BO316" i="1" l="1"/>
  <c r="BT316" i="1"/>
  <c r="BJ316" i="1"/>
  <c r="BF316" i="1" s="1"/>
  <c r="BC317" i="1" s="1"/>
  <c r="BP316" i="1"/>
  <c r="BK316" i="1"/>
  <c r="BU316" i="1"/>
  <c r="BG316" i="1" l="1"/>
  <c r="BD317" i="1" s="1"/>
  <c r="AZ317" i="1"/>
  <c r="BA317" i="1" l="1"/>
  <c r="BO317" i="1" s="1"/>
  <c r="BP317" i="1" l="1"/>
  <c r="BK317" i="1"/>
  <c r="BU317" i="1"/>
  <c r="BJ317" i="1"/>
  <c r="BT317" i="1"/>
  <c r="BF317" i="1" l="1"/>
  <c r="BG317" i="1"/>
  <c r="BD318" i="1" s="1"/>
  <c r="BC318" i="1"/>
  <c r="AZ318" i="1"/>
  <c r="BA318" i="1" l="1"/>
  <c r="BT318" i="1" s="1"/>
  <c r="BP318" i="1" l="1"/>
  <c r="BU318" i="1"/>
  <c r="BK318" i="1"/>
  <c r="BG318" i="1" s="1"/>
  <c r="BD319" i="1" s="1"/>
  <c r="BO318" i="1"/>
  <c r="BJ318" i="1"/>
  <c r="BF318" i="1" s="1"/>
  <c r="BC319" i="1" l="1"/>
  <c r="AZ319" i="1"/>
  <c r="BA319" i="1"/>
  <c r="BJ319" i="1" l="1"/>
  <c r="BT319" i="1"/>
  <c r="BO319" i="1"/>
  <c r="BP319" i="1"/>
  <c r="BU319" i="1"/>
  <c r="BK319" i="1"/>
  <c r="BG319" i="1" s="1"/>
  <c r="BD320" i="1" s="1"/>
  <c r="BA320" i="1" l="1"/>
  <c r="BF319" i="1"/>
  <c r="BC320" i="1" l="1"/>
  <c r="AZ320" i="1"/>
  <c r="BO320" i="1" l="1"/>
  <c r="BJ320" i="1"/>
  <c r="BT320" i="1"/>
  <c r="BK320" i="1"/>
  <c r="BU320" i="1"/>
  <c r="BP320" i="1"/>
  <c r="BG320" i="1" l="1"/>
  <c r="BD321" i="1" s="1"/>
  <c r="BF320" i="1"/>
  <c r="AZ321" i="1" l="1"/>
  <c r="BC321" i="1"/>
  <c r="BA321" i="1"/>
  <c r="BU321" i="1" l="1"/>
  <c r="BK321" i="1"/>
  <c r="BP321" i="1"/>
  <c r="BT321" i="1"/>
  <c r="BJ321" i="1"/>
  <c r="BO321" i="1"/>
  <c r="BG321" i="1" l="1"/>
  <c r="BF321" i="1"/>
  <c r="BA322" i="1" l="1"/>
  <c r="BD322" i="1"/>
  <c r="BC322" i="1"/>
  <c r="AZ322" i="1"/>
  <c r="BJ322" i="1" l="1"/>
  <c r="BT322" i="1"/>
  <c r="BO322" i="1"/>
  <c r="BU322" i="1"/>
  <c r="BP322" i="1"/>
  <c r="BK322" i="1"/>
  <c r="BG322" i="1" s="1"/>
  <c r="BD323" i="1" s="1"/>
  <c r="BA323" i="1" l="1"/>
  <c r="BF322" i="1"/>
  <c r="BC323" i="1" l="1"/>
  <c r="AZ323" i="1"/>
  <c r="BJ323" i="1" l="1"/>
  <c r="BT323" i="1"/>
  <c r="BO323" i="1"/>
  <c r="BU323" i="1"/>
  <c r="BK323" i="1"/>
  <c r="BP323" i="1"/>
  <c r="BG323" i="1" l="1"/>
  <c r="BD324" i="1" s="1"/>
  <c r="BF323" i="1"/>
  <c r="BC324" i="1" l="1"/>
  <c r="AZ324" i="1"/>
  <c r="BA324" i="1"/>
  <c r="BP324" i="1" l="1"/>
  <c r="BU324" i="1"/>
  <c r="BK324" i="1"/>
  <c r="BG324" i="1" s="1"/>
  <c r="BO324" i="1"/>
  <c r="BJ324" i="1"/>
  <c r="BT324" i="1"/>
  <c r="BA325" i="1" l="1"/>
  <c r="BD325" i="1"/>
  <c r="BF324" i="1"/>
  <c r="BC325" i="1" s="1"/>
  <c r="AZ325" i="1"/>
  <c r="BK325" i="1" s="1"/>
  <c r="BU325" i="1" l="1"/>
  <c r="BJ325" i="1"/>
  <c r="BT325" i="1"/>
  <c r="BO325" i="1"/>
  <c r="BP325" i="1"/>
  <c r="BG325" i="1" s="1"/>
  <c r="BD326" i="1" s="1"/>
  <c r="BA326" i="1" l="1"/>
  <c r="BF325" i="1"/>
  <c r="BC326" i="1" l="1"/>
  <c r="AZ326" i="1"/>
  <c r="BK326" i="1" s="1"/>
  <c r="BP326" i="1"/>
  <c r="BU326" i="1" l="1"/>
  <c r="BG326" i="1" s="1"/>
  <c r="BT326" i="1"/>
  <c r="BJ326" i="1"/>
  <c r="BO326" i="1"/>
  <c r="BD327" i="1" l="1"/>
  <c r="BA327" i="1"/>
  <c r="BF326" i="1"/>
  <c r="BC327" i="1" l="1"/>
  <c r="AZ327" i="1"/>
  <c r="BO327" i="1" l="1"/>
  <c r="BT327" i="1"/>
  <c r="BJ327" i="1"/>
  <c r="BF327" i="1" s="1"/>
  <c r="BC328" i="1" s="1"/>
  <c r="BU327" i="1"/>
  <c r="BP327" i="1"/>
  <c r="BK327" i="1"/>
  <c r="AZ328" i="1" l="1"/>
  <c r="BG327" i="1"/>
  <c r="BD328" i="1" s="1"/>
  <c r="BA328" i="1" l="1"/>
  <c r="BO328" i="1" s="1"/>
  <c r="BP328" i="1" l="1"/>
  <c r="BU328" i="1"/>
  <c r="BK328" i="1"/>
  <c r="BG328" i="1" s="1"/>
  <c r="BJ328" i="1"/>
  <c r="BT328" i="1"/>
  <c r="BA329" i="1" l="1"/>
  <c r="BD329" i="1"/>
  <c r="BF328" i="1"/>
  <c r="BC329" i="1" l="1"/>
  <c r="AZ329" i="1"/>
  <c r="BJ329" i="1" l="1"/>
  <c r="BO329" i="1"/>
  <c r="BT329" i="1"/>
  <c r="BK329" i="1"/>
  <c r="BU329" i="1"/>
  <c r="BP329" i="1"/>
  <c r="BG329" i="1" l="1"/>
  <c r="BD330" i="1" s="1"/>
  <c r="BF329" i="1"/>
  <c r="BC330" i="1" l="1"/>
  <c r="AZ330" i="1"/>
  <c r="BA330" i="1"/>
  <c r="BO330" i="1" l="1"/>
  <c r="BT330" i="1"/>
  <c r="BJ330" i="1"/>
  <c r="BF330" i="1" s="1"/>
  <c r="BC331" i="1" s="1"/>
  <c r="BP330" i="1"/>
  <c r="BK330" i="1"/>
  <c r="BU330" i="1"/>
  <c r="BG330" i="1" l="1"/>
  <c r="BD331" i="1" s="1"/>
  <c r="AZ331" i="1"/>
  <c r="BA331" i="1"/>
  <c r="BP331" i="1" l="1"/>
  <c r="BK331" i="1"/>
  <c r="BU331" i="1"/>
  <c r="BO331" i="1"/>
  <c r="BJ331" i="1"/>
  <c r="BT331" i="1"/>
  <c r="BF331" i="1" l="1"/>
  <c r="BC332" i="1" s="1"/>
  <c r="BG331" i="1"/>
  <c r="BD332" i="1" s="1"/>
  <c r="AZ332" i="1"/>
  <c r="BA332" i="1"/>
  <c r="BP332" i="1" l="1"/>
  <c r="BU332" i="1"/>
  <c r="BK332" i="1"/>
  <c r="BT332" i="1"/>
  <c r="BJ332" i="1"/>
  <c r="BO332" i="1"/>
  <c r="BG332" i="1" l="1"/>
  <c r="BD333" i="1" s="1"/>
  <c r="BF332" i="1"/>
  <c r="BC333" i="1" l="1"/>
  <c r="AZ333" i="1"/>
  <c r="BA333" i="1"/>
  <c r="BU333" i="1" l="1"/>
  <c r="BP333" i="1"/>
  <c r="BK333" i="1"/>
  <c r="BG333" i="1" s="1"/>
  <c r="BD334" i="1" s="1"/>
  <c r="BO333" i="1"/>
  <c r="BT333" i="1"/>
  <c r="BJ333" i="1"/>
  <c r="BF333" i="1" s="1"/>
  <c r="BC334" i="1" s="1"/>
  <c r="BA334" i="1" l="1"/>
  <c r="AZ334" i="1"/>
  <c r="BO334" i="1" l="1"/>
  <c r="BJ334" i="1"/>
  <c r="BT334" i="1"/>
  <c r="BK334" i="1"/>
  <c r="BP334" i="1"/>
  <c r="BU334" i="1"/>
  <c r="BG334" i="1" l="1"/>
  <c r="BD335" i="1" s="1"/>
  <c r="BA335" i="1"/>
  <c r="BF334" i="1"/>
  <c r="BC335" i="1" l="1"/>
  <c r="AZ335" i="1"/>
  <c r="BT335" i="1" l="1"/>
  <c r="BO335" i="1"/>
  <c r="BJ335" i="1"/>
  <c r="BF335" i="1" s="1"/>
  <c r="AZ336" i="1" s="1"/>
  <c r="BP335" i="1"/>
  <c r="BK335" i="1"/>
  <c r="BU335" i="1"/>
  <c r="BC336" i="1" l="1"/>
  <c r="BG335" i="1"/>
  <c r="BD336" i="1" s="1"/>
  <c r="BA336" i="1"/>
  <c r="BT336" i="1" s="1"/>
  <c r="BP336" i="1" l="1"/>
  <c r="BK336" i="1"/>
  <c r="BU336" i="1"/>
  <c r="BO336" i="1"/>
  <c r="BJ336" i="1"/>
  <c r="BF336" i="1" l="1"/>
  <c r="BG336" i="1"/>
  <c r="BC337" i="1"/>
  <c r="AZ337" i="1"/>
  <c r="BA337" i="1" l="1"/>
  <c r="BD337" i="1"/>
  <c r="BT337" i="1"/>
  <c r="BJ337" i="1"/>
  <c r="BO337" i="1"/>
  <c r="BP337" i="1"/>
  <c r="BU337" i="1"/>
  <c r="BK337" i="1"/>
  <c r="BF337" i="1" l="1"/>
  <c r="BC338" i="1" s="1"/>
  <c r="BG337" i="1"/>
  <c r="BD338" i="1" s="1"/>
  <c r="AZ338" i="1"/>
  <c r="BA338" i="1" l="1"/>
  <c r="BU338" i="1" l="1"/>
  <c r="BK338" i="1"/>
  <c r="BT338" i="1"/>
  <c r="BO338" i="1"/>
  <c r="BJ338" i="1"/>
  <c r="BP338" i="1"/>
  <c r="BF338" i="1" l="1"/>
  <c r="BC339" i="1"/>
  <c r="AZ339" i="1"/>
  <c r="BG338" i="1"/>
  <c r="BD339" i="1" s="1"/>
  <c r="BA339" i="1" l="1"/>
  <c r="BU339" i="1" l="1"/>
  <c r="BK339" i="1"/>
  <c r="BP339" i="1"/>
  <c r="BJ339" i="1"/>
  <c r="BT339" i="1"/>
  <c r="BO339" i="1"/>
  <c r="BG339" i="1" l="1"/>
  <c r="BF339" i="1"/>
  <c r="BA340" i="1" l="1"/>
  <c r="BD340" i="1"/>
  <c r="BC340" i="1"/>
  <c r="AZ340" i="1"/>
  <c r="BJ340" i="1" l="1"/>
  <c r="BO340" i="1"/>
  <c r="BT340" i="1"/>
  <c r="BP340" i="1"/>
  <c r="BK340" i="1"/>
  <c r="BU340" i="1"/>
  <c r="BF340" i="1" l="1"/>
  <c r="BC341" i="1" s="1"/>
  <c r="AZ341" i="1"/>
  <c r="BG340" i="1"/>
  <c r="BD341" i="1" s="1"/>
  <c r="BA341" i="1" l="1"/>
  <c r="BJ341" i="1" s="1"/>
  <c r="BT341" i="1"/>
  <c r="BO341" i="1"/>
  <c r="BF341" i="1" l="1"/>
  <c r="BP341" i="1"/>
  <c r="BK341" i="1"/>
  <c r="BU341" i="1"/>
  <c r="BG341" i="1" l="1"/>
  <c r="BD342" i="1" s="1"/>
  <c r="BC342" i="1"/>
  <c r="AZ342" i="1"/>
  <c r="BA342" i="1" l="1"/>
  <c r="BO342" i="1" s="1"/>
  <c r="BU342" i="1" l="1"/>
  <c r="BK342" i="1"/>
  <c r="BG342" i="1" s="1"/>
  <c r="BD343" i="1" s="1"/>
  <c r="BP342" i="1"/>
  <c r="BT342" i="1"/>
  <c r="BJ342" i="1"/>
  <c r="BF342" i="1" s="1"/>
  <c r="BC343" i="1" l="1"/>
  <c r="AZ343" i="1"/>
  <c r="BA343" i="1"/>
  <c r="BK343" i="1" l="1"/>
  <c r="BU343" i="1"/>
  <c r="BP343" i="1"/>
  <c r="BT343" i="1"/>
  <c r="BO343" i="1"/>
  <c r="BJ343" i="1"/>
  <c r="BG343" i="1" l="1"/>
  <c r="BD344" i="1" s="1"/>
  <c r="BF343" i="1"/>
  <c r="BC344" i="1" l="1"/>
  <c r="AZ344" i="1"/>
  <c r="BA344" i="1"/>
  <c r="BK344" i="1" l="1"/>
  <c r="BP344" i="1"/>
  <c r="BU344" i="1"/>
  <c r="BO344" i="1"/>
  <c r="BJ344" i="1"/>
  <c r="BT344" i="1"/>
  <c r="BF344" i="1" l="1"/>
  <c r="BG344" i="1"/>
  <c r="BD345" i="1" s="1"/>
  <c r="BA345" i="1" l="1"/>
  <c r="BC345" i="1"/>
  <c r="AZ345" i="1"/>
  <c r="BU345" i="1" l="1"/>
  <c r="BP345" i="1"/>
  <c r="BK345" i="1"/>
  <c r="BG345" i="1" s="1"/>
  <c r="BT345" i="1"/>
  <c r="BO345" i="1"/>
  <c r="BJ345" i="1"/>
  <c r="BF345" i="1" s="1"/>
  <c r="BC346" i="1" s="1"/>
  <c r="BA346" i="1" l="1"/>
  <c r="BD346" i="1"/>
  <c r="AZ346" i="1"/>
  <c r="BT346" i="1" l="1"/>
  <c r="BO346" i="1"/>
  <c r="BJ346" i="1"/>
  <c r="BP346" i="1"/>
  <c r="BK346" i="1"/>
  <c r="BU346" i="1"/>
  <c r="BG346" i="1" l="1"/>
  <c r="BD347" i="1" s="1"/>
  <c r="BF346" i="1"/>
  <c r="BC347" i="1" s="1"/>
  <c r="AZ347" i="1"/>
  <c r="BA347" i="1"/>
  <c r="BK347" i="1" l="1"/>
  <c r="BP347" i="1"/>
  <c r="BU347" i="1"/>
  <c r="BT347" i="1"/>
  <c r="BJ347" i="1"/>
  <c r="BF347" i="1" s="1"/>
  <c r="BC348" i="1" s="1"/>
  <c r="BO347" i="1"/>
  <c r="AZ348" i="1" l="1"/>
  <c r="BG347" i="1"/>
  <c r="BD348" i="1" s="1"/>
  <c r="BA348" i="1" l="1"/>
  <c r="BO348" i="1" s="1"/>
  <c r="BT348" i="1"/>
  <c r="BU348" i="1" l="1"/>
  <c r="BK348" i="1"/>
  <c r="BP348" i="1"/>
  <c r="BJ348" i="1"/>
  <c r="BF348" i="1" s="1"/>
  <c r="BG348" i="1" l="1"/>
  <c r="BD349" i="1" s="1"/>
  <c r="BC349" i="1"/>
  <c r="AZ349" i="1"/>
  <c r="BA349" i="1" l="1"/>
  <c r="BO349" i="1" s="1"/>
  <c r="BP349" i="1" l="1"/>
  <c r="BK349" i="1"/>
  <c r="BU349" i="1"/>
  <c r="BT349" i="1"/>
  <c r="BJ349" i="1"/>
  <c r="BF349" i="1" s="1"/>
  <c r="BC350" i="1" l="1"/>
  <c r="AZ350" i="1"/>
  <c r="BG349" i="1"/>
  <c r="BD350" i="1" s="1"/>
  <c r="BA350" i="1" l="1"/>
  <c r="BU350" i="1" l="1"/>
  <c r="BK350" i="1"/>
  <c r="BP350" i="1"/>
  <c r="BJ350" i="1"/>
  <c r="BT350" i="1"/>
  <c r="BO350" i="1"/>
  <c r="BG350" i="1" l="1"/>
  <c r="BF350" i="1"/>
  <c r="BA351" i="1" l="1"/>
  <c r="BD351" i="1"/>
  <c r="AZ351" i="1"/>
  <c r="BC351" i="1"/>
  <c r="BO351" i="1" l="1"/>
  <c r="BJ351" i="1"/>
  <c r="BT351" i="1"/>
  <c r="BU351" i="1"/>
  <c r="BP351" i="1"/>
  <c r="BK351" i="1"/>
  <c r="BF351" i="1" l="1"/>
  <c r="BG351" i="1"/>
  <c r="BD352" i="1" s="1"/>
  <c r="BA352" i="1" l="1"/>
  <c r="BC352" i="1"/>
  <c r="AZ352" i="1"/>
  <c r="BP352" i="1" l="1"/>
  <c r="BU352" i="1"/>
  <c r="BK352" i="1"/>
  <c r="BG352" i="1" s="1"/>
  <c r="BO352" i="1"/>
  <c r="BJ352" i="1"/>
  <c r="BT352" i="1"/>
  <c r="BA353" i="1" l="1"/>
  <c r="BD353" i="1"/>
  <c r="BF352" i="1"/>
  <c r="BC353" i="1" l="1"/>
  <c r="AZ353" i="1"/>
  <c r="BJ353" i="1" l="1"/>
  <c r="BO353" i="1"/>
  <c r="BT353" i="1"/>
  <c r="BP353" i="1"/>
  <c r="BU353" i="1"/>
  <c r="BK353" i="1"/>
  <c r="BG353" i="1" s="1"/>
  <c r="BD354" i="1" s="1"/>
  <c r="BA354" i="1" l="1"/>
  <c r="BF353" i="1"/>
  <c r="BC354" i="1" l="1"/>
  <c r="AZ354" i="1"/>
  <c r="BJ354" i="1" l="1"/>
  <c r="BT354" i="1"/>
  <c r="BO354" i="1"/>
  <c r="BU354" i="1"/>
  <c r="BK354" i="1"/>
  <c r="BP354" i="1"/>
  <c r="BG354" i="1" l="1"/>
  <c r="BD355" i="1" s="1"/>
  <c r="BF354" i="1"/>
  <c r="AZ355" i="1" l="1"/>
  <c r="BC355" i="1"/>
  <c r="BA355" i="1"/>
  <c r="BK355" i="1" l="1"/>
  <c r="BU355" i="1"/>
  <c r="BP355" i="1"/>
  <c r="BJ355" i="1"/>
  <c r="BO355" i="1"/>
  <c r="BT355" i="1"/>
  <c r="BF355" i="1" l="1"/>
  <c r="BC356" i="1" s="1"/>
  <c r="BG355" i="1"/>
  <c r="BD356" i="1" s="1"/>
  <c r="BA356" i="1"/>
  <c r="AZ356" i="1"/>
  <c r="BK356" i="1" l="1"/>
  <c r="BU356" i="1"/>
  <c r="BP356" i="1"/>
  <c r="BO356" i="1"/>
  <c r="BT356" i="1"/>
  <c r="BJ356" i="1"/>
  <c r="BF356" i="1" l="1"/>
  <c r="BG356" i="1"/>
  <c r="BD357" i="1" s="1"/>
  <c r="BA357" i="1" l="1"/>
  <c r="BC357" i="1"/>
  <c r="AZ357" i="1"/>
  <c r="BU357" i="1" l="1"/>
  <c r="BK357" i="1"/>
  <c r="BG357" i="1" s="1"/>
  <c r="BP357" i="1"/>
  <c r="BO357" i="1"/>
  <c r="BT357" i="1"/>
  <c r="BJ357" i="1"/>
  <c r="BF357" i="1" s="1"/>
  <c r="BC358" i="1" s="1"/>
  <c r="BA358" i="1" l="1"/>
  <c r="BD358" i="1"/>
  <c r="AZ358" i="1"/>
  <c r="BP358" i="1" s="1"/>
  <c r="BK358" i="1" l="1"/>
  <c r="BJ358" i="1"/>
  <c r="BT358" i="1"/>
  <c r="BO358" i="1"/>
  <c r="BU358" i="1"/>
  <c r="BG358" i="1" l="1"/>
  <c r="BD359" i="1" s="1"/>
  <c r="BA359" i="1"/>
  <c r="BF358" i="1"/>
  <c r="BC359" i="1" l="1"/>
  <c r="AZ359" i="1"/>
  <c r="BP359" i="1" s="1"/>
  <c r="BK359" i="1" l="1"/>
  <c r="BO359" i="1"/>
  <c r="BT359" i="1"/>
  <c r="BJ359" i="1"/>
  <c r="BF359" i="1" s="1"/>
  <c r="BC360" i="1" s="1"/>
  <c r="BU359" i="1"/>
  <c r="BG359" i="1" s="1"/>
  <c r="BD360" i="1" s="1"/>
  <c r="AZ360" i="1" l="1"/>
  <c r="BA360" i="1"/>
  <c r="BT360" i="1"/>
  <c r="BU360" i="1" l="1"/>
  <c r="BK360" i="1"/>
  <c r="BG360" i="1" s="1"/>
  <c r="BP360" i="1"/>
  <c r="BO360" i="1"/>
  <c r="BJ360" i="1"/>
  <c r="BF360" i="1" s="1"/>
  <c r="BA361" i="1" l="1"/>
  <c r="BD361" i="1"/>
  <c r="BC361" i="1"/>
  <c r="AZ361" i="1"/>
  <c r="BJ361" i="1" l="1"/>
  <c r="BO361" i="1"/>
  <c r="BT361" i="1"/>
  <c r="BP361" i="1"/>
  <c r="BK361" i="1"/>
  <c r="BU361" i="1"/>
  <c r="BG361" i="1" l="1"/>
  <c r="BD362" i="1" s="1"/>
  <c r="BF361" i="1"/>
  <c r="BA362" i="1"/>
  <c r="BC362" i="1" l="1"/>
  <c r="AZ362" i="1"/>
  <c r="BU362" i="1" s="1"/>
  <c r="BP362" i="1" l="1"/>
  <c r="BO362" i="1"/>
  <c r="BJ362" i="1"/>
  <c r="BT362" i="1"/>
  <c r="BK362" i="1"/>
  <c r="BG362" i="1" s="1"/>
  <c r="BD363" i="1" s="1"/>
  <c r="BA363" i="1" l="1"/>
  <c r="BF362" i="1"/>
  <c r="BC363" i="1" l="1"/>
  <c r="AZ363" i="1"/>
  <c r="BJ363" i="1" l="1"/>
  <c r="BO363" i="1"/>
  <c r="BT363" i="1"/>
  <c r="BK363" i="1"/>
  <c r="BU363" i="1"/>
  <c r="BP363" i="1"/>
  <c r="BG363" i="1" l="1"/>
  <c r="BD364" i="1" s="1"/>
  <c r="BF363" i="1"/>
  <c r="BC364" i="1" l="1"/>
  <c r="AZ364" i="1"/>
  <c r="BA364" i="1"/>
  <c r="BT364" i="1" l="1"/>
  <c r="BO364" i="1"/>
  <c r="BJ364" i="1"/>
  <c r="BF364" i="1" s="1"/>
  <c r="BC365" i="1" s="1"/>
  <c r="BU364" i="1"/>
  <c r="BK364" i="1"/>
  <c r="BP364" i="1"/>
  <c r="BG364" i="1" l="1"/>
  <c r="BD365" i="1" s="1"/>
  <c r="AZ365" i="1"/>
  <c r="BA365" i="1" l="1"/>
  <c r="BP365" i="1" l="1"/>
  <c r="BU365" i="1"/>
  <c r="BK365" i="1"/>
  <c r="BO365" i="1"/>
  <c r="BJ365" i="1"/>
  <c r="BT365" i="1"/>
  <c r="BF365" i="1" l="1"/>
  <c r="BC366" i="1"/>
  <c r="AZ366" i="1"/>
  <c r="BG365" i="1"/>
  <c r="BD366" i="1" s="1"/>
  <c r="BA366" i="1" l="1"/>
  <c r="BK366" i="1" l="1"/>
  <c r="BP366" i="1"/>
  <c r="BU366" i="1"/>
  <c r="BJ366" i="1"/>
  <c r="BT366" i="1"/>
  <c r="BO366" i="1"/>
  <c r="BG366" i="1" l="1"/>
  <c r="BD367" i="1" s="1"/>
  <c r="BF366" i="1"/>
  <c r="BA367" i="1"/>
  <c r="AZ367" i="1" l="1"/>
  <c r="BC367" i="1"/>
  <c r="BO367" i="1" l="1"/>
  <c r="BT367" i="1"/>
  <c r="BJ367" i="1"/>
  <c r="BF367" i="1" s="1"/>
  <c r="BC368" i="1" s="1"/>
  <c r="BU367" i="1"/>
  <c r="BK367" i="1"/>
  <c r="BP367" i="1"/>
  <c r="BG367" i="1" l="1"/>
  <c r="BD368" i="1" s="1"/>
  <c r="BA368" i="1"/>
  <c r="AZ368" i="1"/>
  <c r="BT368" i="1" l="1"/>
  <c r="BO368" i="1"/>
  <c r="BJ368" i="1"/>
  <c r="BF368" i="1" s="1"/>
  <c r="BC369" i="1" s="1"/>
  <c r="BK368" i="1"/>
  <c r="BU368" i="1"/>
  <c r="BP368" i="1"/>
  <c r="AZ369" i="1" l="1"/>
  <c r="BG368" i="1"/>
  <c r="BD369" i="1" s="1"/>
  <c r="BA369" i="1" l="1"/>
  <c r="BT369" i="1"/>
  <c r="BU369" i="1" l="1"/>
  <c r="BK369" i="1"/>
  <c r="BP369" i="1"/>
  <c r="BJ369" i="1"/>
  <c r="BO369" i="1"/>
  <c r="BG369" i="1" l="1"/>
  <c r="BD370" i="1" s="1"/>
  <c r="BF369" i="1"/>
  <c r="BA370" i="1" l="1"/>
  <c r="BC370" i="1"/>
  <c r="AZ370" i="1"/>
  <c r="BT370" i="1" l="1"/>
  <c r="BO370" i="1"/>
  <c r="BJ370" i="1"/>
  <c r="BF370" i="1" s="1"/>
  <c r="BC371" i="1" s="1"/>
  <c r="BK370" i="1"/>
  <c r="BP370" i="1"/>
  <c r="BU370" i="1"/>
  <c r="AZ371" i="1" l="1"/>
  <c r="BG370" i="1"/>
  <c r="BD371" i="1" s="1"/>
  <c r="BA371" i="1" l="1"/>
  <c r="BP371" i="1" l="1"/>
  <c r="BU371" i="1"/>
  <c r="BK371" i="1"/>
  <c r="BG371" i="1" s="1"/>
  <c r="BD372" i="1" s="1"/>
  <c r="BT371" i="1"/>
  <c r="BJ371" i="1"/>
  <c r="BO371" i="1"/>
  <c r="BF371" i="1" l="1"/>
  <c r="BC372" i="1"/>
  <c r="AZ372" i="1"/>
  <c r="BA372" i="1"/>
  <c r="BP372" i="1" l="1"/>
  <c r="BU372" i="1"/>
  <c r="BK372" i="1"/>
  <c r="BJ372" i="1"/>
  <c r="BO372" i="1"/>
  <c r="BT372" i="1"/>
  <c r="BG372" i="1" l="1"/>
  <c r="BD373" i="1" s="1"/>
  <c r="BF372" i="1"/>
  <c r="BA373" i="1"/>
  <c r="BC373" i="1" l="1"/>
  <c r="AZ373" i="1"/>
  <c r="BO373" i="1" l="1"/>
  <c r="BJ373" i="1"/>
  <c r="BT373" i="1"/>
  <c r="BU373" i="1"/>
  <c r="BP373" i="1"/>
  <c r="BK373" i="1"/>
  <c r="BG373" i="1" l="1"/>
  <c r="BD374" i="1" s="1"/>
  <c r="BA374" i="1"/>
  <c r="BF373" i="1"/>
  <c r="BC374" i="1" l="1"/>
  <c r="AZ374" i="1"/>
  <c r="BP374" i="1" s="1"/>
  <c r="BK374" i="1" l="1"/>
  <c r="BJ374" i="1"/>
  <c r="BT374" i="1"/>
  <c r="BO374" i="1"/>
  <c r="BU374" i="1"/>
  <c r="BF374" i="1" l="1"/>
  <c r="BG374" i="1"/>
  <c r="BD375" i="1" s="1"/>
  <c r="BA375" i="1" l="1"/>
  <c r="BC375" i="1"/>
  <c r="AZ375" i="1"/>
  <c r="BK375" i="1" l="1"/>
  <c r="BT375" i="1"/>
  <c r="BO375" i="1"/>
  <c r="BJ375" i="1"/>
  <c r="BU375" i="1"/>
  <c r="BP375" i="1"/>
  <c r="BF375" i="1" l="1"/>
  <c r="BG375" i="1"/>
  <c r="BD376" i="1" s="1"/>
  <c r="BA376" i="1" l="1"/>
  <c r="BC376" i="1"/>
  <c r="AZ376" i="1"/>
  <c r="BJ376" i="1" l="1"/>
  <c r="BT376" i="1"/>
  <c r="BO376" i="1"/>
  <c r="BF376" i="1" s="1"/>
  <c r="BC377" i="1" s="1"/>
  <c r="BU376" i="1"/>
  <c r="BP376" i="1"/>
  <c r="BK376" i="1"/>
  <c r="BG376" i="1" l="1"/>
  <c r="BD377" i="1" s="1"/>
  <c r="AZ377" i="1"/>
  <c r="BA377" i="1" l="1"/>
  <c r="BU377" i="1" l="1"/>
  <c r="BK377" i="1"/>
  <c r="BP377" i="1"/>
  <c r="BJ377" i="1"/>
  <c r="BT377" i="1"/>
  <c r="BO377" i="1"/>
  <c r="BG377" i="1" l="1"/>
  <c r="BD378" i="1" s="1"/>
  <c r="BF377" i="1"/>
  <c r="BA378" i="1"/>
  <c r="BC378" i="1" l="1"/>
  <c r="AZ378" i="1"/>
  <c r="BU378" i="1" s="1"/>
  <c r="BP378" i="1" l="1"/>
  <c r="BO378" i="1"/>
  <c r="BT378" i="1"/>
  <c r="BJ378" i="1"/>
  <c r="BK378" i="1"/>
  <c r="BG378" i="1" s="1"/>
  <c r="BD379" i="1" s="1"/>
  <c r="BF378" i="1" l="1"/>
  <c r="BC379" i="1" s="1"/>
  <c r="BA379" i="1"/>
  <c r="AZ379" i="1"/>
  <c r="BU379" i="1" l="1"/>
  <c r="BP379" i="1"/>
  <c r="BK379" i="1"/>
  <c r="BO379" i="1"/>
  <c r="BT379" i="1"/>
  <c r="BJ379" i="1"/>
  <c r="BF379" i="1" l="1"/>
  <c r="BC380" i="1" s="1"/>
  <c r="BG379" i="1"/>
  <c r="AZ380" i="1"/>
  <c r="BA380" i="1" l="1"/>
  <c r="BK380" i="1" s="1"/>
  <c r="BD380" i="1"/>
  <c r="BU380" i="1"/>
  <c r="BJ380" i="1"/>
  <c r="BT380" i="1"/>
  <c r="BO380" i="1"/>
  <c r="BP380" i="1"/>
  <c r="BG380" i="1" l="1"/>
  <c r="BD381" i="1"/>
  <c r="BA381" i="1"/>
  <c r="BF380" i="1"/>
  <c r="BC381" i="1" l="1"/>
  <c r="AZ381" i="1"/>
  <c r="BK381" i="1" s="1"/>
  <c r="BU381" i="1"/>
  <c r="BP381" i="1" l="1"/>
  <c r="BG381" i="1" s="1"/>
  <c r="BD382" i="1" s="1"/>
  <c r="BT381" i="1"/>
  <c r="BJ381" i="1"/>
  <c r="BO381" i="1"/>
  <c r="BF381" i="1" l="1"/>
  <c r="BC382" i="1" s="1"/>
  <c r="AZ382" i="1"/>
  <c r="BA382" i="1"/>
  <c r="BP382" i="1" l="1"/>
  <c r="BK382" i="1"/>
  <c r="BU382" i="1"/>
  <c r="BO382" i="1"/>
  <c r="BJ382" i="1"/>
  <c r="BT382" i="1"/>
  <c r="BF382" i="1" l="1"/>
  <c r="BG382" i="1"/>
  <c r="BD383" i="1" s="1"/>
  <c r="BA383" i="1" l="1"/>
  <c r="BC383" i="1"/>
  <c r="AZ383" i="1"/>
  <c r="BO383" i="1" l="1"/>
  <c r="BT383" i="1"/>
  <c r="BJ383" i="1"/>
  <c r="BP383" i="1"/>
  <c r="BU383" i="1"/>
  <c r="BK383" i="1"/>
  <c r="BF383" i="1" l="1"/>
  <c r="BC384" i="1" s="1"/>
  <c r="BG383" i="1"/>
  <c r="BD384" i="1" s="1"/>
  <c r="AZ384" i="1"/>
  <c r="BA384" i="1" l="1"/>
  <c r="BK384" i="1" l="1"/>
  <c r="BU384" i="1"/>
  <c r="BP384" i="1"/>
  <c r="BJ384" i="1"/>
  <c r="BO384" i="1"/>
  <c r="BT384" i="1"/>
  <c r="BG384" i="1" l="1"/>
  <c r="BD385" i="1" s="1"/>
  <c r="BF384" i="1"/>
  <c r="BA385" i="1"/>
  <c r="BC385" i="1" l="1"/>
  <c r="AZ385" i="1"/>
  <c r="BK385" i="1" s="1"/>
  <c r="BT385" i="1" l="1"/>
  <c r="BJ385" i="1"/>
  <c r="BO385" i="1"/>
  <c r="BP385" i="1"/>
  <c r="BG385" i="1" s="1"/>
  <c r="BD386" i="1" s="1"/>
  <c r="BU385" i="1"/>
  <c r="BA386" i="1" l="1"/>
  <c r="BF385" i="1"/>
  <c r="BC386" i="1" l="1"/>
  <c r="AZ386" i="1"/>
  <c r="BT386" i="1" l="1"/>
  <c r="BJ386" i="1"/>
  <c r="BO386" i="1"/>
  <c r="BP386" i="1"/>
  <c r="BK386" i="1"/>
  <c r="BU386" i="1"/>
  <c r="BF386" i="1" l="1"/>
  <c r="BG386" i="1"/>
  <c r="BD387" i="1" s="1"/>
  <c r="BA387" i="1" l="1"/>
  <c r="BC387" i="1"/>
  <c r="AZ387" i="1"/>
  <c r="BT387" i="1" l="1"/>
  <c r="BO387" i="1"/>
  <c r="BJ387" i="1"/>
  <c r="BF387" i="1" s="1"/>
  <c r="BC388" i="1" s="1"/>
  <c r="BP387" i="1"/>
  <c r="BK387" i="1"/>
  <c r="BU387" i="1"/>
  <c r="BG387" i="1" l="1"/>
  <c r="BD388" i="1" s="1"/>
  <c r="AZ388" i="1"/>
  <c r="BA388" i="1" l="1"/>
  <c r="BU388" i="1" l="1"/>
  <c r="BK388" i="1"/>
  <c r="BP388" i="1"/>
  <c r="BO388" i="1"/>
  <c r="BJ388" i="1"/>
  <c r="BF388" i="1" s="1"/>
  <c r="BT388" i="1"/>
  <c r="BG388" i="1" l="1"/>
  <c r="BC389" i="1"/>
  <c r="AZ389" i="1"/>
  <c r="BA389" i="1" l="1"/>
  <c r="BD389" i="1"/>
  <c r="BJ389" i="1"/>
  <c r="BO389" i="1"/>
  <c r="BT389" i="1"/>
  <c r="BP389" i="1"/>
  <c r="BU389" i="1"/>
  <c r="BK389" i="1"/>
  <c r="BG389" i="1" l="1"/>
  <c r="BD390" i="1" s="1"/>
  <c r="BF389" i="1"/>
  <c r="AZ390" i="1" l="1"/>
  <c r="BC390" i="1"/>
  <c r="BA390" i="1"/>
  <c r="BU390" i="1" l="1"/>
  <c r="BP390" i="1"/>
  <c r="BK390" i="1"/>
  <c r="BT390" i="1"/>
  <c r="BO390" i="1"/>
  <c r="BJ390" i="1"/>
  <c r="BG390" i="1" l="1"/>
  <c r="BD391" i="1" s="1"/>
  <c r="BF390" i="1"/>
  <c r="BA391" i="1"/>
  <c r="BC391" i="1" l="1"/>
  <c r="AZ391" i="1"/>
  <c r="BU391" i="1" s="1"/>
  <c r="BK391" i="1" l="1"/>
  <c r="BJ391" i="1"/>
  <c r="BO391" i="1"/>
  <c r="BT391" i="1"/>
  <c r="BP391" i="1"/>
  <c r="BG391" i="1" l="1"/>
  <c r="BD392" i="1" s="1"/>
  <c r="BF391" i="1"/>
  <c r="BC392" i="1" l="1"/>
  <c r="AZ392" i="1"/>
  <c r="BA392" i="1"/>
  <c r="BK392" i="1" l="1"/>
  <c r="BP392" i="1"/>
  <c r="BU392" i="1"/>
  <c r="BT392" i="1"/>
  <c r="BJ392" i="1"/>
  <c r="BO392" i="1"/>
  <c r="BF392" i="1" l="1"/>
  <c r="BG392" i="1"/>
  <c r="BD393" i="1" s="1"/>
  <c r="BA393" i="1" l="1"/>
  <c r="BC393" i="1"/>
  <c r="AZ393" i="1"/>
  <c r="BO393" i="1" l="1"/>
  <c r="BJ393" i="1"/>
  <c r="BT393" i="1"/>
  <c r="BU393" i="1"/>
  <c r="BK393" i="1"/>
  <c r="BP393" i="1"/>
  <c r="BG393" i="1" l="1"/>
  <c r="BD394" i="1" s="1"/>
  <c r="BA394" i="1"/>
  <c r="BF393" i="1"/>
  <c r="BC394" i="1" l="1"/>
  <c r="AZ394" i="1"/>
  <c r="BT394" i="1" l="1"/>
  <c r="BO394" i="1"/>
  <c r="BJ394" i="1"/>
  <c r="BU394" i="1"/>
  <c r="BK394" i="1"/>
  <c r="BP394" i="1"/>
  <c r="BF394" i="1" l="1"/>
  <c r="BG394" i="1"/>
  <c r="BD395" i="1" s="1"/>
  <c r="BA395" i="1" l="1"/>
  <c r="AZ395" i="1"/>
  <c r="BC395" i="1"/>
  <c r="BJ395" i="1" l="1"/>
  <c r="BT395" i="1"/>
  <c r="BO395" i="1"/>
  <c r="BU395" i="1"/>
  <c r="BK395" i="1"/>
  <c r="BP395" i="1"/>
  <c r="BG395" i="1" l="1"/>
  <c r="BD396" i="1" s="1"/>
  <c r="BA396" i="1"/>
  <c r="BF395" i="1"/>
  <c r="BC396" i="1" l="1"/>
  <c r="AZ396" i="1"/>
  <c r="BU396" i="1" l="1"/>
  <c r="BO396" i="1"/>
  <c r="BJ396" i="1"/>
  <c r="BF396" i="1" s="1"/>
  <c r="BC397" i="1" s="1"/>
  <c r="BT396" i="1"/>
  <c r="BK396" i="1"/>
  <c r="BP396" i="1"/>
  <c r="AZ397" i="1" l="1"/>
  <c r="BG396" i="1"/>
  <c r="BD397" i="1" s="1"/>
  <c r="BA397" i="1"/>
  <c r="BO397" i="1" s="1"/>
  <c r="BK397" i="1" l="1"/>
  <c r="BU397" i="1"/>
  <c r="BP397" i="1"/>
  <c r="BJ397" i="1"/>
  <c r="BT397" i="1"/>
  <c r="BF397" i="1" l="1"/>
  <c r="BG397" i="1"/>
  <c r="BD398" i="1" s="1"/>
  <c r="BA398" i="1" l="1"/>
  <c r="BC398" i="1"/>
  <c r="AZ398" i="1"/>
  <c r="BO398" i="1" l="1"/>
  <c r="BJ398" i="1"/>
  <c r="BT398" i="1"/>
  <c r="BK398" i="1"/>
  <c r="BU398" i="1"/>
  <c r="BP398" i="1"/>
  <c r="BG398" i="1" l="1"/>
  <c r="BF398" i="1"/>
  <c r="BA399" i="1" l="1"/>
  <c r="BD399" i="1"/>
  <c r="BC399" i="1"/>
  <c r="AZ399" i="1"/>
  <c r="BO399" i="1" l="1"/>
  <c r="BT399" i="1"/>
  <c r="BJ399" i="1"/>
  <c r="BF399" i="1" s="1"/>
  <c r="BC400" i="1" s="1"/>
  <c r="BK399" i="1"/>
  <c r="BP399" i="1"/>
  <c r="BU399" i="1"/>
  <c r="BG399" i="1" l="1"/>
  <c r="BD400" i="1" s="1"/>
  <c r="AZ400" i="1"/>
  <c r="BA400" i="1" l="1"/>
  <c r="BK400" i="1" l="1"/>
  <c r="BP400" i="1"/>
  <c r="BU400" i="1"/>
  <c r="BO400" i="1"/>
  <c r="BJ400" i="1"/>
  <c r="BT400" i="1"/>
  <c r="BF400" i="1" l="1"/>
  <c r="BG400" i="1"/>
  <c r="BD401" i="1" s="1"/>
  <c r="BC401" i="1"/>
  <c r="AZ401" i="1"/>
  <c r="BA401" i="1" l="1"/>
  <c r="BU401" i="1" l="1"/>
  <c r="BK401" i="1"/>
  <c r="BP401" i="1"/>
  <c r="BO401" i="1"/>
  <c r="BT401" i="1"/>
  <c r="BJ401" i="1"/>
  <c r="BF401" i="1" l="1"/>
  <c r="BG401" i="1"/>
  <c r="BD402" i="1" s="1"/>
  <c r="BA402" i="1" l="1"/>
  <c r="BC402" i="1"/>
  <c r="AZ402" i="1"/>
  <c r="BU402" i="1" l="1"/>
  <c r="BP402" i="1"/>
  <c r="BK402" i="1"/>
  <c r="BG402" i="1" s="1"/>
  <c r="BO402" i="1"/>
  <c r="BJ402" i="1"/>
  <c r="BT402" i="1"/>
  <c r="BA403" i="1" l="1"/>
  <c r="BD403" i="1"/>
  <c r="BF402" i="1"/>
  <c r="BC403" i="1" s="1"/>
  <c r="AZ403" i="1"/>
  <c r="BJ403" i="1" l="1"/>
  <c r="BO403" i="1"/>
  <c r="BT403" i="1"/>
  <c r="BK403" i="1"/>
  <c r="BP403" i="1"/>
  <c r="BU403" i="1"/>
  <c r="BG403" i="1" l="1"/>
  <c r="BD404" i="1" s="1"/>
  <c r="BF403" i="1"/>
  <c r="BC404" i="1" l="1"/>
  <c r="AZ404" i="1"/>
  <c r="BA404" i="1"/>
  <c r="BK404" i="1" l="1"/>
  <c r="BU404" i="1"/>
  <c r="BP404" i="1"/>
  <c r="BJ404" i="1"/>
  <c r="BO404" i="1"/>
  <c r="BT404" i="1"/>
  <c r="BF404" i="1" l="1"/>
  <c r="BC405" i="1" s="1"/>
  <c r="BG404" i="1"/>
  <c r="BD405" i="1" s="1"/>
  <c r="AZ405" i="1"/>
  <c r="BA405" i="1" l="1"/>
  <c r="BU405" i="1" l="1"/>
  <c r="BP405" i="1"/>
  <c r="BK405" i="1"/>
  <c r="BO405" i="1"/>
  <c r="BJ405" i="1"/>
  <c r="BT405" i="1"/>
  <c r="BG405" i="1" l="1"/>
  <c r="BD406" i="1" s="1"/>
  <c r="BF405" i="1"/>
  <c r="BA406" i="1"/>
  <c r="BC406" i="1" l="1"/>
  <c r="AZ406" i="1"/>
  <c r="BO406" i="1" l="1"/>
  <c r="BT406" i="1"/>
  <c r="BJ406" i="1"/>
  <c r="BF406" i="1" s="1"/>
  <c r="BC407" i="1" s="1"/>
  <c r="BU406" i="1"/>
  <c r="BP406" i="1"/>
  <c r="BK406" i="1"/>
  <c r="BG406" i="1" l="1"/>
  <c r="BD407" i="1" s="1"/>
  <c r="AZ407" i="1"/>
  <c r="BA407" i="1" l="1"/>
  <c r="BT407" i="1" s="1"/>
  <c r="BP407" i="1" l="1"/>
  <c r="BK407" i="1"/>
  <c r="BU407" i="1"/>
  <c r="BJ407" i="1"/>
  <c r="BO407" i="1"/>
  <c r="BG407" i="1" l="1"/>
  <c r="BD408" i="1" s="1"/>
  <c r="BF407" i="1"/>
  <c r="BA408" i="1" l="1"/>
  <c r="BC408" i="1"/>
  <c r="AZ408" i="1"/>
  <c r="BO408" i="1" l="1"/>
  <c r="BT408" i="1"/>
  <c r="BJ408" i="1"/>
  <c r="BP408" i="1"/>
  <c r="BK408" i="1"/>
  <c r="BU408" i="1"/>
  <c r="BF408" i="1" l="1"/>
  <c r="AZ409" i="1" s="1"/>
  <c r="BC409" i="1"/>
  <c r="BG408" i="1"/>
  <c r="BD409" i="1" s="1"/>
  <c r="BA409" i="1" l="1"/>
  <c r="BK409" i="1" l="1"/>
  <c r="BU409" i="1"/>
  <c r="BP409" i="1"/>
  <c r="BT409" i="1"/>
  <c r="BJ409" i="1"/>
  <c r="BF409" i="1" s="1"/>
  <c r="BO409" i="1"/>
  <c r="BG409" i="1" l="1"/>
  <c r="BD410" i="1" s="1"/>
  <c r="BC410" i="1"/>
  <c r="AZ410" i="1"/>
  <c r="BA410" i="1"/>
  <c r="BU410" i="1" l="1"/>
  <c r="BK410" i="1"/>
  <c r="BP410" i="1"/>
  <c r="BT410" i="1"/>
  <c r="BO410" i="1"/>
  <c r="BJ410" i="1"/>
  <c r="BG410" i="1" l="1"/>
  <c r="BD411" i="1" s="1"/>
  <c r="BF410" i="1"/>
  <c r="BC411" i="1" s="1"/>
  <c r="AZ411" i="1"/>
  <c r="BA411" i="1"/>
  <c r="BU411" i="1" l="1"/>
  <c r="BK411" i="1"/>
  <c r="BP411" i="1"/>
  <c r="BO411" i="1"/>
  <c r="BJ411" i="1"/>
  <c r="BF411" i="1" s="1"/>
  <c r="BC412" i="1" s="1"/>
  <c r="BT411" i="1"/>
  <c r="BG411" i="1" l="1"/>
  <c r="BD412" i="1" s="1"/>
  <c r="AZ412" i="1"/>
  <c r="BA412" i="1"/>
  <c r="BU412" i="1" l="1"/>
  <c r="BK412" i="1"/>
  <c r="BP412" i="1"/>
  <c r="BJ412" i="1"/>
  <c r="BT412" i="1"/>
  <c r="BO412" i="1"/>
  <c r="BG412" i="1" l="1"/>
  <c r="BD413" i="1" s="1"/>
  <c r="BF412" i="1"/>
  <c r="BA413" i="1"/>
  <c r="BC413" i="1" l="1"/>
  <c r="AZ413" i="1"/>
  <c r="BT413" i="1" l="1"/>
  <c r="BO413" i="1"/>
  <c r="BJ413" i="1"/>
  <c r="BF413" i="1" s="1"/>
  <c r="BC414" i="1" s="1"/>
  <c r="BK413" i="1"/>
  <c r="BU413" i="1"/>
  <c r="BP413" i="1"/>
  <c r="BG413" i="1" l="1"/>
  <c r="BD414" i="1" s="1"/>
  <c r="BA414" i="1"/>
  <c r="AZ414" i="1"/>
  <c r="BP414" i="1" l="1"/>
  <c r="BU414" i="1"/>
  <c r="BK414" i="1"/>
  <c r="BO414" i="1"/>
  <c r="BJ414" i="1"/>
  <c r="BT414" i="1"/>
  <c r="BG414" i="1" l="1"/>
  <c r="BD415" i="1" s="1"/>
  <c r="BF414" i="1"/>
  <c r="BC415" i="1" l="1"/>
  <c r="AZ415" i="1"/>
  <c r="BA415" i="1"/>
  <c r="BP415" i="1" l="1"/>
  <c r="BU415" i="1"/>
  <c r="BK415" i="1"/>
  <c r="BO415" i="1"/>
  <c r="BJ415" i="1"/>
  <c r="BT415" i="1"/>
  <c r="BF415" i="1" l="1"/>
  <c r="BC416" i="1" s="1"/>
  <c r="BG415" i="1"/>
  <c r="AZ416" i="1"/>
  <c r="BA416" i="1" l="1"/>
  <c r="BD416" i="1"/>
  <c r="BJ416" i="1"/>
  <c r="BT416" i="1"/>
  <c r="BO416" i="1"/>
  <c r="BU416" i="1"/>
  <c r="BP416" i="1"/>
  <c r="BK416" i="1"/>
  <c r="BG416" i="1" l="1"/>
  <c r="BA417" i="1" s="1"/>
  <c r="BF416" i="1"/>
  <c r="BD417" i="1" l="1"/>
  <c r="BC417" i="1"/>
  <c r="AZ417" i="1"/>
  <c r="BT417" i="1" l="1"/>
  <c r="BO417" i="1"/>
  <c r="BJ417" i="1"/>
  <c r="BK417" i="1"/>
  <c r="BP417" i="1"/>
  <c r="BU417" i="1"/>
  <c r="BF417" i="1" l="1"/>
  <c r="BC418" i="1" s="1"/>
  <c r="BG417" i="1"/>
  <c r="BD418" i="1" s="1"/>
  <c r="AZ418" i="1"/>
  <c r="BA418" i="1" l="1"/>
  <c r="BP418" i="1" l="1"/>
  <c r="BK418" i="1"/>
  <c r="BU418" i="1"/>
  <c r="BT418" i="1"/>
  <c r="BO418" i="1"/>
  <c r="BJ418" i="1"/>
  <c r="BG418" i="1" l="1"/>
  <c r="BD419" i="1" s="1"/>
  <c r="BF418" i="1"/>
  <c r="BA419" i="1"/>
  <c r="BC419" i="1" l="1"/>
  <c r="AZ419" i="1"/>
  <c r="BO419" i="1" l="1"/>
  <c r="BT419" i="1"/>
  <c r="BJ419" i="1"/>
  <c r="BF419" i="1" s="1"/>
  <c r="BC420" i="1" s="1"/>
  <c r="BK419" i="1"/>
  <c r="BU419" i="1"/>
  <c r="BP419" i="1"/>
  <c r="BG419" i="1" l="1"/>
  <c r="BD420" i="1" s="1"/>
  <c r="AZ420" i="1"/>
  <c r="BA420" i="1" l="1"/>
  <c r="BJ420" i="1" s="1"/>
  <c r="BP420" i="1" l="1"/>
  <c r="BU420" i="1"/>
  <c r="BK420" i="1"/>
  <c r="BT420" i="1"/>
  <c r="BO420" i="1"/>
  <c r="BG420" i="1" l="1"/>
  <c r="BF420" i="1"/>
  <c r="BC421" i="1"/>
  <c r="AZ421" i="1"/>
  <c r="BA421" i="1" l="1"/>
  <c r="BD421" i="1"/>
  <c r="BJ421" i="1"/>
  <c r="BT421" i="1"/>
  <c r="BO421" i="1"/>
  <c r="BP421" i="1"/>
  <c r="BU421" i="1"/>
  <c r="BK421" i="1"/>
  <c r="BF421" i="1" l="1"/>
  <c r="BG421" i="1"/>
  <c r="BD422" i="1" s="1"/>
  <c r="BA422" i="1" l="1"/>
  <c r="BC422" i="1"/>
  <c r="AZ422" i="1"/>
  <c r="BO422" i="1" l="1"/>
  <c r="BJ422" i="1"/>
  <c r="BT422" i="1"/>
  <c r="BP422" i="1"/>
  <c r="BU422" i="1"/>
  <c r="BK422" i="1"/>
  <c r="BG422" i="1" l="1"/>
  <c r="BD423" i="1" s="1"/>
  <c r="BF422" i="1"/>
  <c r="BC423" i="1" l="1"/>
  <c r="AZ423" i="1"/>
  <c r="BA423" i="1"/>
  <c r="BK423" i="1" l="1"/>
  <c r="BU423" i="1"/>
  <c r="BP423" i="1"/>
  <c r="BT423" i="1"/>
  <c r="BO423" i="1"/>
  <c r="BJ423" i="1"/>
  <c r="BF423" i="1" l="1"/>
  <c r="BG423" i="1"/>
  <c r="BD424" i="1" s="1"/>
  <c r="BA424" i="1" l="1"/>
  <c r="BC424" i="1"/>
  <c r="AZ424" i="1"/>
  <c r="BU424" i="1" l="1"/>
  <c r="BK424" i="1"/>
  <c r="BP424" i="1"/>
  <c r="BT424" i="1"/>
  <c r="BJ424" i="1"/>
  <c r="BO424" i="1"/>
  <c r="BF424" i="1" l="1"/>
  <c r="BC425" i="1" s="1"/>
  <c r="BG424" i="1"/>
  <c r="BD425" i="1" s="1"/>
  <c r="AZ425" i="1"/>
  <c r="BA425" i="1" l="1"/>
  <c r="BO425" i="1" s="1"/>
  <c r="BP425" i="1" l="1"/>
  <c r="BU425" i="1"/>
  <c r="BK425" i="1"/>
  <c r="BG425" i="1" s="1"/>
  <c r="BT425" i="1"/>
  <c r="BJ425" i="1"/>
  <c r="BF425" i="1" s="1"/>
  <c r="BA426" i="1" l="1"/>
  <c r="BD426" i="1"/>
  <c r="BC426" i="1"/>
  <c r="AZ426" i="1"/>
  <c r="BJ426" i="1" l="1"/>
  <c r="BT426" i="1"/>
  <c r="BO426" i="1"/>
  <c r="BK426" i="1"/>
  <c r="BU426" i="1"/>
  <c r="BP426" i="1"/>
  <c r="BG426" i="1" l="1"/>
  <c r="BF426" i="1"/>
  <c r="BA427" i="1" l="1"/>
  <c r="BD427" i="1"/>
  <c r="BC427" i="1"/>
  <c r="AZ427" i="1"/>
  <c r="BJ427" i="1" l="1"/>
  <c r="BO427" i="1"/>
  <c r="BT427" i="1"/>
  <c r="BK427" i="1"/>
  <c r="BU427" i="1"/>
  <c r="BP427" i="1"/>
  <c r="BG427" i="1" l="1"/>
  <c r="BD428" i="1" s="1"/>
  <c r="BF427" i="1"/>
  <c r="BC428" i="1" l="1"/>
  <c r="AZ428" i="1"/>
  <c r="BA428" i="1"/>
  <c r="BP428" i="1" l="1"/>
  <c r="BU428" i="1"/>
  <c r="BK428" i="1"/>
  <c r="BT428" i="1"/>
  <c r="BJ428" i="1"/>
  <c r="BO428" i="1"/>
  <c r="BF428" i="1" l="1"/>
  <c r="BC429" i="1" s="1"/>
  <c r="BG428" i="1"/>
  <c r="AZ429" i="1"/>
  <c r="BA429" i="1" l="1"/>
  <c r="BD429" i="1"/>
  <c r="BO429" i="1"/>
  <c r="BT429" i="1"/>
  <c r="BJ429" i="1"/>
  <c r="BP429" i="1"/>
  <c r="BK429" i="1"/>
  <c r="BU429" i="1"/>
  <c r="BF429" i="1" l="1"/>
  <c r="BG429" i="1"/>
  <c r="BD430" i="1" s="1"/>
  <c r="BC430" i="1" l="1"/>
  <c r="AZ430" i="1"/>
  <c r="BA430" i="1"/>
  <c r="BP430" i="1" l="1"/>
  <c r="BK430" i="1"/>
  <c r="BU430" i="1"/>
  <c r="BT430" i="1"/>
  <c r="BO430" i="1"/>
  <c r="BJ430" i="1"/>
  <c r="BG430" i="1" l="1"/>
  <c r="BD431" i="1" s="1"/>
  <c r="BF430" i="1"/>
  <c r="BC431" i="1" l="1"/>
  <c r="AZ431" i="1"/>
  <c r="BA431" i="1"/>
  <c r="BP431" i="1" l="1"/>
  <c r="BK431" i="1"/>
  <c r="BU431" i="1"/>
  <c r="BT431" i="1"/>
  <c r="BO431" i="1"/>
  <c r="BJ431" i="1"/>
  <c r="BG431" i="1" l="1"/>
  <c r="BD432" i="1" s="1"/>
  <c r="BF431" i="1"/>
  <c r="BA432" i="1"/>
  <c r="BC432" i="1" l="1"/>
  <c r="AZ432" i="1"/>
  <c r="BJ432" i="1" l="1"/>
  <c r="BT432" i="1"/>
  <c r="BO432" i="1"/>
  <c r="BU432" i="1"/>
  <c r="BK432" i="1"/>
  <c r="BP432" i="1"/>
  <c r="BG432" i="1" l="1"/>
  <c r="BD433" i="1" s="1"/>
  <c r="BF432" i="1"/>
  <c r="BC433" i="1" l="1"/>
  <c r="AZ433" i="1"/>
  <c r="BA433" i="1"/>
  <c r="BO433" i="1" l="1"/>
  <c r="BJ433" i="1"/>
  <c r="BT433" i="1"/>
  <c r="BP433" i="1"/>
  <c r="BK433" i="1"/>
  <c r="BU433" i="1"/>
  <c r="BG433" i="1" l="1"/>
  <c r="BD434" i="1" s="1"/>
  <c r="BA434" i="1"/>
  <c r="BF433" i="1"/>
  <c r="BC434" i="1" l="1"/>
  <c r="AZ434" i="1"/>
  <c r="BT434" i="1" l="1"/>
  <c r="BO434" i="1"/>
  <c r="BJ434" i="1"/>
  <c r="BF434" i="1" s="1"/>
  <c r="BC435" i="1" s="1"/>
  <c r="BU434" i="1"/>
  <c r="BP434" i="1"/>
  <c r="BK434" i="1"/>
  <c r="BG434" i="1" s="1"/>
  <c r="BD435" i="1" s="1"/>
  <c r="AZ435" i="1" l="1"/>
  <c r="BA435" i="1"/>
  <c r="BK435" i="1" l="1"/>
  <c r="BU435" i="1"/>
  <c r="BP435" i="1"/>
  <c r="BJ435" i="1"/>
  <c r="BT435" i="1"/>
  <c r="BO435" i="1"/>
  <c r="BF435" i="1" l="1"/>
  <c r="BG435" i="1"/>
  <c r="BD436" i="1" s="1"/>
  <c r="BA436" i="1" l="1"/>
  <c r="BC436" i="1"/>
  <c r="AZ436" i="1"/>
  <c r="BP436" i="1" l="1"/>
  <c r="BU436" i="1"/>
  <c r="BK436" i="1"/>
  <c r="BG436" i="1" s="1"/>
  <c r="BT436" i="1"/>
  <c r="BJ436" i="1"/>
  <c r="BO436" i="1"/>
  <c r="BA437" i="1" l="1"/>
  <c r="BD437" i="1"/>
  <c r="BF436" i="1"/>
  <c r="BC437" i="1" l="1"/>
  <c r="AZ437" i="1"/>
  <c r="BO437" i="1" l="1"/>
  <c r="BT437" i="1"/>
  <c r="BJ437" i="1"/>
  <c r="BP437" i="1"/>
  <c r="BU437" i="1"/>
  <c r="BK437" i="1"/>
  <c r="BG437" i="1" l="1"/>
  <c r="BD438" i="1" s="1"/>
  <c r="BA438" i="1"/>
  <c r="BF437" i="1"/>
  <c r="BC438" i="1" l="1"/>
  <c r="AZ438" i="1"/>
  <c r="BP438" i="1" s="1"/>
  <c r="BU438" i="1" l="1"/>
  <c r="BK438" i="1"/>
  <c r="BG438" i="1" s="1"/>
  <c r="BD439" i="1" s="1"/>
  <c r="BJ438" i="1"/>
  <c r="BT438" i="1"/>
  <c r="BO438" i="1"/>
  <c r="BF438" i="1" l="1"/>
  <c r="BA439" i="1"/>
  <c r="BC439" i="1" l="1"/>
  <c r="AZ439" i="1"/>
  <c r="BO439" i="1" l="1"/>
  <c r="BJ439" i="1"/>
  <c r="BT439" i="1"/>
  <c r="BU439" i="1"/>
  <c r="BP439" i="1"/>
  <c r="BK439" i="1"/>
  <c r="BG439" i="1" l="1"/>
  <c r="BD440" i="1" s="1"/>
  <c r="BA440" i="1"/>
  <c r="BF439" i="1"/>
  <c r="AZ440" i="1" l="1"/>
  <c r="BC440" i="1"/>
  <c r="BK440" i="1"/>
  <c r="BP440" i="1"/>
  <c r="BU440" i="1"/>
  <c r="BG440" i="1" l="1"/>
  <c r="BD441" i="1" s="1"/>
  <c r="BJ440" i="1"/>
  <c r="BO440" i="1"/>
  <c r="BT440" i="1"/>
  <c r="BF440" i="1" l="1"/>
  <c r="BA441" i="1"/>
  <c r="BC441" i="1" l="1"/>
  <c r="AZ441" i="1"/>
  <c r="BT441" i="1" l="1"/>
  <c r="BO441" i="1"/>
  <c r="BJ441" i="1"/>
  <c r="BF441" i="1" s="1"/>
  <c r="BC442" i="1" s="1"/>
  <c r="BU441" i="1"/>
  <c r="BP441" i="1"/>
  <c r="BK441" i="1"/>
  <c r="BG441" i="1" l="1"/>
  <c r="BD442" i="1" s="1"/>
  <c r="BA442" i="1"/>
  <c r="AZ442" i="1"/>
  <c r="BK442" i="1" l="1"/>
  <c r="BP442" i="1"/>
  <c r="BU442" i="1"/>
  <c r="BJ442" i="1"/>
  <c r="BO442" i="1"/>
  <c r="BT442" i="1"/>
  <c r="BF442" i="1" l="1"/>
  <c r="BG442" i="1"/>
  <c r="BD443" i="1" s="1"/>
  <c r="BA443" i="1" l="1"/>
  <c r="BC443" i="1"/>
  <c r="AZ443" i="1"/>
  <c r="BO443" i="1" l="1"/>
  <c r="BT443" i="1"/>
  <c r="BJ443" i="1"/>
  <c r="BF443" i="1" s="1"/>
  <c r="BC444" i="1" s="1"/>
  <c r="BU443" i="1"/>
  <c r="BP443" i="1"/>
  <c r="BK443" i="1"/>
  <c r="AZ444" i="1" l="1"/>
  <c r="BG443" i="1"/>
  <c r="BD444" i="1" s="1"/>
  <c r="BA444" i="1" l="1"/>
  <c r="BT444" i="1"/>
  <c r="BO444" i="1"/>
  <c r="BJ444" i="1"/>
  <c r="BF444" i="1" l="1"/>
  <c r="BC445" i="1" s="1"/>
  <c r="AZ445" i="1"/>
  <c r="BU444" i="1"/>
  <c r="BK444" i="1"/>
  <c r="BP444" i="1"/>
  <c r="BG444" i="1" l="1"/>
  <c r="BD445" i="1" s="1"/>
  <c r="BA445" i="1"/>
  <c r="BT445" i="1" s="1"/>
  <c r="BJ445" i="1"/>
  <c r="BO445" i="1"/>
  <c r="BF445" i="1" l="1"/>
  <c r="BP445" i="1"/>
  <c r="BK445" i="1"/>
  <c r="BU445" i="1"/>
  <c r="BG445" i="1" l="1"/>
  <c r="BD446" i="1" s="1"/>
  <c r="BA446" i="1"/>
  <c r="BC446" i="1"/>
  <c r="AZ446" i="1"/>
  <c r="BT446" i="1" l="1"/>
  <c r="BJ446" i="1"/>
  <c r="BO446" i="1"/>
  <c r="BK446" i="1"/>
  <c r="BU446" i="1"/>
  <c r="BP446" i="1"/>
  <c r="BG446" i="1" l="1"/>
  <c r="BD447" i="1" s="1"/>
  <c r="BF446" i="1"/>
  <c r="BC447" i="1" l="1"/>
  <c r="AZ447" i="1"/>
  <c r="BA447" i="1"/>
  <c r="BK447" i="1" l="1"/>
  <c r="BU447" i="1"/>
  <c r="BP447" i="1"/>
  <c r="BJ447" i="1"/>
  <c r="BO447" i="1"/>
  <c r="BT447" i="1"/>
  <c r="BF447" i="1" l="1"/>
  <c r="BG447" i="1"/>
  <c r="BD448" i="1" s="1"/>
  <c r="BA448" i="1" l="1"/>
  <c r="BC448" i="1"/>
  <c r="AZ448" i="1"/>
  <c r="BO448" i="1" l="1"/>
  <c r="BT448" i="1"/>
  <c r="BJ448" i="1"/>
  <c r="BF448" i="1" s="1"/>
  <c r="BC449" i="1" s="1"/>
  <c r="BK448" i="1"/>
  <c r="BU448" i="1"/>
  <c r="BP448" i="1"/>
  <c r="BG448" i="1" l="1"/>
  <c r="BD449" i="1" s="1"/>
  <c r="BA449" i="1"/>
  <c r="AZ449" i="1"/>
  <c r="BT449" i="1" l="1"/>
  <c r="BO449" i="1"/>
  <c r="BJ449" i="1"/>
  <c r="BF449" i="1" s="1"/>
  <c r="BC450" i="1" s="1"/>
  <c r="BK449" i="1"/>
  <c r="BU449" i="1"/>
  <c r="BP449" i="1"/>
  <c r="AZ450" i="1" l="1"/>
  <c r="BG449" i="1"/>
  <c r="BD450" i="1" s="1"/>
  <c r="BA450" i="1" l="1"/>
  <c r="BJ450" i="1" s="1"/>
  <c r="BO450" i="1"/>
  <c r="BU450" i="1" l="1"/>
  <c r="BP450" i="1"/>
  <c r="BK450" i="1"/>
  <c r="BG450" i="1" s="1"/>
  <c r="BT450" i="1"/>
  <c r="BF450" i="1" s="1"/>
  <c r="BA451" i="1" l="1"/>
  <c r="BD451" i="1"/>
  <c r="BC451" i="1"/>
  <c r="AZ451" i="1"/>
  <c r="BP451" i="1" s="1"/>
  <c r="BU451" i="1"/>
  <c r="BK451" i="1"/>
  <c r="BG451" i="1" l="1"/>
  <c r="BD452" i="1"/>
  <c r="BA452" i="1"/>
  <c r="BO451" i="1"/>
  <c r="BJ451" i="1"/>
  <c r="BT451" i="1"/>
  <c r="BF451" i="1" l="1"/>
  <c r="BC452" i="1" l="1"/>
  <c r="AZ452" i="1"/>
  <c r="BT452" i="1" l="1"/>
  <c r="BO452" i="1"/>
  <c r="BJ452" i="1"/>
  <c r="BF452" i="1" s="1"/>
  <c r="AZ453" i="1" s="1"/>
  <c r="BK452" i="1"/>
  <c r="BP452" i="1"/>
  <c r="BU452" i="1"/>
  <c r="BC453" i="1" l="1"/>
  <c r="BG452" i="1"/>
  <c r="BD453" i="1" s="1"/>
  <c r="BA453" i="1" l="1"/>
  <c r="BP453" i="1" l="1"/>
  <c r="BU453" i="1"/>
  <c r="BK453" i="1"/>
  <c r="BT453" i="1"/>
  <c r="BO453" i="1"/>
  <c r="BJ453" i="1"/>
  <c r="BG453" i="1" l="1"/>
  <c r="BD454" i="1" s="1"/>
  <c r="BF453" i="1"/>
  <c r="AZ454" i="1"/>
  <c r="BC454" i="1"/>
  <c r="BA454" i="1"/>
  <c r="BU454" i="1" l="1"/>
  <c r="BK454" i="1"/>
  <c r="BP454" i="1"/>
  <c r="BT454" i="1"/>
  <c r="BO454" i="1"/>
  <c r="BJ454" i="1"/>
  <c r="BF454" i="1" l="1"/>
  <c r="BG454" i="1"/>
  <c r="BD455" i="1" s="1"/>
  <c r="BA455" i="1" l="1"/>
  <c r="BC455" i="1"/>
  <c r="AZ455" i="1"/>
  <c r="BK455" i="1" l="1"/>
  <c r="BU455" i="1"/>
  <c r="BP455" i="1"/>
  <c r="BT455" i="1"/>
  <c r="BO455" i="1"/>
  <c r="BJ455" i="1"/>
  <c r="BF455" i="1" s="1"/>
  <c r="BC456" i="1" s="1"/>
  <c r="AZ456" i="1" l="1"/>
  <c r="BG455" i="1"/>
  <c r="BD456" i="1" s="1"/>
  <c r="BA456" i="1" l="1"/>
  <c r="BT456" i="1"/>
  <c r="BO456" i="1"/>
  <c r="BJ456" i="1"/>
  <c r="BF456" i="1" l="1"/>
  <c r="BK456" i="1"/>
  <c r="BP456" i="1"/>
  <c r="BU456" i="1"/>
  <c r="BG456" i="1" l="1"/>
  <c r="BD457" i="1" s="1"/>
  <c r="BC457" i="1"/>
  <c r="AZ457" i="1"/>
  <c r="BA457" i="1" l="1"/>
  <c r="BU457" i="1" l="1"/>
  <c r="BK457" i="1"/>
  <c r="BP457" i="1"/>
  <c r="BJ457" i="1"/>
  <c r="BO457" i="1"/>
  <c r="BT457" i="1"/>
  <c r="BF457" i="1" l="1"/>
  <c r="BG457" i="1"/>
  <c r="BD458" i="1" s="1"/>
  <c r="BA458" i="1" l="1"/>
  <c r="AZ458" i="1"/>
  <c r="BC458" i="1"/>
  <c r="BO458" i="1" l="1"/>
  <c r="BJ458" i="1"/>
  <c r="BT458" i="1"/>
  <c r="BP458" i="1"/>
  <c r="BK458" i="1"/>
  <c r="BU458" i="1"/>
  <c r="BG458" i="1" l="1"/>
  <c r="BD459" i="1" s="1"/>
  <c r="BF458" i="1"/>
  <c r="AZ459" i="1" s="1"/>
  <c r="BA459" i="1"/>
  <c r="BC459" i="1"/>
  <c r="BP459" i="1" l="1"/>
  <c r="BU459" i="1"/>
  <c r="BK459" i="1"/>
  <c r="BO459" i="1"/>
  <c r="BT459" i="1"/>
  <c r="BJ459" i="1"/>
  <c r="BF459" i="1" s="1"/>
  <c r="AZ460" i="1" s="1"/>
  <c r="BG459" i="1" l="1"/>
  <c r="BD460" i="1" s="1"/>
  <c r="BC460" i="1"/>
  <c r="BA460" i="1"/>
  <c r="BU460" i="1" l="1"/>
  <c r="BK460" i="1"/>
  <c r="BP460" i="1"/>
  <c r="BT460" i="1"/>
  <c r="BJ460" i="1"/>
  <c r="BF460" i="1" s="1"/>
  <c r="BO460" i="1"/>
  <c r="BG460" i="1" l="1"/>
  <c r="BD461" i="1" s="1"/>
  <c r="BC461" i="1"/>
  <c r="AZ461" i="1"/>
  <c r="BA461" i="1"/>
  <c r="BU461" i="1" l="1"/>
  <c r="BK461" i="1"/>
  <c r="BG461" i="1" s="1"/>
  <c r="BD462" i="1" s="1"/>
  <c r="BP461" i="1"/>
  <c r="BO461" i="1"/>
  <c r="BJ461" i="1"/>
  <c r="BT461" i="1"/>
  <c r="BF461" i="1" l="1"/>
  <c r="BA462" i="1"/>
  <c r="BC462" i="1" l="1"/>
  <c r="AZ462" i="1"/>
  <c r="BO462" i="1" l="1"/>
  <c r="BJ462" i="1"/>
  <c r="BT462" i="1"/>
  <c r="BP462" i="1"/>
  <c r="BU462" i="1"/>
  <c r="BK462" i="1"/>
  <c r="BF462" i="1" l="1"/>
  <c r="BG462" i="1"/>
  <c r="BD463" i="1" s="1"/>
  <c r="BC463" i="1" l="1"/>
  <c r="AZ463" i="1"/>
  <c r="BA463" i="1"/>
  <c r="BU463" i="1" l="1"/>
  <c r="BK463" i="1"/>
  <c r="BP463" i="1"/>
  <c r="BO463" i="1"/>
  <c r="BJ463" i="1"/>
  <c r="BT463" i="1"/>
  <c r="BF463" i="1" l="1"/>
  <c r="BG463" i="1"/>
  <c r="BD464" i="1" s="1"/>
  <c r="BA464" i="1" l="1"/>
  <c r="BC464" i="1"/>
  <c r="AZ464" i="1"/>
  <c r="BK464" i="1" l="1"/>
  <c r="BJ464" i="1"/>
  <c r="BO464" i="1"/>
  <c r="BT464" i="1"/>
  <c r="BP464" i="1"/>
  <c r="BG464" i="1" s="1"/>
  <c r="BD465" i="1" s="1"/>
  <c r="BU464" i="1"/>
  <c r="BA465" i="1" l="1"/>
  <c r="BF464" i="1"/>
  <c r="BC465" i="1" l="1"/>
  <c r="AZ465" i="1"/>
  <c r="BP465" i="1" s="1"/>
  <c r="BK465" i="1"/>
  <c r="BU465" i="1" l="1"/>
  <c r="BG465" i="1" s="1"/>
  <c r="BD466" i="1" s="1"/>
  <c r="BJ465" i="1"/>
  <c r="BT465" i="1"/>
  <c r="BO465" i="1"/>
  <c r="BA466" i="1" l="1"/>
  <c r="BF465" i="1"/>
  <c r="AZ466" i="1" l="1"/>
  <c r="BU466" i="1" s="1"/>
  <c r="BC466" i="1"/>
  <c r="BJ466" i="1" l="1"/>
  <c r="BO466" i="1"/>
  <c r="BT466" i="1"/>
  <c r="BP466" i="1"/>
  <c r="BK466" i="1"/>
  <c r="BG466" i="1" l="1"/>
  <c r="BD467" i="1" s="1"/>
  <c r="BF466" i="1"/>
  <c r="BC467" i="1" l="1"/>
  <c r="AZ467" i="1"/>
  <c r="BA467" i="1"/>
  <c r="BU467" i="1" l="1"/>
  <c r="BP467" i="1"/>
  <c r="BK467" i="1"/>
  <c r="BG467" i="1" s="1"/>
  <c r="BJ467" i="1"/>
  <c r="BT467" i="1"/>
  <c r="BO467" i="1"/>
  <c r="BA468" i="1" l="1"/>
  <c r="BD468" i="1"/>
  <c r="BF467" i="1"/>
  <c r="BC468" i="1" l="1"/>
  <c r="AZ468" i="1"/>
  <c r="BT468" i="1" l="1"/>
  <c r="BO468" i="1"/>
  <c r="BJ468" i="1"/>
  <c r="BF468" i="1" s="1"/>
  <c r="BC469" i="1" s="1"/>
  <c r="BK468" i="1"/>
  <c r="BU468" i="1"/>
  <c r="BP468" i="1"/>
  <c r="BG468" i="1" l="1"/>
  <c r="BD469" i="1" s="1"/>
  <c r="AZ469" i="1"/>
  <c r="BA469" i="1" l="1"/>
  <c r="BO469" i="1" s="1"/>
  <c r="BU469" i="1" l="1"/>
  <c r="BK469" i="1"/>
  <c r="BP469" i="1"/>
  <c r="BJ469" i="1"/>
  <c r="BT469" i="1"/>
  <c r="BF469" i="1" l="1"/>
  <c r="BG469" i="1"/>
  <c r="BD470" i="1" s="1"/>
  <c r="BC470" i="1"/>
  <c r="AZ470" i="1"/>
  <c r="BA470" i="1"/>
  <c r="BP470" i="1" l="1"/>
  <c r="BK470" i="1"/>
  <c r="BU470" i="1"/>
  <c r="BT470" i="1"/>
  <c r="BO470" i="1"/>
  <c r="BJ470" i="1"/>
  <c r="BF470" i="1" l="1"/>
  <c r="BG470" i="1"/>
  <c r="BD471" i="1" s="1"/>
  <c r="BA471" i="1" l="1"/>
  <c r="BC471" i="1"/>
  <c r="AZ471" i="1"/>
  <c r="BK471" i="1" l="1"/>
  <c r="BU471" i="1"/>
  <c r="BP471" i="1"/>
  <c r="BO471" i="1"/>
  <c r="BT471" i="1"/>
  <c r="BJ471" i="1"/>
  <c r="BF471" i="1" l="1"/>
  <c r="BG471" i="1"/>
  <c r="BD472" i="1" s="1"/>
  <c r="BA472" i="1" l="1"/>
  <c r="BC472" i="1"/>
  <c r="AZ472" i="1"/>
  <c r="BO472" i="1" l="1"/>
  <c r="BT472" i="1"/>
  <c r="BJ472" i="1"/>
  <c r="BF472" i="1" s="1"/>
  <c r="BC473" i="1" s="1"/>
  <c r="BP472" i="1"/>
  <c r="BK472" i="1"/>
  <c r="BU472" i="1"/>
  <c r="BG472" i="1" l="1"/>
  <c r="BD473" i="1" s="1"/>
  <c r="AZ473" i="1"/>
  <c r="BA473" i="1" l="1"/>
  <c r="BK473" i="1" l="1"/>
  <c r="BP473" i="1"/>
  <c r="BU473" i="1"/>
  <c r="BO473" i="1"/>
  <c r="BT473" i="1"/>
  <c r="BJ473" i="1"/>
  <c r="BF473" i="1" l="1"/>
  <c r="BG473" i="1"/>
  <c r="BD474" i="1" s="1"/>
  <c r="BA474" i="1" l="1"/>
  <c r="BC474" i="1"/>
  <c r="AZ474" i="1"/>
  <c r="BK474" i="1" l="1"/>
  <c r="BT474" i="1"/>
  <c r="BO474" i="1"/>
  <c r="BJ474" i="1"/>
  <c r="BU474" i="1"/>
  <c r="BP474" i="1"/>
  <c r="BF474" i="1" l="1"/>
  <c r="BG474" i="1"/>
  <c r="BD475" i="1" s="1"/>
  <c r="BA475" i="1" l="1"/>
  <c r="BC475" i="1"/>
  <c r="AZ475" i="1"/>
  <c r="BT475" i="1" l="1"/>
  <c r="BJ475" i="1"/>
  <c r="BO475" i="1"/>
  <c r="BP475" i="1"/>
  <c r="BK475" i="1"/>
  <c r="BU475" i="1"/>
  <c r="BG475" i="1" l="1"/>
  <c r="BD476" i="1" s="1"/>
  <c r="BA476" i="1"/>
  <c r="BF475" i="1"/>
  <c r="AZ476" i="1" l="1"/>
  <c r="BC476" i="1"/>
  <c r="BP476" i="1"/>
  <c r="BU476" i="1"/>
  <c r="BK476" i="1"/>
  <c r="BG476" i="1" s="1"/>
  <c r="BD477" i="1" s="1"/>
  <c r="BA477" i="1" l="1"/>
  <c r="BT476" i="1"/>
  <c r="BJ476" i="1"/>
  <c r="BO476" i="1"/>
  <c r="BF476" i="1" l="1"/>
  <c r="BC477" i="1" l="1"/>
  <c r="AZ477" i="1"/>
  <c r="BJ477" i="1" l="1"/>
  <c r="BO477" i="1"/>
  <c r="BT477" i="1"/>
  <c r="BP477" i="1"/>
  <c r="BK477" i="1"/>
  <c r="BU477" i="1"/>
  <c r="BG477" i="1" l="1"/>
  <c r="BD478" i="1" s="1"/>
  <c r="BF477" i="1"/>
  <c r="AZ478" i="1" l="1"/>
  <c r="BC478" i="1"/>
  <c r="BA478" i="1"/>
  <c r="BU478" i="1" l="1"/>
  <c r="BP478" i="1"/>
  <c r="BK478" i="1"/>
  <c r="BJ478" i="1"/>
  <c r="BO478" i="1"/>
  <c r="BT478" i="1"/>
  <c r="BG478" i="1" l="1"/>
  <c r="BD479" i="1" s="1"/>
  <c r="BF478" i="1"/>
  <c r="BA479" i="1"/>
  <c r="BC479" i="1" l="1"/>
  <c r="AZ479" i="1"/>
  <c r="BU479" i="1" l="1"/>
  <c r="BO479" i="1"/>
  <c r="BJ479" i="1"/>
  <c r="BF479" i="1" s="1"/>
  <c r="BC480" i="1" s="1"/>
  <c r="BT479" i="1"/>
  <c r="BK479" i="1"/>
  <c r="BP479" i="1"/>
  <c r="AZ480" i="1" l="1"/>
  <c r="BG479" i="1"/>
  <c r="BD480" i="1" s="1"/>
  <c r="BA480" i="1" l="1"/>
  <c r="BO480" i="1"/>
  <c r="BT480" i="1"/>
  <c r="BU480" i="1" l="1"/>
  <c r="BK480" i="1"/>
  <c r="BP480" i="1"/>
  <c r="BJ480" i="1"/>
  <c r="BF480" i="1" s="1"/>
  <c r="BC481" i="1" l="1"/>
  <c r="AZ481" i="1"/>
  <c r="BG480" i="1"/>
  <c r="BD481" i="1" s="1"/>
  <c r="BA481" i="1" l="1"/>
  <c r="BK481" i="1" l="1"/>
  <c r="BU481" i="1"/>
  <c r="BP481" i="1"/>
  <c r="BT481" i="1"/>
  <c r="BO481" i="1"/>
  <c r="BJ481" i="1"/>
  <c r="BF481" i="1" s="1"/>
  <c r="BG481" i="1" l="1"/>
  <c r="BC482" i="1"/>
  <c r="AZ482" i="1"/>
  <c r="BA482" i="1" l="1"/>
  <c r="BD482" i="1"/>
  <c r="BT482" i="1"/>
  <c r="BJ482" i="1"/>
  <c r="BO482" i="1"/>
  <c r="BU482" i="1"/>
  <c r="BP482" i="1"/>
  <c r="BK482" i="1"/>
  <c r="BF482" i="1" l="1"/>
  <c r="BG482" i="1"/>
  <c r="BD483" i="1" s="1"/>
  <c r="BA483" i="1" l="1"/>
  <c r="BC483" i="1"/>
  <c r="AZ483" i="1"/>
  <c r="BJ483" i="1" l="1"/>
  <c r="BO483" i="1"/>
  <c r="BT483" i="1"/>
  <c r="BK483" i="1"/>
  <c r="BP483" i="1"/>
  <c r="BU483" i="1"/>
  <c r="BG483" i="1" l="1"/>
  <c r="BD484" i="1" s="1"/>
  <c r="BF483" i="1"/>
  <c r="BA484" i="1"/>
  <c r="BC484" i="1" l="1"/>
  <c r="AZ484" i="1"/>
  <c r="BK484" i="1" s="1"/>
  <c r="BU484" i="1"/>
  <c r="BP484" i="1"/>
  <c r="BG484" i="1" l="1"/>
  <c r="BD485" i="1" s="1"/>
  <c r="BJ484" i="1"/>
  <c r="BT484" i="1"/>
  <c r="BO484" i="1"/>
  <c r="BF484" i="1" l="1"/>
  <c r="BA485" i="1"/>
  <c r="BC485" i="1" l="1"/>
  <c r="AZ485" i="1"/>
  <c r="BU485" i="1" l="1"/>
  <c r="BJ485" i="1"/>
  <c r="BT485" i="1"/>
  <c r="BO485" i="1"/>
  <c r="BK485" i="1"/>
  <c r="BP485" i="1"/>
  <c r="BG485" i="1" l="1"/>
  <c r="BD486" i="1" s="1"/>
  <c r="BF485" i="1"/>
  <c r="BA486" i="1"/>
  <c r="BC486" i="1" l="1"/>
  <c r="AZ486" i="1"/>
  <c r="BP486" i="1" l="1"/>
  <c r="BO486" i="1"/>
  <c r="BT486" i="1"/>
  <c r="BJ486" i="1"/>
  <c r="BK486" i="1"/>
  <c r="BU486" i="1"/>
  <c r="BG486" i="1" s="1"/>
  <c r="BD487" i="1" s="1"/>
  <c r="BF486" i="1" l="1"/>
  <c r="BC487" i="1" s="1"/>
  <c r="BA487" i="1"/>
  <c r="AZ487" i="1"/>
  <c r="BT487" i="1" l="1"/>
  <c r="BO487" i="1"/>
  <c r="BJ487" i="1"/>
  <c r="BK487" i="1"/>
  <c r="BP487" i="1"/>
  <c r="BU487" i="1"/>
  <c r="BG487" i="1" l="1"/>
  <c r="BD488" i="1" s="1"/>
  <c r="BF487" i="1"/>
  <c r="BC488" i="1" s="1"/>
  <c r="BA488" i="1"/>
  <c r="AZ488" i="1"/>
  <c r="BO488" i="1" l="1"/>
  <c r="BT488" i="1"/>
  <c r="BJ488" i="1"/>
  <c r="BF488" i="1" s="1"/>
  <c r="BC489" i="1" s="1"/>
  <c r="BK488" i="1"/>
  <c r="BP488" i="1"/>
  <c r="BU488" i="1"/>
  <c r="AZ489" i="1" l="1"/>
  <c r="BG488" i="1"/>
  <c r="BD489" i="1" s="1"/>
  <c r="BA489" i="1" l="1"/>
  <c r="BO489" i="1"/>
  <c r="BU489" i="1" l="1"/>
  <c r="BP489" i="1"/>
  <c r="BK489" i="1"/>
  <c r="BG489" i="1" s="1"/>
  <c r="BJ489" i="1"/>
  <c r="BT489" i="1"/>
  <c r="BF489" i="1" l="1"/>
  <c r="BA490" i="1"/>
  <c r="BD490" i="1"/>
  <c r="BC490" i="1"/>
  <c r="AZ490" i="1"/>
  <c r="BK490" i="1" s="1"/>
  <c r="BT490" i="1" l="1"/>
  <c r="BJ490" i="1"/>
  <c r="BO490" i="1"/>
  <c r="BP490" i="1"/>
  <c r="BU490" i="1"/>
  <c r="BG490" i="1" l="1"/>
  <c r="BD491" i="1" s="1"/>
  <c r="BA491" i="1"/>
  <c r="BF490" i="1"/>
  <c r="BC491" i="1" l="1"/>
  <c r="AZ491" i="1"/>
  <c r="BP491" i="1" s="1"/>
  <c r="BK491" i="1"/>
  <c r="BU491" i="1"/>
  <c r="BG491" i="1" l="1"/>
  <c r="BD492" i="1" s="1"/>
  <c r="BJ491" i="1"/>
  <c r="BO491" i="1"/>
  <c r="BT491" i="1"/>
  <c r="BF491" i="1" s="1"/>
  <c r="BC492" i="1" s="1"/>
  <c r="AZ492" i="1" l="1"/>
  <c r="BA492" i="1"/>
  <c r="BT492" i="1" s="1"/>
  <c r="BP492" i="1" l="1"/>
  <c r="BK492" i="1"/>
  <c r="BU492" i="1"/>
  <c r="BO492" i="1"/>
  <c r="BJ492" i="1"/>
  <c r="BG492" i="1" l="1"/>
  <c r="BD493" i="1" s="1"/>
  <c r="BF492" i="1"/>
  <c r="BC493" i="1" l="1"/>
  <c r="AZ493" i="1"/>
  <c r="BA493" i="1"/>
  <c r="BP493" i="1" l="1"/>
  <c r="BU493" i="1"/>
  <c r="BK493" i="1"/>
  <c r="BJ493" i="1"/>
  <c r="BO493" i="1"/>
  <c r="BT493" i="1"/>
  <c r="BG493" i="1" l="1"/>
  <c r="BD494" i="1" s="1"/>
  <c r="BF493" i="1"/>
  <c r="BC494" i="1" s="1"/>
  <c r="BA494" i="1"/>
  <c r="AZ494" i="1"/>
  <c r="BJ494" i="1" l="1"/>
  <c r="BT494" i="1"/>
  <c r="BO494" i="1"/>
  <c r="BP494" i="1"/>
  <c r="BU494" i="1"/>
  <c r="BK494" i="1"/>
  <c r="BG494" i="1" l="1"/>
  <c r="BD495" i="1" s="1"/>
  <c r="BF494" i="1"/>
  <c r="BC495" i="1" l="1"/>
  <c r="AZ495" i="1"/>
  <c r="BA495" i="1"/>
  <c r="BK495" i="1" l="1"/>
  <c r="BU495" i="1"/>
  <c r="BP495" i="1"/>
  <c r="BO495" i="1"/>
  <c r="BJ495" i="1"/>
  <c r="BF495" i="1" s="1"/>
  <c r="BC496" i="1" s="1"/>
  <c r="BT495" i="1"/>
  <c r="BG495" i="1" l="1"/>
  <c r="BD496" i="1" s="1"/>
  <c r="AZ496" i="1"/>
  <c r="BA496" i="1" l="1"/>
  <c r="BP496" i="1" l="1"/>
  <c r="BU496" i="1"/>
  <c r="BK496" i="1"/>
  <c r="BJ496" i="1"/>
  <c r="BT496" i="1"/>
  <c r="BO496" i="1"/>
  <c r="BG496" i="1" l="1"/>
  <c r="BD497" i="1" s="1"/>
  <c r="BF496" i="1"/>
  <c r="BC497" i="1" l="1"/>
  <c r="AZ497" i="1"/>
  <c r="BA497" i="1"/>
  <c r="BU497" i="1" l="1"/>
  <c r="BP497" i="1"/>
  <c r="BK497" i="1"/>
  <c r="BT497" i="1"/>
  <c r="BO497" i="1"/>
  <c r="BJ497" i="1"/>
  <c r="BF497" i="1" s="1"/>
  <c r="BC498" i="1" s="1"/>
  <c r="BG497" i="1" l="1"/>
  <c r="BD498" i="1" s="1"/>
  <c r="AZ498" i="1"/>
  <c r="BA498" i="1" l="1"/>
  <c r="BK498" i="1" l="1"/>
  <c r="BU498" i="1"/>
  <c r="BP498" i="1"/>
  <c r="BT498" i="1"/>
  <c r="BO498" i="1"/>
  <c r="BJ498" i="1"/>
  <c r="BF498" i="1" l="1"/>
  <c r="BC499" i="1"/>
  <c r="AZ499" i="1"/>
  <c r="BG498" i="1"/>
  <c r="BD499" i="1" s="1"/>
  <c r="BA499" i="1" l="1"/>
  <c r="BT499" i="1" s="1"/>
  <c r="BJ499" i="1"/>
  <c r="BO499" i="1"/>
  <c r="BF499" i="1" l="1"/>
  <c r="BK499" i="1"/>
  <c r="BP499" i="1"/>
  <c r="BU499" i="1"/>
  <c r="BG499" i="1" l="1"/>
  <c r="BD500" i="1" s="1"/>
  <c r="BA500" i="1"/>
  <c r="BC500" i="1"/>
  <c r="AZ500" i="1"/>
  <c r="BT500" i="1" l="1"/>
  <c r="BJ500" i="1"/>
  <c r="BO500" i="1"/>
  <c r="BU500" i="1"/>
  <c r="BP500" i="1"/>
  <c r="BK500" i="1"/>
  <c r="BG500" i="1" l="1"/>
  <c r="BD501" i="1" s="1"/>
  <c r="BF500" i="1"/>
  <c r="BC501" i="1" l="1"/>
  <c r="AZ501" i="1"/>
  <c r="BA501" i="1"/>
  <c r="BK501" i="1" l="1"/>
  <c r="BP501" i="1"/>
  <c r="BU501" i="1"/>
  <c r="BT501" i="1"/>
  <c r="BJ501" i="1"/>
  <c r="BO501" i="1"/>
  <c r="BF501" i="1" l="1"/>
  <c r="BG501" i="1"/>
  <c r="BD502" i="1" s="1"/>
  <c r="BA502" i="1" l="1"/>
  <c r="BC502" i="1"/>
  <c r="AZ502" i="1"/>
  <c r="BU502" i="1" l="1"/>
  <c r="BP502" i="1"/>
  <c r="BK502" i="1"/>
  <c r="BG502" i="1" s="1"/>
  <c r="BO502" i="1"/>
  <c r="BT502" i="1"/>
  <c r="BJ502" i="1"/>
  <c r="BA503" i="1" l="1"/>
  <c r="BD503" i="1"/>
  <c r="BF502" i="1"/>
  <c r="BC503" i="1" l="1"/>
  <c r="AZ503" i="1"/>
  <c r="BT503" i="1" l="1"/>
  <c r="BO503" i="1"/>
  <c r="BJ503" i="1"/>
  <c r="BF503" i="1" s="1"/>
  <c r="AZ504" i="1" s="1"/>
  <c r="BK503" i="1"/>
  <c r="BP503" i="1"/>
  <c r="BU503" i="1"/>
  <c r="BC504" i="1"/>
  <c r="BG503" i="1" l="1"/>
  <c r="BD504" i="1" s="1"/>
  <c r="BA504" i="1"/>
  <c r="BU504" i="1" l="1"/>
  <c r="BK504" i="1"/>
  <c r="BP504" i="1"/>
  <c r="BO504" i="1"/>
  <c r="BJ504" i="1"/>
  <c r="BT504" i="1"/>
  <c r="BG504" i="1" l="1"/>
  <c r="BF504" i="1"/>
  <c r="BA505" i="1" l="1"/>
  <c r="BD505" i="1"/>
  <c r="BC505" i="1"/>
  <c r="AZ505" i="1"/>
  <c r="BJ505" i="1" l="1"/>
  <c r="BT505" i="1"/>
  <c r="BO505" i="1"/>
  <c r="BU505" i="1"/>
  <c r="BP505" i="1"/>
  <c r="BK505" i="1"/>
  <c r="BG505" i="1" s="1"/>
  <c r="BD506" i="1" s="1"/>
  <c r="BA506" i="1" l="1"/>
  <c r="BF505" i="1"/>
  <c r="BC506" i="1" l="1"/>
  <c r="AZ506" i="1"/>
  <c r="BP506" i="1" s="1"/>
  <c r="BU506" i="1" l="1"/>
  <c r="BO506" i="1"/>
  <c r="BT506" i="1"/>
  <c r="BJ506" i="1"/>
  <c r="BK506" i="1"/>
  <c r="BG506" i="1" s="1"/>
  <c r="BD507" i="1" s="1"/>
  <c r="BF506" i="1" l="1"/>
  <c r="BC507" i="1" s="1"/>
  <c r="AZ507" i="1"/>
  <c r="BA507" i="1"/>
  <c r="BP507" i="1" l="1"/>
  <c r="BU507" i="1"/>
  <c r="BK507" i="1"/>
  <c r="BG507" i="1" s="1"/>
  <c r="BO507" i="1"/>
  <c r="BJ507" i="1"/>
  <c r="BT507" i="1"/>
  <c r="BA508" i="1" l="1"/>
  <c r="BD508" i="1"/>
  <c r="BF507" i="1"/>
  <c r="BC508" i="1" s="1"/>
  <c r="AZ508" i="1" l="1"/>
  <c r="BT508" i="1"/>
  <c r="BJ508" i="1"/>
  <c r="BO508" i="1"/>
  <c r="BK508" i="1"/>
  <c r="BP508" i="1"/>
  <c r="BU508" i="1"/>
  <c r="BG508" i="1" l="1"/>
  <c r="BF508" i="1"/>
  <c r="BA509" i="1" l="1"/>
  <c r="BD509" i="1"/>
  <c r="BC509" i="1"/>
  <c r="AZ509" i="1"/>
  <c r="BT509" i="1" l="1"/>
  <c r="BJ509" i="1"/>
  <c r="BO509" i="1"/>
  <c r="BP509" i="1"/>
  <c r="BK509" i="1"/>
  <c r="BU509" i="1"/>
  <c r="BG509" i="1" l="1"/>
  <c r="BD510" i="1" s="1"/>
  <c r="BF509" i="1"/>
  <c r="BC510" i="1" l="1"/>
  <c r="AZ510" i="1"/>
  <c r="BA510" i="1"/>
  <c r="BU510" i="1" l="1"/>
  <c r="BP510" i="1"/>
  <c r="BK510" i="1"/>
  <c r="BJ510" i="1"/>
  <c r="BO510" i="1"/>
  <c r="BT510" i="1"/>
  <c r="BG510" i="1" l="1"/>
  <c r="BD511" i="1" s="1"/>
  <c r="BF510" i="1"/>
  <c r="BA511" i="1"/>
  <c r="BC511" i="1" l="1"/>
  <c r="AZ511" i="1"/>
  <c r="BP511" i="1" s="1"/>
  <c r="BU511" i="1" l="1"/>
  <c r="BT511" i="1"/>
  <c r="BO511" i="1"/>
  <c r="BJ511" i="1"/>
  <c r="BK511" i="1"/>
  <c r="BG511" i="1" s="1"/>
  <c r="BD512" i="1" s="1"/>
  <c r="BF511" i="1" l="1"/>
  <c r="BC512" i="1" s="1"/>
  <c r="AZ512" i="1"/>
  <c r="BA512" i="1"/>
  <c r="BJ512" i="1" l="1"/>
  <c r="BP512" i="1"/>
  <c r="BU512" i="1"/>
  <c r="BK512" i="1"/>
  <c r="BO512" i="1"/>
  <c r="BT512" i="1"/>
  <c r="BF512" i="1" l="1"/>
  <c r="BC513" i="1"/>
  <c r="AZ513" i="1"/>
  <c r="BG512" i="1"/>
  <c r="BD513" i="1" s="1"/>
  <c r="BA513" i="1" l="1"/>
  <c r="BJ513" i="1" s="1"/>
  <c r="BK513" i="1" l="1"/>
  <c r="BP513" i="1"/>
  <c r="BU513" i="1"/>
  <c r="BT513" i="1"/>
  <c r="BO513" i="1"/>
  <c r="BF513" i="1" s="1"/>
  <c r="BC514" i="1" l="1"/>
  <c r="AZ514" i="1"/>
  <c r="BG513" i="1"/>
  <c r="BD514" i="1" s="1"/>
  <c r="BA514" i="1" l="1"/>
  <c r="BU514" i="1" l="1"/>
  <c r="BP514" i="1"/>
  <c r="BK514" i="1"/>
  <c r="BT514" i="1"/>
  <c r="BO514" i="1"/>
  <c r="BJ514" i="1"/>
  <c r="BF514" i="1" l="1"/>
  <c r="BG514" i="1"/>
  <c r="BD515" i="1" s="1"/>
  <c r="BA515" i="1" l="1"/>
  <c r="BC515" i="1"/>
  <c r="AZ515" i="1"/>
  <c r="BU515" i="1" l="1"/>
  <c r="BK515" i="1"/>
  <c r="BG515" i="1" s="1"/>
  <c r="BP515" i="1"/>
  <c r="BO515" i="1"/>
  <c r="BJ515" i="1"/>
  <c r="BT515" i="1"/>
  <c r="BA516" i="1" l="1"/>
  <c r="BD516" i="1"/>
  <c r="BF515" i="1"/>
  <c r="BC516" i="1" l="1"/>
  <c r="AZ516" i="1"/>
  <c r="BK516" i="1" l="1"/>
  <c r="BO516" i="1"/>
  <c r="BJ516" i="1"/>
  <c r="BT516" i="1"/>
  <c r="BU516" i="1"/>
  <c r="BP516" i="1"/>
  <c r="BF516" i="1" l="1"/>
  <c r="BC517" i="1" s="1"/>
  <c r="BG516" i="1"/>
  <c r="BD517" i="1" s="1"/>
  <c r="AZ517" i="1"/>
  <c r="BO517" i="1" s="1"/>
  <c r="BA517" i="1"/>
  <c r="BT517" i="1" l="1"/>
  <c r="BK517" i="1"/>
  <c r="BP517" i="1"/>
  <c r="BJ517" i="1"/>
  <c r="BF517" i="1" s="1"/>
  <c r="BU517" i="1"/>
  <c r="BC518" i="1" l="1"/>
  <c r="AZ518" i="1"/>
  <c r="BG517" i="1"/>
  <c r="BD518" i="1" s="1"/>
  <c r="BA518" i="1" l="1"/>
  <c r="BJ518" i="1" s="1"/>
  <c r="BO518" i="1"/>
  <c r="BT518" i="1"/>
  <c r="BF518" i="1" l="1"/>
  <c r="BU518" i="1"/>
  <c r="BP518" i="1"/>
  <c r="BK518" i="1"/>
  <c r="BG518" i="1" l="1"/>
  <c r="BD519" i="1" s="1"/>
  <c r="BC519" i="1"/>
  <c r="AZ519" i="1"/>
  <c r="BA519" i="1" l="1"/>
  <c r="BP519" i="1" l="1"/>
  <c r="BK519" i="1"/>
  <c r="BU519" i="1"/>
  <c r="BJ519" i="1"/>
  <c r="BO519" i="1"/>
  <c r="BT519" i="1"/>
  <c r="BG519" i="1" l="1"/>
  <c r="BF519" i="1"/>
  <c r="BA520" i="1" l="1"/>
  <c r="BD520" i="1"/>
  <c r="BC520" i="1"/>
  <c r="AZ520" i="1"/>
  <c r="BO520" i="1" l="1"/>
  <c r="BJ520" i="1"/>
  <c r="BT520" i="1"/>
  <c r="BP520" i="1"/>
  <c r="BU520" i="1"/>
  <c r="BK520" i="1"/>
  <c r="BG520" i="1" s="1"/>
  <c r="BD521" i="1" s="1"/>
  <c r="BA521" i="1" l="1"/>
  <c r="BF520" i="1"/>
  <c r="BC521" i="1" l="1"/>
  <c r="AZ521" i="1"/>
  <c r="BT521" i="1" l="1"/>
  <c r="BJ521" i="1"/>
  <c r="BO521" i="1"/>
  <c r="BP521" i="1"/>
  <c r="BK521" i="1"/>
  <c r="BU521" i="1"/>
  <c r="BG521" i="1" l="1"/>
  <c r="BD522" i="1" s="1"/>
  <c r="BA522" i="1"/>
  <c r="BF521" i="1"/>
  <c r="BC522" i="1" l="1"/>
  <c r="AZ522" i="1"/>
  <c r="BP522" i="1" s="1"/>
  <c r="BK522" i="1" l="1"/>
  <c r="BO522" i="1"/>
  <c r="BT522" i="1"/>
  <c r="BJ522" i="1"/>
  <c r="BF522" i="1" s="1"/>
  <c r="BC523" i="1" s="1"/>
  <c r="BU522" i="1"/>
  <c r="BG522" i="1" s="1"/>
  <c r="BD523" i="1" s="1"/>
  <c r="BA523" i="1" l="1"/>
  <c r="AZ523" i="1"/>
  <c r="BP523" i="1" l="1"/>
  <c r="BK523" i="1"/>
  <c r="BU523" i="1"/>
  <c r="BT523" i="1"/>
  <c r="BJ523" i="1"/>
  <c r="BO523" i="1"/>
  <c r="BF523" i="1" l="1"/>
  <c r="BC524" i="1" s="1"/>
  <c r="BG523" i="1"/>
  <c r="AZ524" i="1"/>
  <c r="BA524" i="1" l="1"/>
  <c r="BP524" i="1" s="1"/>
  <c r="BD524" i="1"/>
  <c r="BT524" i="1"/>
  <c r="BO524" i="1"/>
  <c r="BJ524" i="1"/>
  <c r="BF524" i="1" s="1"/>
  <c r="BC525" i="1" s="1"/>
  <c r="BK524" i="1"/>
  <c r="BU524" i="1"/>
  <c r="AZ525" i="1" l="1"/>
  <c r="BG524" i="1"/>
  <c r="BD525" i="1" s="1"/>
  <c r="BA525" i="1" l="1"/>
  <c r="BK525" i="1" l="1"/>
  <c r="BU525" i="1"/>
  <c r="BP525" i="1"/>
  <c r="BT525" i="1"/>
  <c r="BO525" i="1"/>
  <c r="BJ525" i="1"/>
  <c r="BF525" i="1" l="1"/>
  <c r="BC526" i="1"/>
  <c r="AZ526" i="1"/>
  <c r="BG525" i="1"/>
  <c r="BD526" i="1" s="1"/>
  <c r="BA526" i="1" l="1"/>
  <c r="BO526" i="1" s="1"/>
  <c r="BJ526" i="1" l="1"/>
  <c r="BP526" i="1"/>
  <c r="BK526" i="1"/>
  <c r="BT526" i="1"/>
  <c r="BF526" i="1" s="1"/>
  <c r="BU526" i="1"/>
  <c r="BC527" i="1" l="1"/>
  <c r="AZ527" i="1"/>
  <c r="BG526" i="1"/>
  <c r="BD527" i="1" s="1"/>
  <c r="BA527" i="1" l="1"/>
  <c r="BJ527" i="1"/>
  <c r="BO527" i="1"/>
  <c r="BT527" i="1"/>
  <c r="BF527" i="1" l="1"/>
  <c r="BK527" i="1"/>
  <c r="BU527" i="1"/>
  <c r="BP527" i="1"/>
  <c r="BG527" i="1" l="1"/>
  <c r="BD528" i="1" s="1"/>
  <c r="BA528" i="1"/>
  <c r="BC528" i="1"/>
  <c r="AZ528" i="1"/>
  <c r="BJ528" i="1" l="1"/>
  <c r="BT528" i="1"/>
  <c r="BO528" i="1"/>
  <c r="BK528" i="1"/>
  <c r="BU528" i="1"/>
  <c r="BP528" i="1"/>
  <c r="BG528" i="1" l="1"/>
  <c r="BD529" i="1" s="1"/>
  <c r="BF528" i="1"/>
  <c r="BC529" i="1" l="1"/>
  <c r="AZ529" i="1"/>
  <c r="BA529" i="1"/>
  <c r="BK529" i="1" l="1"/>
  <c r="BP529" i="1"/>
  <c r="BU529" i="1"/>
  <c r="BT529" i="1"/>
  <c r="BO529" i="1"/>
  <c r="BJ529" i="1"/>
  <c r="BG529" i="1" l="1"/>
  <c r="BD530" i="1" s="1"/>
  <c r="BF529" i="1"/>
  <c r="BA530" i="1"/>
  <c r="BC530" i="1" l="1"/>
  <c r="AZ530" i="1"/>
  <c r="BP530" i="1" s="1"/>
  <c r="BU530" i="1"/>
  <c r="BK530" i="1" l="1"/>
  <c r="BG530" i="1" s="1"/>
  <c r="BD531" i="1" s="1"/>
  <c r="BJ530" i="1"/>
  <c r="BO530" i="1"/>
  <c r="BT530" i="1"/>
  <c r="BF530" i="1" l="1"/>
  <c r="BA531" i="1"/>
  <c r="BC531" i="1" l="1"/>
  <c r="AZ531" i="1"/>
  <c r="BU531" i="1" l="1"/>
  <c r="BT531" i="1"/>
  <c r="BO531" i="1"/>
  <c r="BJ531" i="1"/>
  <c r="BF531" i="1" s="1"/>
  <c r="AZ532" i="1" s="1"/>
  <c r="BK531" i="1"/>
  <c r="BP531" i="1"/>
  <c r="BG531" i="1" l="1"/>
  <c r="BD532" i="1" s="1"/>
  <c r="BA532" i="1"/>
  <c r="BC532" i="1"/>
  <c r="BP532" i="1" l="1"/>
  <c r="BU532" i="1"/>
  <c r="BK532" i="1"/>
  <c r="BG532" i="1" s="1"/>
  <c r="BA533" i="1" s="1"/>
  <c r="BT532" i="1"/>
  <c r="BJ532" i="1"/>
  <c r="BO532" i="1"/>
  <c r="BD533" i="1" l="1"/>
  <c r="BF532" i="1"/>
  <c r="BC533" i="1" s="1"/>
  <c r="AZ533" i="1" l="1"/>
  <c r="BT533" i="1"/>
  <c r="BJ533" i="1"/>
  <c r="BO533" i="1"/>
  <c r="BP533" i="1"/>
  <c r="BU533" i="1"/>
  <c r="BK533" i="1"/>
  <c r="BG533" i="1" s="1"/>
  <c r="BA534" i="1" s="1"/>
  <c r="BD534" i="1" l="1"/>
  <c r="BF533" i="1"/>
  <c r="BC534" i="1" l="1"/>
  <c r="AZ534" i="1"/>
  <c r="BJ534" i="1" l="1"/>
  <c r="BT534" i="1"/>
  <c r="BO534" i="1"/>
  <c r="BK534" i="1"/>
  <c r="BP534" i="1"/>
  <c r="BU534" i="1"/>
  <c r="BG534" i="1" l="1"/>
  <c r="BD535" i="1" s="1"/>
  <c r="BF534" i="1"/>
  <c r="BC535" i="1" l="1"/>
  <c r="AZ535" i="1"/>
  <c r="BA535" i="1"/>
  <c r="BU535" i="1" l="1"/>
  <c r="BP535" i="1"/>
  <c r="BK535" i="1"/>
  <c r="BG535" i="1" s="1"/>
  <c r="BD536" i="1" s="1"/>
  <c r="BJ535" i="1"/>
  <c r="BO535" i="1"/>
  <c r="BT535" i="1"/>
  <c r="BF535" i="1" l="1"/>
  <c r="BC536" i="1" s="1"/>
  <c r="BA536" i="1"/>
  <c r="AZ536" i="1"/>
  <c r="BU536" i="1" l="1"/>
  <c r="BK536" i="1"/>
  <c r="BP536" i="1"/>
  <c r="BO536" i="1"/>
  <c r="BJ536" i="1"/>
  <c r="BT536" i="1"/>
  <c r="BG536" i="1" l="1"/>
  <c r="BD537" i="1" s="1"/>
  <c r="BF536" i="1"/>
  <c r="BA537" i="1"/>
  <c r="BC537" i="1" l="1"/>
  <c r="AZ537" i="1"/>
  <c r="BJ537" i="1" l="1"/>
  <c r="BO537" i="1"/>
  <c r="BT537" i="1"/>
  <c r="BP537" i="1"/>
  <c r="BU537" i="1"/>
  <c r="BK537" i="1"/>
  <c r="BG537" i="1" l="1"/>
  <c r="BD538" i="1" s="1"/>
  <c r="BF537" i="1"/>
  <c r="AZ538" i="1" l="1"/>
  <c r="BC538" i="1"/>
  <c r="BA538" i="1"/>
  <c r="BU538" i="1" l="1"/>
  <c r="BP538" i="1"/>
  <c r="BK538" i="1"/>
  <c r="BG538" i="1" s="1"/>
  <c r="BJ538" i="1"/>
  <c r="BT538" i="1"/>
  <c r="BO538" i="1"/>
  <c r="BA539" i="1" l="1"/>
  <c r="BD539" i="1"/>
  <c r="BF538" i="1"/>
  <c r="BC539" i="1" l="1"/>
  <c r="AZ539" i="1"/>
  <c r="BO539" i="1" l="1"/>
  <c r="BT539" i="1"/>
  <c r="BJ539" i="1"/>
  <c r="BF539" i="1" s="1"/>
  <c r="AZ540" i="1" s="1"/>
  <c r="BP539" i="1"/>
  <c r="BK539" i="1"/>
  <c r="BU539" i="1"/>
  <c r="BC540" i="1" l="1"/>
  <c r="BG539" i="1"/>
  <c r="BD540" i="1" s="1"/>
  <c r="BA540" i="1" l="1"/>
  <c r="BP540" i="1" l="1"/>
  <c r="BU540" i="1"/>
  <c r="BK540" i="1"/>
  <c r="BJ540" i="1"/>
  <c r="BO540" i="1"/>
  <c r="BT540" i="1"/>
  <c r="BG540" i="1" l="1"/>
  <c r="BD541" i="1" s="1"/>
  <c r="BF540" i="1"/>
  <c r="BC541" i="1" l="1"/>
  <c r="AZ541" i="1"/>
  <c r="BA541" i="1"/>
  <c r="BO541" i="1" l="1"/>
  <c r="BJ541" i="1"/>
  <c r="BT541" i="1"/>
  <c r="BU541" i="1"/>
  <c r="BP541" i="1"/>
  <c r="BK541" i="1"/>
  <c r="BF541" i="1" l="1"/>
  <c r="BG541" i="1"/>
  <c r="BD542" i="1" s="1"/>
  <c r="BA542" i="1" l="1"/>
  <c r="BC542" i="1"/>
  <c r="AZ542" i="1"/>
  <c r="BU542" i="1" l="1"/>
  <c r="BK542" i="1"/>
  <c r="BP542" i="1"/>
  <c r="BT542" i="1"/>
  <c r="BJ542" i="1"/>
  <c r="BF542" i="1" s="1"/>
  <c r="AZ543" i="1" s="1"/>
  <c r="BO542" i="1"/>
  <c r="BG542" i="1" l="1"/>
  <c r="BC543" i="1"/>
  <c r="BA543" i="1" l="1"/>
  <c r="BD543" i="1"/>
  <c r="BU543" i="1" l="1"/>
  <c r="BK543" i="1"/>
  <c r="BJ543" i="1"/>
  <c r="BP543" i="1"/>
  <c r="BT543" i="1"/>
  <c r="BO543" i="1"/>
  <c r="BF543" i="1" l="1"/>
  <c r="BG543" i="1"/>
  <c r="BA544" i="1" l="1"/>
  <c r="BD544" i="1"/>
  <c r="AZ544" i="1"/>
  <c r="BC544" i="1"/>
  <c r="BO544" i="1" l="1"/>
  <c r="BJ544" i="1"/>
  <c r="BT544" i="1"/>
  <c r="BU544" i="1"/>
  <c r="BP544" i="1"/>
  <c r="BK544" i="1"/>
  <c r="BF544" i="1" l="1"/>
  <c r="BG544" i="1"/>
  <c r="BA545" i="1" l="1"/>
  <c r="BD545" i="1"/>
  <c r="AZ545" i="1"/>
  <c r="BC545" i="1"/>
  <c r="BJ545" i="1" l="1"/>
  <c r="BT545" i="1"/>
  <c r="BO545" i="1"/>
  <c r="BP545" i="1"/>
  <c r="BK545" i="1"/>
  <c r="BU545" i="1"/>
  <c r="BG545" i="1" l="1"/>
  <c r="BF545" i="1"/>
  <c r="AZ546" i="1" l="1"/>
  <c r="BC546" i="1"/>
  <c r="BA546" i="1"/>
  <c r="BD546" i="1"/>
  <c r="BK546" i="1" l="1"/>
  <c r="BP546" i="1"/>
  <c r="BU546" i="1"/>
  <c r="BJ546" i="1"/>
  <c r="BF546" i="1" s="1"/>
  <c r="AZ547" i="1" s="1"/>
  <c r="BT546" i="1"/>
  <c r="BO546" i="1"/>
  <c r="BC547" i="1" l="1"/>
  <c r="BG546" i="1"/>
  <c r="BA547" i="1" l="1"/>
  <c r="BD547" i="1"/>
  <c r="BU547" i="1" l="1"/>
  <c r="BP547" i="1"/>
  <c r="BK547" i="1"/>
  <c r="BG547" i="1" s="1"/>
  <c r="BD548" i="1" s="1"/>
  <c r="BJ547" i="1"/>
  <c r="BT547" i="1"/>
  <c r="BA548" i="1"/>
  <c r="BO547" i="1"/>
  <c r="BF547" i="1" l="1"/>
  <c r="BC548" i="1" l="1"/>
  <c r="AZ548" i="1"/>
  <c r="BT548" i="1" l="1"/>
  <c r="BJ548" i="1"/>
  <c r="BO548" i="1"/>
  <c r="BK548" i="1"/>
  <c r="BU548" i="1"/>
  <c r="BP548" i="1"/>
  <c r="BF548" i="1" l="1"/>
  <c r="BG548" i="1"/>
  <c r="BA549" i="1" l="1"/>
  <c r="BD549" i="1"/>
  <c r="AZ549" i="1"/>
  <c r="BC549" i="1"/>
  <c r="BT549" i="1" l="1"/>
  <c r="BO549" i="1"/>
  <c r="BJ549" i="1"/>
  <c r="BF549" i="1" s="1"/>
  <c r="BC550" i="1" s="1"/>
  <c r="BP549" i="1"/>
  <c r="BU549" i="1"/>
  <c r="BK549" i="1"/>
  <c r="BG549" i="1" l="1"/>
  <c r="AZ550" i="1"/>
  <c r="BA550" i="1" l="1"/>
  <c r="BT550" i="1" s="1"/>
  <c r="BD550" i="1"/>
  <c r="BJ550" i="1" l="1"/>
  <c r="BK550" i="1"/>
  <c r="BP550" i="1"/>
  <c r="BU550" i="1"/>
  <c r="BO550" i="1"/>
  <c r="BF550" i="1" l="1"/>
  <c r="BG550" i="1"/>
  <c r="BD551" i="1" l="1"/>
  <c r="BA551" i="1"/>
  <c r="BC551" i="1"/>
  <c r="AZ551" i="1"/>
  <c r="BK551" i="1" l="1"/>
  <c r="BP551" i="1"/>
  <c r="BU551" i="1"/>
  <c r="BJ551" i="1"/>
  <c r="BF551" i="1" s="1"/>
  <c r="BC552" i="1" s="1"/>
  <c r="BO551" i="1"/>
  <c r="BT551" i="1"/>
  <c r="AZ552" i="1" l="1"/>
  <c r="BG551" i="1"/>
  <c r="BD552" i="1" l="1"/>
  <c r="BA552" i="1"/>
  <c r="BO552" i="1" s="1"/>
  <c r="BP552" i="1" l="1"/>
  <c r="BU552" i="1"/>
  <c r="BK552" i="1"/>
  <c r="BG552" i="1" s="1"/>
  <c r="BD553" i="1" s="1"/>
  <c r="BA553" i="1"/>
  <c r="BT552" i="1"/>
  <c r="BJ552" i="1"/>
  <c r="BF552" i="1" s="1"/>
  <c r="BC553" i="1" l="1"/>
  <c r="AZ553" i="1"/>
  <c r="BU553" i="1" s="1"/>
  <c r="BK553" i="1"/>
  <c r="BP553" i="1"/>
  <c r="BT553" i="1" l="1"/>
  <c r="BO553" i="1"/>
  <c r="BJ553" i="1"/>
  <c r="BF553" i="1" s="1"/>
  <c r="AZ554" i="1" s="1"/>
  <c r="BG553" i="1"/>
  <c r="BC554" i="1" l="1"/>
  <c r="BA554" i="1"/>
  <c r="BD554" i="1"/>
  <c r="BO554" i="1"/>
  <c r="BJ554" i="1"/>
  <c r="BF554" i="1" s="1"/>
  <c r="AZ555" i="1" s="1"/>
  <c r="BT554" i="1"/>
  <c r="BC555" i="1" l="1"/>
  <c r="BK554" i="1"/>
  <c r="BP554" i="1"/>
  <c r="BU554" i="1"/>
  <c r="BG554" i="1" l="1"/>
  <c r="BA555" i="1" l="1"/>
  <c r="BD555" i="1"/>
  <c r="BU555" i="1" l="1"/>
  <c r="BK555" i="1"/>
  <c r="BJ555" i="1"/>
  <c r="BP555" i="1"/>
  <c r="BO555" i="1"/>
  <c r="BT555" i="1"/>
  <c r="BF555" i="1" l="1"/>
  <c r="BG555" i="1"/>
  <c r="BA556" i="1" l="1"/>
  <c r="BD556" i="1"/>
  <c r="AZ556" i="1"/>
  <c r="BC556" i="1"/>
  <c r="BT556" i="1" l="1"/>
  <c r="BJ556" i="1"/>
  <c r="BF556" i="1" s="1"/>
  <c r="AZ557" i="1" s="1"/>
  <c r="BO556" i="1"/>
  <c r="BK556" i="1"/>
  <c r="BU556" i="1"/>
  <c r="BP556" i="1"/>
  <c r="BG556" i="1" l="1"/>
  <c r="BC557" i="1"/>
  <c r="BA557" i="1" l="1"/>
  <c r="BD557" i="1"/>
  <c r="BU557" i="1" l="1"/>
  <c r="BP557" i="1"/>
  <c r="BK557" i="1"/>
  <c r="BG557" i="1" s="1"/>
  <c r="BA558" i="1" s="1"/>
  <c r="BO557" i="1"/>
  <c r="BJ557" i="1"/>
  <c r="BT557" i="1"/>
  <c r="BF557" i="1" l="1"/>
  <c r="BD558" i="1"/>
  <c r="BC558" i="1" l="1"/>
  <c r="AZ558" i="1"/>
  <c r="BJ558" i="1" l="1"/>
  <c r="BT558" i="1"/>
  <c r="BO558" i="1"/>
  <c r="BP558" i="1"/>
  <c r="BK558" i="1"/>
  <c r="BG558" i="1" s="1"/>
  <c r="BU558" i="1"/>
  <c r="BA559" i="1" l="1"/>
  <c r="BD559" i="1"/>
  <c r="BF558" i="1"/>
  <c r="BC559" i="1" l="1"/>
  <c r="AZ559" i="1"/>
  <c r="BK559" i="1"/>
  <c r="BP559" i="1"/>
  <c r="BU559" i="1"/>
  <c r="BT559" i="1" l="1"/>
  <c r="BO559" i="1"/>
  <c r="BJ559" i="1"/>
  <c r="BF559" i="1" s="1"/>
  <c r="AZ560" i="1" s="1"/>
  <c r="BG559" i="1"/>
  <c r="BC560" i="1" l="1"/>
  <c r="BD560" i="1"/>
  <c r="BA560" i="1"/>
  <c r="BJ560" i="1"/>
  <c r="BO560" i="1"/>
  <c r="BT560" i="1"/>
  <c r="BF560" i="1" l="1"/>
  <c r="BK560" i="1"/>
  <c r="BP560" i="1"/>
  <c r="BU560" i="1"/>
  <c r="BG560" i="1" l="1"/>
  <c r="AZ561" i="1"/>
  <c r="BC561" i="1"/>
  <c r="BA561" i="1" l="1"/>
  <c r="BO561" i="1" s="1"/>
  <c r="BD561" i="1"/>
  <c r="BP561" i="1" l="1"/>
  <c r="BK561" i="1"/>
  <c r="BU561" i="1"/>
  <c r="BT561" i="1"/>
  <c r="BF561" i="1" s="1"/>
  <c r="BJ561" i="1"/>
  <c r="BC562" i="1" l="1"/>
  <c r="AZ562" i="1"/>
  <c r="BG561" i="1"/>
  <c r="BD562" i="1" l="1"/>
  <c r="BA562" i="1"/>
  <c r="BT562" i="1"/>
  <c r="BJ562" i="1"/>
  <c r="BP562" i="1" l="1"/>
  <c r="BU562" i="1"/>
  <c r="BK562" i="1"/>
  <c r="BG562" i="1" s="1"/>
  <c r="BA563" i="1" s="1"/>
  <c r="BO562" i="1"/>
  <c r="BF562" i="1" s="1"/>
  <c r="BD563" i="1"/>
  <c r="BC563" i="1" l="1"/>
  <c r="AZ563" i="1"/>
  <c r="BU563" i="1"/>
  <c r="BK563" i="1"/>
  <c r="BT563" i="1" l="1"/>
  <c r="BO563" i="1"/>
  <c r="BJ563" i="1"/>
  <c r="BF563" i="1" s="1"/>
  <c r="BC564" i="1" s="1"/>
  <c r="BP563" i="1"/>
  <c r="BG563" i="1" s="1"/>
  <c r="AZ564" i="1"/>
  <c r="BD564" i="1" l="1"/>
  <c r="BA564" i="1"/>
  <c r="BT564" i="1"/>
  <c r="BO564" i="1"/>
  <c r="BJ564" i="1"/>
  <c r="BF564" i="1" l="1"/>
  <c r="AZ565" i="1" s="1"/>
  <c r="BP564" i="1"/>
  <c r="BU564" i="1"/>
  <c r="BK564" i="1"/>
  <c r="BG564" i="1" s="1"/>
  <c r="BA565" i="1" s="1"/>
  <c r="BK565" i="1" s="1"/>
  <c r="BC565" i="1"/>
  <c r="BJ565" i="1" l="1"/>
  <c r="BT565" i="1"/>
  <c r="BO565" i="1"/>
  <c r="BD565" i="1"/>
  <c r="BP565" i="1"/>
  <c r="BG565" i="1" s="1"/>
  <c r="BU565" i="1"/>
  <c r="BD566" i="1" l="1"/>
  <c r="BF565" i="1"/>
  <c r="BA566" i="1"/>
  <c r="BC566" i="1" l="1"/>
  <c r="AZ566" i="1"/>
  <c r="BT566" i="1" s="1"/>
  <c r="BK566" i="1"/>
  <c r="BU566" i="1"/>
  <c r="BP566" i="1"/>
  <c r="BO566" i="1"/>
  <c r="BJ566" i="1"/>
  <c r="BF566" i="1" l="1"/>
  <c r="AZ567" i="1"/>
  <c r="BC567" i="1"/>
  <c r="BG566" i="1"/>
  <c r="BD567" i="1" s="1"/>
  <c r="BA567" i="1" l="1"/>
  <c r="BT567" i="1" s="1"/>
  <c r="BO567" i="1"/>
  <c r="BJ567" i="1"/>
  <c r="BF567" i="1" l="1"/>
  <c r="BC568" i="1" s="1"/>
  <c r="AZ568" i="1"/>
  <c r="BU567" i="1"/>
  <c r="BK567" i="1"/>
  <c r="BG567" i="1" s="1"/>
  <c r="BP567" i="1"/>
  <c r="BA568" i="1" l="1"/>
  <c r="BD568" i="1"/>
  <c r="BK568" i="1"/>
  <c r="BP568" i="1"/>
  <c r="BU568" i="1"/>
  <c r="BO568" i="1"/>
  <c r="BT568" i="1"/>
  <c r="BJ568" i="1"/>
  <c r="BF568" i="1" l="1"/>
  <c r="BG568" i="1"/>
  <c r="BD569" i="1" s="1"/>
  <c r="BA569" i="1"/>
  <c r="BC569" i="1" l="1"/>
  <c r="AZ569" i="1"/>
  <c r="BT569" i="1" l="1"/>
  <c r="BJ569" i="1"/>
  <c r="BO569" i="1"/>
  <c r="BU569" i="1"/>
  <c r="BP569" i="1"/>
  <c r="BK569" i="1"/>
  <c r="BG569" i="1" l="1"/>
  <c r="BD570" i="1" s="1"/>
  <c r="BA570" i="1"/>
  <c r="BF569" i="1"/>
  <c r="AZ570" i="1" l="1"/>
  <c r="BC570" i="1"/>
  <c r="BO570" i="1" l="1"/>
  <c r="BJ570" i="1"/>
  <c r="BT570" i="1"/>
  <c r="BK570" i="1"/>
  <c r="BU570" i="1"/>
  <c r="BP570" i="1"/>
  <c r="BG570" i="1" l="1"/>
  <c r="BD571" i="1" s="1"/>
  <c r="BF570" i="1"/>
  <c r="AZ571" i="1" l="1"/>
  <c r="BC571" i="1"/>
  <c r="BA571" i="1"/>
  <c r="BP571" i="1" l="1"/>
  <c r="BK571" i="1"/>
  <c r="BU571" i="1"/>
  <c r="BO571" i="1"/>
  <c r="BJ571" i="1"/>
  <c r="BT571" i="1"/>
  <c r="BF571" i="1" l="1"/>
  <c r="BG571" i="1"/>
  <c r="BD572" i="1" s="1"/>
  <c r="BA572" i="1" l="1"/>
  <c r="AZ572" i="1"/>
  <c r="BC572" i="1"/>
  <c r="BT572" i="1" l="1"/>
  <c r="BJ572" i="1"/>
  <c r="BO572" i="1"/>
  <c r="BK572" i="1"/>
  <c r="BP572" i="1"/>
  <c r="BU572" i="1"/>
  <c r="BG572" i="1" l="1"/>
  <c r="BD573" i="1" s="1"/>
  <c r="BA573" i="1"/>
  <c r="BF572" i="1"/>
  <c r="AZ573" i="1" l="1"/>
  <c r="BK573" i="1" s="1"/>
  <c r="BC573" i="1"/>
  <c r="BP573" i="1"/>
  <c r="BU573" i="1"/>
  <c r="BG573" i="1" l="1"/>
  <c r="BD574" i="1" s="1"/>
  <c r="BT573" i="1"/>
  <c r="BJ573" i="1"/>
  <c r="BO573" i="1"/>
  <c r="BF573" i="1" l="1"/>
  <c r="BA574" i="1"/>
  <c r="BC574" i="1" l="1"/>
  <c r="AZ574" i="1"/>
  <c r="BT574" i="1" l="1"/>
  <c r="BO574" i="1"/>
  <c r="BJ574" i="1"/>
  <c r="BF574" i="1" s="1"/>
  <c r="AZ575" i="1" s="1"/>
  <c r="BP574" i="1"/>
  <c r="BK574" i="1"/>
  <c r="BU574" i="1"/>
  <c r="BG574" i="1" l="1"/>
  <c r="BD575" i="1" s="1"/>
  <c r="BC575" i="1"/>
  <c r="BA575" i="1" l="1"/>
  <c r="BU575" i="1" l="1"/>
  <c r="BK575" i="1"/>
  <c r="BP575" i="1"/>
  <c r="BO575" i="1"/>
  <c r="BJ575" i="1"/>
  <c r="BT575" i="1"/>
  <c r="BG575" i="1" l="1"/>
  <c r="BD576" i="1" s="1"/>
  <c r="BF575" i="1"/>
  <c r="BA576" i="1" l="1"/>
  <c r="BC576" i="1"/>
  <c r="AZ576" i="1"/>
  <c r="BJ576" i="1" l="1"/>
  <c r="BO576" i="1"/>
  <c r="BT576" i="1"/>
  <c r="BK576" i="1"/>
  <c r="BU576" i="1"/>
  <c r="BP576" i="1"/>
  <c r="BG576" i="1" l="1"/>
  <c r="BD577" i="1" s="1"/>
  <c r="BF576" i="1"/>
  <c r="AZ577" i="1" l="1"/>
  <c r="BC577" i="1"/>
  <c r="BA577" i="1"/>
  <c r="BU577" i="1" l="1"/>
  <c r="BP577" i="1"/>
  <c r="BK577" i="1"/>
  <c r="BO577" i="1"/>
  <c r="BT577" i="1"/>
  <c r="BJ577" i="1"/>
  <c r="BG577" i="1" l="1"/>
  <c r="BD578" i="1" s="1"/>
  <c r="BA578" i="1"/>
  <c r="BF577" i="1"/>
  <c r="AZ578" i="1" l="1"/>
  <c r="BC578" i="1"/>
  <c r="BK578" i="1"/>
  <c r="BP578" i="1"/>
  <c r="BU578" i="1" l="1"/>
  <c r="BG578" i="1" s="1"/>
  <c r="BD579" i="1" s="1"/>
  <c r="BT578" i="1"/>
  <c r="BO578" i="1"/>
  <c r="BJ578" i="1"/>
  <c r="BF578" i="1" s="1"/>
  <c r="BC579" i="1" s="1"/>
  <c r="BA579" i="1" l="1"/>
  <c r="AZ579" i="1"/>
  <c r="BK579" i="1" l="1"/>
  <c r="BU579" i="1"/>
  <c r="BP579" i="1"/>
  <c r="BT579" i="1"/>
  <c r="BO579" i="1"/>
  <c r="BJ579" i="1"/>
  <c r="BF579" i="1" l="1"/>
  <c r="BG579" i="1"/>
  <c r="BD580" i="1" s="1"/>
  <c r="BA580" i="1" l="1"/>
  <c r="BC580" i="1"/>
  <c r="AZ580" i="1"/>
  <c r="BJ580" i="1" l="1"/>
  <c r="BT580" i="1"/>
  <c r="BO580" i="1"/>
  <c r="BP580" i="1"/>
  <c r="BU580" i="1"/>
  <c r="BK580" i="1"/>
  <c r="BF580" i="1" l="1"/>
  <c r="BG580" i="1"/>
  <c r="BD581" i="1" s="1"/>
  <c r="BA581" i="1" l="1"/>
  <c r="BC581" i="1"/>
  <c r="AZ581" i="1"/>
  <c r="BK581" i="1" l="1"/>
  <c r="BU581" i="1"/>
  <c r="BP581" i="1"/>
  <c r="BJ581" i="1"/>
  <c r="BT581" i="1"/>
  <c r="BO581" i="1"/>
  <c r="BF581" i="1" l="1"/>
  <c r="BC582" i="1" s="1"/>
  <c r="AZ582" i="1"/>
  <c r="BG581" i="1"/>
  <c r="BD582" i="1" s="1"/>
  <c r="BA582" i="1" l="1"/>
  <c r="BT582" i="1" s="1"/>
  <c r="BJ582" i="1"/>
  <c r="BO582" i="1"/>
  <c r="BF582" i="1" l="1"/>
  <c r="BK582" i="1"/>
  <c r="BP582" i="1"/>
  <c r="BU582" i="1"/>
  <c r="BG582" i="1" l="1"/>
  <c r="BD583" i="1" s="1"/>
  <c r="BC583" i="1"/>
  <c r="AZ583" i="1"/>
  <c r="BA583" i="1" l="1"/>
  <c r="BJ583" i="1" s="1"/>
  <c r="BU583" i="1" l="1"/>
  <c r="BP583" i="1"/>
  <c r="BK583" i="1"/>
  <c r="BO583" i="1"/>
  <c r="BT583" i="1"/>
  <c r="BF583" i="1" l="1"/>
  <c r="AZ584" i="1"/>
  <c r="BC584" i="1"/>
  <c r="BG583" i="1"/>
  <c r="BD584" i="1" s="1"/>
  <c r="BA584" i="1" l="1"/>
  <c r="BO584" i="1" s="1"/>
  <c r="BJ584" i="1" l="1"/>
  <c r="BT584" i="1"/>
  <c r="BK584" i="1"/>
  <c r="BU584" i="1"/>
  <c r="BP584" i="1"/>
  <c r="BG584" i="1" l="1"/>
  <c r="BD585" i="1" s="1"/>
  <c r="BF584" i="1"/>
  <c r="AZ585" i="1" l="1"/>
  <c r="BC585" i="1"/>
  <c r="BA585" i="1"/>
  <c r="BP585" i="1" l="1"/>
  <c r="BK585" i="1"/>
  <c r="BU585" i="1"/>
  <c r="BJ585" i="1"/>
  <c r="BT585" i="1"/>
  <c r="BO585" i="1"/>
  <c r="BG585" i="1" l="1"/>
  <c r="BD586" i="1" s="1"/>
  <c r="BF585" i="1"/>
  <c r="AZ586" i="1" l="1"/>
  <c r="BC586" i="1"/>
  <c r="BA586" i="1"/>
  <c r="BP586" i="1" l="1"/>
  <c r="BU586" i="1"/>
  <c r="BK586" i="1"/>
  <c r="BT586" i="1"/>
  <c r="BO586" i="1"/>
  <c r="BJ586" i="1"/>
  <c r="BG586" i="1" l="1"/>
  <c r="BD587" i="1" s="1"/>
  <c r="BF586" i="1"/>
  <c r="AZ587" i="1" l="1"/>
  <c r="BC587" i="1"/>
  <c r="BA587" i="1"/>
  <c r="BP587" i="1" l="1"/>
  <c r="BU587" i="1"/>
  <c r="BK587" i="1"/>
  <c r="BT587" i="1"/>
  <c r="BJ587" i="1"/>
  <c r="BO587" i="1"/>
  <c r="BF587" i="1" l="1"/>
  <c r="BG587" i="1"/>
  <c r="BD588" i="1" s="1"/>
  <c r="BA588" i="1" l="1"/>
  <c r="AZ588" i="1"/>
  <c r="BC588" i="1"/>
  <c r="BU588" i="1" l="1"/>
  <c r="BK588" i="1"/>
  <c r="BP588" i="1"/>
  <c r="BJ588" i="1"/>
  <c r="BO588" i="1"/>
  <c r="BT588" i="1"/>
  <c r="BF588" i="1" l="1"/>
  <c r="BC589" i="1" s="1"/>
  <c r="BG588" i="1"/>
  <c r="BD589" i="1" s="1"/>
  <c r="AZ589" i="1"/>
  <c r="BA589" i="1" l="1"/>
  <c r="BT589" i="1" s="1"/>
  <c r="BK589" i="1" l="1"/>
  <c r="BP589" i="1"/>
  <c r="BU589" i="1"/>
  <c r="BJ589" i="1"/>
  <c r="BO589" i="1"/>
  <c r="BF589" i="1" l="1"/>
  <c r="BG589" i="1"/>
  <c r="BD590" i="1" s="1"/>
  <c r="BA590" i="1" l="1"/>
  <c r="AZ590" i="1"/>
  <c r="BC590" i="1"/>
  <c r="BO590" i="1" l="1"/>
  <c r="BT590" i="1"/>
  <c r="BJ590" i="1"/>
  <c r="BF590" i="1" s="1"/>
  <c r="BC591" i="1" s="1"/>
  <c r="BP590" i="1"/>
  <c r="BU590" i="1"/>
  <c r="BK590" i="1"/>
  <c r="BG590" i="1" l="1"/>
  <c r="BD591" i="1" s="1"/>
  <c r="BA591" i="1"/>
  <c r="AZ591" i="1"/>
  <c r="BO591" i="1" l="1"/>
  <c r="BT591" i="1"/>
  <c r="BJ591" i="1"/>
  <c r="BF591" i="1" s="1"/>
  <c r="BC592" i="1" s="1"/>
  <c r="BU591" i="1"/>
  <c r="BP591" i="1"/>
  <c r="BK591" i="1"/>
  <c r="AZ592" i="1" l="1"/>
  <c r="BG591" i="1"/>
  <c r="BD592" i="1" s="1"/>
  <c r="BA592" i="1" l="1"/>
  <c r="BU592" i="1" l="1"/>
  <c r="BK592" i="1"/>
  <c r="BP592" i="1"/>
  <c r="BO592" i="1"/>
  <c r="BT592" i="1"/>
  <c r="BJ592" i="1"/>
  <c r="BF592" i="1" l="1"/>
  <c r="BG592" i="1"/>
  <c r="BC593" i="1"/>
  <c r="AZ593" i="1"/>
  <c r="BA593" i="1" l="1"/>
  <c r="BD593" i="1"/>
  <c r="BT593" i="1"/>
  <c r="BJ593" i="1"/>
  <c r="BO593" i="1"/>
  <c r="BU593" i="1"/>
  <c r="BP593" i="1"/>
  <c r="BK593" i="1"/>
  <c r="BG593" i="1" l="1"/>
  <c r="BA594" i="1" s="1"/>
  <c r="BK594" i="1" s="1"/>
  <c r="BF593" i="1"/>
  <c r="AZ594" i="1" s="1"/>
  <c r="BO594" i="1" s="1"/>
  <c r="BP594" i="1"/>
  <c r="BU594" i="1"/>
  <c r="BJ594" i="1"/>
  <c r="BT594" i="1"/>
  <c r="BC594" i="1" l="1"/>
  <c r="BD594" i="1"/>
  <c r="BF594" i="1"/>
  <c r="AZ595" i="1" s="1"/>
  <c r="BG594" i="1"/>
  <c r="BC595" i="1"/>
  <c r="BA595" i="1"/>
  <c r="BD595" i="1" l="1"/>
  <c r="BK595" i="1"/>
  <c r="BP595" i="1"/>
  <c r="BU595" i="1"/>
  <c r="BO595" i="1"/>
  <c r="BT595" i="1"/>
  <c r="BJ595" i="1"/>
  <c r="BG595" i="1" l="1"/>
  <c r="BD596" i="1" s="1"/>
  <c r="BF595" i="1"/>
  <c r="BA596" i="1"/>
  <c r="AZ596" i="1" l="1"/>
  <c r="BC596" i="1"/>
  <c r="BK596" i="1"/>
  <c r="BU596" i="1"/>
  <c r="BP596" i="1"/>
  <c r="BG596" i="1" l="1"/>
  <c r="BD597" i="1" s="1"/>
  <c r="BO596" i="1"/>
  <c r="BT596" i="1"/>
  <c r="BJ596" i="1"/>
  <c r="BF596" i="1" l="1"/>
  <c r="AZ597" i="1" s="1"/>
  <c r="BC597" i="1"/>
  <c r="BA597" i="1"/>
  <c r="BT597" i="1" s="1"/>
  <c r="BK597" i="1" l="1"/>
  <c r="BU597" i="1"/>
  <c r="BP597" i="1"/>
  <c r="BO597" i="1"/>
  <c r="BJ597" i="1"/>
  <c r="BG597" i="1" l="1"/>
  <c r="BD598" i="1" s="1"/>
  <c r="BF597" i="1"/>
  <c r="BC598" i="1" l="1"/>
  <c r="AZ598" i="1"/>
  <c r="BA598" i="1"/>
  <c r="BJ598" i="1" l="1"/>
  <c r="BT598" i="1"/>
  <c r="BO598" i="1"/>
  <c r="BU598" i="1"/>
  <c r="BK598" i="1"/>
  <c r="BP598" i="1"/>
  <c r="BG598" i="1" l="1"/>
  <c r="BF598" i="1"/>
  <c r="BA599" i="1" l="1"/>
  <c r="BD599" i="1"/>
  <c r="AZ599" i="1"/>
  <c r="BC599" i="1"/>
  <c r="BJ599" i="1" l="1"/>
  <c r="BT599" i="1"/>
  <c r="BO599" i="1"/>
  <c r="BP599" i="1"/>
  <c r="BK599" i="1"/>
  <c r="BU599" i="1"/>
  <c r="BF599" i="1" l="1"/>
  <c r="BG599" i="1"/>
  <c r="BD600" i="1" s="1"/>
  <c r="BA600" i="1" l="1"/>
  <c r="BC600" i="1"/>
  <c r="AZ600" i="1"/>
  <c r="BT600" i="1" l="1"/>
  <c r="BO600" i="1"/>
  <c r="BJ600" i="1"/>
  <c r="BP600" i="1"/>
  <c r="BU600" i="1"/>
  <c r="BK600" i="1"/>
  <c r="BF600" i="1" l="1"/>
  <c r="BG600" i="1"/>
  <c r="BD601" i="1" s="1"/>
  <c r="BA601" i="1" l="1"/>
  <c r="AZ601" i="1"/>
  <c r="BC601" i="1"/>
  <c r="BP601" i="1" l="1"/>
  <c r="BK601" i="1"/>
  <c r="BU601" i="1"/>
  <c r="BO601" i="1"/>
  <c r="BT601" i="1"/>
  <c r="BJ601" i="1"/>
  <c r="BF601" i="1" l="1"/>
  <c r="BC602" i="1" s="1"/>
  <c r="BG601" i="1"/>
  <c r="BD602" i="1" s="1"/>
  <c r="AZ602" i="1"/>
  <c r="BA602" i="1" l="1"/>
  <c r="BU602" i="1" l="1"/>
  <c r="BK602" i="1"/>
  <c r="BP602" i="1"/>
  <c r="BO602" i="1"/>
  <c r="BT602" i="1"/>
  <c r="BJ602" i="1"/>
  <c r="BG602" i="1" l="1"/>
  <c r="BF602" i="1"/>
  <c r="BA603" i="1" l="1"/>
  <c r="BD603" i="1"/>
  <c r="BC603" i="1"/>
  <c r="AZ603" i="1"/>
  <c r="BO603" i="1" l="1"/>
  <c r="BT603" i="1"/>
  <c r="BJ603" i="1"/>
  <c r="BF603" i="1" s="1"/>
  <c r="BC604" i="1" s="1"/>
  <c r="BP603" i="1"/>
  <c r="BU603" i="1"/>
  <c r="BK603" i="1"/>
  <c r="BG603" i="1" s="1"/>
  <c r="BD604" i="1" s="1"/>
  <c r="BA604" i="1" l="1"/>
  <c r="AZ604" i="1"/>
  <c r="BU604" i="1" l="1"/>
  <c r="BK604" i="1"/>
  <c r="BP604" i="1"/>
  <c r="BJ604" i="1"/>
  <c r="BO604" i="1"/>
  <c r="BT604" i="1"/>
  <c r="BG604" i="1" l="1"/>
  <c r="BD605" i="1" s="1"/>
  <c r="BF604" i="1"/>
  <c r="BA605" i="1" l="1"/>
  <c r="AZ605" i="1"/>
  <c r="BC605" i="1"/>
  <c r="BT605" i="1" l="1"/>
  <c r="BO605" i="1"/>
  <c r="BJ605" i="1"/>
  <c r="BF605" i="1" s="1"/>
  <c r="AZ606" i="1" s="1"/>
  <c r="BK605" i="1"/>
  <c r="BU605" i="1"/>
  <c r="BP605" i="1"/>
  <c r="BG605" i="1" l="1"/>
  <c r="BD606" i="1" s="1"/>
  <c r="BA606" i="1"/>
  <c r="BT606" i="1" s="1"/>
  <c r="BC606" i="1"/>
  <c r="BO606" i="1" l="1"/>
  <c r="BK606" i="1"/>
  <c r="BU606" i="1"/>
  <c r="BP606" i="1"/>
  <c r="BJ606" i="1"/>
  <c r="BF606" i="1" s="1"/>
  <c r="BC607" i="1" s="1"/>
  <c r="AZ607" i="1" l="1"/>
  <c r="BG606" i="1"/>
  <c r="BD607" i="1" s="1"/>
  <c r="BA607" i="1" l="1"/>
  <c r="BP607" i="1" l="1"/>
  <c r="BU607" i="1"/>
  <c r="BK607" i="1"/>
  <c r="BG607" i="1" s="1"/>
  <c r="BJ607" i="1"/>
  <c r="BO607" i="1"/>
  <c r="BT607" i="1"/>
  <c r="BA608" i="1" l="1"/>
  <c r="BD608" i="1"/>
  <c r="BF607" i="1"/>
  <c r="BC608" i="1"/>
  <c r="AZ608" i="1"/>
  <c r="BP608" i="1" s="1"/>
  <c r="BK608" i="1" l="1"/>
  <c r="BJ608" i="1"/>
  <c r="BT608" i="1"/>
  <c r="BO608" i="1"/>
  <c r="BU608" i="1"/>
  <c r="BG608" i="1" s="1"/>
  <c r="BD609" i="1" s="1"/>
  <c r="BA609" i="1" l="1"/>
  <c r="BF608" i="1"/>
  <c r="BC609" i="1" l="1"/>
  <c r="AZ609" i="1"/>
  <c r="BU609" i="1" s="1"/>
  <c r="BP609" i="1"/>
  <c r="BK609" i="1" l="1"/>
  <c r="BG609" i="1" s="1"/>
  <c r="BD610" i="1" s="1"/>
  <c r="BO609" i="1"/>
  <c r="BJ609" i="1"/>
  <c r="BT609" i="1"/>
  <c r="BF609" i="1" l="1"/>
  <c r="BA610" i="1"/>
  <c r="AZ610" i="1" l="1"/>
  <c r="BC610" i="1"/>
  <c r="BT610" i="1" l="1"/>
  <c r="BJ610" i="1"/>
  <c r="BO610" i="1"/>
  <c r="BU610" i="1"/>
  <c r="BK610" i="1"/>
  <c r="BP610" i="1"/>
  <c r="BG610" i="1" l="1"/>
  <c r="BD611" i="1" s="1"/>
  <c r="BF610" i="1"/>
  <c r="AZ611" i="1" l="1"/>
  <c r="BC611" i="1"/>
  <c r="BA611" i="1"/>
  <c r="BU611" i="1" l="1"/>
  <c r="BK611" i="1"/>
  <c r="BP611" i="1"/>
  <c r="BT611" i="1"/>
  <c r="BJ611" i="1"/>
  <c r="BO611" i="1"/>
  <c r="BF611" i="1" l="1"/>
  <c r="AZ612" i="1" s="1"/>
  <c r="BC612" i="1"/>
  <c r="BG611" i="1"/>
  <c r="BD612" i="1" s="1"/>
  <c r="BA612" i="1" l="1"/>
  <c r="BU612" i="1" l="1"/>
  <c r="BK612" i="1"/>
  <c r="BP612" i="1"/>
  <c r="BT612" i="1"/>
  <c r="BJ612" i="1"/>
  <c r="BF612" i="1" s="1"/>
  <c r="BO612" i="1"/>
  <c r="AZ613" i="1" l="1"/>
  <c r="BC613" i="1"/>
  <c r="BG612" i="1"/>
  <c r="BD613" i="1" s="1"/>
  <c r="BA613" i="1" l="1"/>
  <c r="BT613" i="1" s="1"/>
  <c r="BJ613" i="1" l="1"/>
  <c r="BO613" i="1"/>
  <c r="BU613" i="1"/>
  <c r="BP613" i="1"/>
  <c r="BK613" i="1"/>
  <c r="BG613" i="1" l="1"/>
  <c r="BF613" i="1"/>
  <c r="BA614" i="1" l="1"/>
  <c r="BD614" i="1"/>
  <c r="BC614" i="1"/>
  <c r="AZ614" i="1"/>
  <c r="BT614" i="1" l="1"/>
  <c r="BO614" i="1"/>
  <c r="BJ614" i="1"/>
  <c r="BF614" i="1" s="1"/>
  <c r="AZ615" i="1" s="1"/>
  <c r="BU614" i="1"/>
  <c r="BP614" i="1"/>
  <c r="BK614" i="1"/>
  <c r="BC615" i="1"/>
  <c r="BG614" i="1" l="1"/>
  <c r="BD615" i="1" s="1"/>
  <c r="BA615" i="1" l="1"/>
  <c r="BU615" i="1" l="1"/>
  <c r="BK615" i="1"/>
  <c r="BP615" i="1"/>
  <c r="BO615" i="1"/>
  <c r="BT615" i="1"/>
  <c r="BJ615" i="1"/>
  <c r="BG615" i="1" l="1"/>
  <c r="BD616" i="1" s="1"/>
  <c r="BF615" i="1"/>
  <c r="BA616" i="1" l="1"/>
  <c r="AZ616" i="1"/>
  <c r="BC616" i="1"/>
  <c r="BO616" i="1" l="1"/>
  <c r="BT616" i="1"/>
  <c r="BJ616" i="1"/>
  <c r="BF616" i="1" s="1"/>
  <c r="BC617" i="1" s="1"/>
  <c r="BU616" i="1"/>
  <c r="BK616" i="1"/>
  <c r="BP616" i="1"/>
  <c r="AZ617" i="1" l="1"/>
  <c r="BG616" i="1"/>
  <c r="BD617" i="1" s="1"/>
  <c r="BA617" i="1" l="1"/>
  <c r="BT617" i="1" s="1"/>
  <c r="BK617" i="1" l="1"/>
  <c r="BP617" i="1"/>
  <c r="BU617" i="1"/>
  <c r="BJ617" i="1"/>
  <c r="BO617" i="1"/>
  <c r="BF617" i="1" l="1"/>
  <c r="BG617" i="1"/>
  <c r="BD618" i="1" s="1"/>
  <c r="AZ618" i="1"/>
  <c r="BC618" i="1"/>
  <c r="BA618" i="1"/>
  <c r="BK618" i="1" l="1"/>
  <c r="BP618" i="1"/>
  <c r="BU618" i="1"/>
  <c r="BJ618" i="1"/>
  <c r="BT618" i="1"/>
  <c r="BO618" i="1"/>
  <c r="BF618" i="1" l="1"/>
  <c r="BG618" i="1"/>
  <c r="BD619" i="1" s="1"/>
  <c r="BA619" i="1" l="1"/>
  <c r="AZ619" i="1"/>
  <c r="BC619" i="1"/>
  <c r="BP619" i="1" l="1"/>
  <c r="BK619" i="1"/>
  <c r="BU619" i="1"/>
  <c r="BO619" i="1"/>
  <c r="BJ619" i="1"/>
  <c r="BT619" i="1"/>
  <c r="BF619" i="1" l="1"/>
  <c r="AZ620" i="1" s="1"/>
  <c r="BG619" i="1"/>
  <c r="BD620" i="1" s="1"/>
  <c r="BC620" i="1"/>
  <c r="BA620" i="1" l="1"/>
  <c r="BK620" i="1" l="1"/>
  <c r="BU620" i="1"/>
  <c r="BP620" i="1"/>
  <c r="BO620" i="1"/>
  <c r="BT620" i="1"/>
  <c r="BJ620" i="1"/>
  <c r="BG620" i="1" l="1"/>
  <c r="BD621" i="1" s="1"/>
  <c r="BF620" i="1"/>
  <c r="BA621" i="1"/>
  <c r="AZ621" i="1" l="1"/>
  <c r="BU621" i="1" s="1"/>
  <c r="BC621" i="1"/>
  <c r="BJ621" i="1" l="1"/>
  <c r="BT621" i="1"/>
  <c r="BO621" i="1"/>
  <c r="BP621" i="1"/>
  <c r="BK621" i="1"/>
  <c r="BG621" i="1" l="1"/>
  <c r="BD622" i="1" s="1"/>
  <c r="BF621" i="1"/>
  <c r="BC622" i="1" l="1"/>
  <c r="AZ622" i="1"/>
  <c r="BA622" i="1"/>
  <c r="BT622" i="1" l="1"/>
  <c r="BO622" i="1"/>
  <c r="BJ622" i="1"/>
  <c r="BF622" i="1" s="1"/>
  <c r="BC623" i="1" s="1"/>
  <c r="BU622" i="1"/>
  <c r="BP622" i="1"/>
  <c r="BK622" i="1"/>
  <c r="BG622" i="1" l="1"/>
  <c r="BD623" i="1" s="1"/>
  <c r="AZ623" i="1"/>
  <c r="BA623" i="1" l="1"/>
  <c r="BO623" i="1" s="1"/>
  <c r="BP623" i="1" l="1"/>
  <c r="BK623" i="1"/>
  <c r="BU623" i="1"/>
  <c r="BT623" i="1"/>
  <c r="BJ623" i="1"/>
  <c r="BF623" i="1" s="1"/>
  <c r="BG623" i="1" l="1"/>
  <c r="BD624" i="1" s="1"/>
  <c r="BC624" i="1"/>
  <c r="AZ624" i="1"/>
  <c r="BA624" i="1" l="1"/>
  <c r="BU624" i="1" s="1"/>
  <c r="BT624" i="1"/>
  <c r="BO624" i="1"/>
  <c r="BJ624" i="1"/>
  <c r="BK624" i="1"/>
  <c r="BP624" i="1"/>
  <c r="BG624" i="1" l="1"/>
  <c r="BD625" i="1" s="1"/>
  <c r="BA625" i="1"/>
  <c r="BF624" i="1"/>
  <c r="BC625" i="1" l="1"/>
  <c r="AZ625" i="1"/>
  <c r="BU625" i="1" s="1"/>
  <c r="BP625" i="1" l="1"/>
  <c r="BJ625" i="1"/>
  <c r="BO625" i="1"/>
  <c r="BT625" i="1"/>
  <c r="BK625" i="1"/>
  <c r="BG625" i="1" s="1"/>
  <c r="BD626" i="1" s="1"/>
  <c r="BA626" i="1" l="1"/>
  <c r="BF625" i="1"/>
  <c r="AZ626" i="1" l="1"/>
  <c r="BK626" i="1" s="1"/>
  <c r="BC626" i="1"/>
  <c r="BP626" i="1" l="1"/>
  <c r="BO626" i="1"/>
  <c r="BT626" i="1"/>
  <c r="BJ626" i="1"/>
  <c r="BU626" i="1"/>
  <c r="BF626" i="1" l="1"/>
  <c r="AZ627" i="1" s="1"/>
  <c r="BG626" i="1"/>
  <c r="BD627" i="1" s="1"/>
  <c r="BA627" i="1"/>
  <c r="BC627" i="1"/>
  <c r="BP627" i="1" l="1"/>
  <c r="BK627" i="1"/>
  <c r="BU627" i="1"/>
  <c r="BO627" i="1"/>
  <c r="BT627" i="1"/>
  <c r="BJ627" i="1"/>
  <c r="BG627" i="1" l="1"/>
  <c r="BD628" i="1" s="1"/>
  <c r="BF627" i="1"/>
  <c r="AZ628" i="1" l="1"/>
  <c r="BC628" i="1"/>
  <c r="BA628" i="1"/>
  <c r="BK628" i="1" l="1"/>
  <c r="BU628" i="1"/>
  <c r="BP628" i="1"/>
  <c r="BJ628" i="1"/>
  <c r="BO628" i="1"/>
  <c r="BT628" i="1"/>
  <c r="BF628" i="1" l="1"/>
  <c r="BG628" i="1"/>
  <c r="BD629" i="1" s="1"/>
  <c r="BA629" i="1" l="1"/>
  <c r="AZ629" i="1"/>
  <c r="BC629" i="1"/>
  <c r="BU629" i="1" l="1"/>
  <c r="BJ629" i="1"/>
  <c r="BO629" i="1"/>
  <c r="BT629" i="1"/>
  <c r="BK629" i="1"/>
  <c r="BP629" i="1"/>
  <c r="BG629" i="1" l="1"/>
  <c r="BD630" i="1" s="1"/>
  <c r="BA630" i="1"/>
  <c r="BF629" i="1"/>
  <c r="AZ630" i="1" l="1"/>
  <c r="BP630" i="1" s="1"/>
  <c r="BC630" i="1"/>
  <c r="BU630" i="1"/>
  <c r="BK630" i="1" l="1"/>
  <c r="BG630" i="1" s="1"/>
  <c r="BO630" i="1"/>
  <c r="BT630" i="1"/>
  <c r="BJ630" i="1"/>
  <c r="BD631" i="1" l="1"/>
  <c r="BA631" i="1"/>
  <c r="BF630" i="1"/>
  <c r="BC631" i="1" l="1"/>
  <c r="AZ631" i="1"/>
  <c r="BO631" i="1" l="1"/>
  <c r="BJ631" i="1"/>
  <c r="BK631" i="1"/>
  <c r="BT631" i="1"/>
  <c r="BP631" i="1"/>
  <c r="BU631" i="1"/>
  <c r="BG631" i="1" l="1"/>
  <c r="BD632" i="1" s="1"/>
  <c r="BF631" i="1"/>
  <c r="AZ632" i="1" l="1"/>
  <c r="BC632" i="1"/>
  <c r="BA632" i="1"/>
  <c r="BJ632" i="1" l="1"/>
  <c r="BP632" i="1"/>
  <c r="BK632" i="1"/>
  <c r="BG632" i="1" s="1"/>
  <c r="BD633" i="1" s="1"/>
  <c r="BU632" i="1"/>
  <c r="BO632" i="1"/>
  <c r="BF632" i="1" s="1"/>
  <c r="BC633" i="1" s="1"/>
  <c r="BT632" i="1"/>
  <c r="AZ633" i="1" l="1"/>
  <c r="BA633" i="1"/>
  <c r="BO633" i="1" l="1"/>
  <c r="BK633" i="1"/>
  <c r="BP633" i="1"/>
  <c r="BU633" i="1"/>
  <c r="BT633" i="1"/>
  <c r="BJ633" i="1"/>
  <c r="BF633" i="1" s="1"/>
  <c r="BC634" i="1" l="1"/>
  <c r="AZ634" i="1"/>
  <c r="BG633" i="1"/>
  <c r="BD634" i="1" s="1"/>
  <c r="BA634" i="1" l="1"/>
  <c r="BU634" i="1" l="1"/>
  <c r="BK634" i="1"/>
  <c r="BP634" i="1"/>
  <c r="BO634" i="1"/>
  <c r="BT634" i="1"/>
  <c r="BJ634" i="1"/>
  <c r="BF634" i="1" l="1"/>
  <c r="BG634" i="1"/>
  <c r="BD635" i="1" s="1"/>
  <c r="BA635" i="1" l="1"/>
  <c r="AZ635" i="1"/>
  <c r="BC635" i="1"/>
  <c r="BT635" i="1" l="1"/>
  <c r="BJ635" i="1"/>
  <c r="BO635" i="1"/>
  <c r="BK635" i="1"/>
  <c r="BU635" i="1"/>
  <c r="BP635" i="1"/>
  <c r="BF635" i="1" l="1"/>
  <c r="BG635" i="1"/>
  <c r="BD636" i="1" s="1"/>
  <c r="BC636" i="1" l="1"/>
  <c r="AZ636" i="1"/>
  <c r="BA636" i="1"/>
  <c r="BU636" i="1" l="1"/>
  <c r="BP636" i="1"/>
  <c r="BT636" i="1"/>
  <c r="BK636" i="1"/>
  <c r="BG636" i="1" s="1"/>
  <c r="BD637" i="1" s="1"/>
  <c r="BJ636" i="1"/>
  <c r="BO636" i="1"/>
  <c r="BA637" i="1" l="1"/>
  <c r="BF636" i="1"/>
  <c r="BC637" i="1" l="1"/>
  <c r="AZ637" i="1"/>
  <c r="BJ637" i="1" l="1"/>
  <c r="BU637" i="1"/>
  <c r="BK637" i="1"/>
  <c r="BO637" i="1"/>
  <c r="BP637" i="1"/>
  <c r="BT637" i="1"/>
  <c r="BF637" i="1" l="1"/>
  <c r="BC638" i="1"/>
  <c r="AZ638" i="1"/>
  <c r="BG637" i="1"/>
  <c r="BD638" i="1" s="1"/>
  <c r="BA638" i="1" l="1"/>
  <c r="BJ638" i="1" s="1"/>
  <c r="BO638" i="1"/>
  <c r="BT638" i="1"/>
  <c r="BF638" i="1" l="1"/>
  <c r="BK638" i="1"/>
  <c r="BP638" i="1"/>
  <c r="BG638" i="1" s="1"/>
  <c r="BD639" i="1" s="1"/>
  <c r="BU638" i="1"/>
  <c r="BA639" i="1" l="1"/>
  <c r="AZ639" i="1"/>
  <c r="BC639" i="1"/>
  <c r="BK639" i="1" l="1"/>
  <c r="BT639" i="1"/>
  <c r="BO639" i="1"/>
  <c r="BJ639" i="1"/>
  <c r="BF639" i="1" s="1"/>
  <c r="AZ640" i="1" s="1"/>
  <c r="BU639" i="1"/>
  <c r="BP639" i="1"/>
  <c r="BG639" i="1" l="1"/>
  <c r="BD640" i="1" s="1"/>
  <c r="BA640" i="1"/>
  <c r="BT640" i="1" s="1"/>
  <c r="BC640" i="1"/>
  <c r="BP640" i="1" l="1"/>
  <c r="BK640" i="1"/>
  <c r="BU640" i="1"/>
  <c r="BJ640" i="1"/>
  <c r="BO640" i="1"/>
  <c r="BG640" i="1" l="1"/>
  <c r="BD641" i="1" s="1"/>
  <c r="BF640" i="1"/>
  <c r="AZ641" i="1" l="1"/>
  <c r="BC641" i="1"/>
  <c r="BA641" i="1"/>
  <c r="BK641" i="1" l="1"/>
  <c r="BP641" i="1"/>
  <c r="BU641" i="1"/>
  <c r="BO641" i="1"/>
  <c r="BJ641" i="1"/>
  <c r="BT641" i="1"/>
  <c r="BF641" i="1" l="1"/>
  <c r="BG641" i="1"/>
  <c r="BD642" i="1" s="1"/>
  <c r="BA642" i="1" l="1"/>
  <c r="AZ642" i="1"/>
  <c r="BC642" i="1"/>
  <c r="BJ642" i="1" l="1"/>
  <c r="BO642" i="1"/>
  <c r="BT642" i="1"/>
  <c r="BU642" i="1"/>
  <c r="BP642" i="1"/>
  <c r="BK642" i="1"/>
  <c r="BG642" i="1" s="1"/>
  <c r="BD643" i="1" s="1"/>
  <c r="BA643" i="1" l="1"/>
  <c r="BF642" i="1"/>
  <c r="AZ643" i="1" l="1"/>
  <c r="BC643" i="1"/>
  <c r="BK643" i="1" l="1"/>
  <c r="BU643" i="1"/>
  <c r="BP643" i="1"/>
  <c r="BJ643" i="1"/>
  <c r="BO643" i="1"/>
  <c r="BT643" i="1"/>
  <c r="BF643" i="1" l="1"/>
  <c r="AZ644" i="1" s="1"/>
  <c r="BC644" i="1"/>
  <c r="BG643" i="1"/>
  <c r="BD644" i="1" s="1"/>
  <c r="BA644" i="1" l="1"/>
  <c r="BK644" i="1" l="1"/>
  <c r="BP644" i="1"/>
  <c r="BU644" i="1"/>
  <c r="BG644" i="1" s="1"/>
  <c r="BD645" i="1" s="1"/>
  <c r="BT644" i="1"/>
  <c r="BJ644" i="1"/>
  <c r="BO644" i="1"/>
  <c r="BA645" i="1" l="1"/>
  <c r="BF644" i="1"/>
  <c r="AZ645" i="1" l="1"/>
  <c r="BC645" i="1"/>
  <c r="BP645" i="1" l="1"/>
  <c r="BO645" i="1"/>
  <c r="BT645" i="1"/>
  <c r="BJ645" i="1"/>
  <c r="BK645" i="1"/>
  <c r="BU645" i="1"/>
  <c r="BG645" i="1" l="1"/>
  <c r="BD646" i="1" s="1"/>
  <c r="BF645" i="1"/>
  <c r="AZ646" i="1" l="1"/>
  <c r="BC646" i="1"/>
  <c r="BA646" i="1"/>
  <c r="BP646" i="1" l="1"/>
  <c r="BK646" i="1"/>
  <c r="BU646" i="1"/>
  <c r="BT646" i="1"/>
  <c r="BO646" i="1"/>
  <c r="BJ646" i="1"/>
  <c r="BF646" i="1" s="1"/>
  <c r="AZ647" i="1" s="1"/>
  <c r="BC647" i="1" l="1"/>
  <c r="BG646" i="1"/>
  <c r="BD647" i="1" s="1"/>
  <c r="BA647" i="1" l="1"/>
  <c r="BT647" i="1" l="1"/>
  <c r="BJ647" i="1"/>
  <c r="BK647" i="1"/>
  <c r="BU647" i="1"/>
  <c r="BO647" i="1"/>
  <c r="BP647" i="1"/>
  <c r="BG647" i="1" l="1"/>
  <c r="BD648" i="1" s="1"/>
  <c r="BF647" i="1"/>
  <c r="AZ648" i="1" l="1"/>
  <c r="BC648" i="1"/>
  <c r="BA648" i="1"/>
  <c r="BK648" i="1" l="1"/>
  <c r="BP648" i="1"/>
  <c r="BU648" i="1"/>
  <c r="BJ648" i="1"/>
  <c r="BO648" i="1"/>
  <c r="BT648" i="1"/>
  <c r="BF648" i="1" l="1"/>
  <c r="BC649" i="1" s="1"/>
  <c r="AZ649" i="1"/>
  <c r="BG648" i="1"/>
  <c r="BD649" i="1" s="1"/>
  <c r="BA649" i="1" l="1"/>
  <c r="BK649" i="1" l="1"/>
  <c r="BP649" i="1"/>
  <c r="BU649" i="1"/>
  <c r="BT649" i="1"/>
  <c r="BO649" i="1"/>
  <c r="BJ649" i="1"/>
  <c r="BF649" i="1" s="1"/>
  <c r="AZ650" i="1" l="1"/>
  <c r="BC650" i="1"/>
  <c r="BG649" i="1"/>
  <c r="BD650" i="1" s="1"/>
  <c r="BA650" i="1" l="1"/>
  <c r="BJ650" i="1"/>
  <c r="BT650" i="1"/>
  <c r="BO650" i="1"/>
  <c r="BF650" i="1" l="1"/>
  <c r="BP650" i="1"/>
  <c r="BU650" i="1"/>
  <c r="BK650" i="1"/>
  <c r="BG650" i="1" s="1"/>
  <c r="BD651" i="1" s="1"/>
  <c r="BA651" i="1" l="1"/>
  <c r="AZ651" i="1"/>
  <c r="BC651" i="1"/>
  <c r="BO651" i="1" l="1"/>
  <c r="BT651" i="1"/>
  <c r="BJ651" i="1"/>
  <c r="BF651" i="1" s="1"/>
  <c r="AZ652" i="1" s="1"/>
  <c r="BK651" i="1"/>
  <c r="BU651" i="1"/>
  <c r="BP651" i="1"/>
  <c r="BG651" i="1" l="1"/>
  <c r="BD652" i="1" s="1"/>
  <c r="BC652" i="1"/>
  <c r="BA652" i="1" l="1"/>
  <c r="BK652" i="1" l="1"/>
  <c r="BP652" i="1"/>
  <c r="BU652" i="1"/>
  <c r="BT652" i="1"/>
  <c r="BO652" i="1"/>
  <c r="BJ652" i="1"/>
  <c r="BF652" i="1" s="1"/>
  <c r="AZ653" i="1" l="1"/>
  <c r="BC653" i="1"/>
  <c r="BG652" i="1"/>
  <c r="BD653" i="1" s="1"/>
  <c r="BA653" i="1" l="1"/>
  <c r="BO653" i="1" s="1"/>
  <c r="BT653" i="1"/>
  <c r="BJ653" i="1"/>
  <c r="BF653" i="1" l="1"/>
  <c r="AZ654" i="1"/>
  <c r="BC654" i="1"/>
  <c r="BK653" i="1"/>
  <c r="BP653" i="1"/>
  <c r="BU653" i="1"/>
  <c r="BG653" i="1" l="1"/>
  <c r="BD654" i="1" s="1"/>
  <c r="BA654" i="1" l="1"/>
  <c r="BK654" i="1" l="1"/>
  <c r="BU654" i="1"/>
  <c r="BP654" i="1"/>
  <c r="BJ654" i="1"/>
  <c r="BT654" i="1"/>
  <c r="BO654" i="1"/>
  <c r="BG654" i="1" l="1"/>
  <c r="BD655" i="1" s="1"/>
  <c r="BF654" i="1"/>
  <c r="AZ655" i="1" l="1"/>
  <c r="BC655" i="1"/>
  <c r="BA655" i="1"/>
  <c r="BK655" i="1" l="1"/>
  <c r="BP655" i="1"/>
  <c r="BU655" i="1"/>
  <c r="BO655" i="1"/>
  <c r="BJ655" i="1"/>
  <c r="BT655" i="1"/>
  <c r="BF655" i="1" l="1"/>
  <c r="AZ656" i="1" s="1"/>
  <c r="BC656" i="1"/>
  <c r="BG655" i="1"/>
  <c r="BD656" i="1" s="1"/>
  <c r="BA656" i="1" l="1"/>
  <c r="BP656" i="1" l="1"/>
  <c r="BK656" i="1"/>
  <c r="BG656" i="1" s="1"/>
  <c r="BD657" i="1" s="1"/>
  <c r="BU656" i="1"/>
  <c r="BJ656" i="1"/>
  <c r="BO656" i="1"/>
  <c r="BT656" i="1"/>
  <c r="BA657" i="1" l="1"/>
  <c r="BF656" i="1"/>
  <c r="AZ657" i="1" l="1"/>
  <c r="BC657" i="1"/>
  <c r="BU657" i="1"/>
  <c r="BK657" i="1"/>
  <c r="BP657" i="1"/>
  <c r="BG657" i="1" l="1"/>
  <c r="BD658" i="1" s="1"/>
  <c r="BA658" i="1"/>
  <c r="BJ657" i="1"/>
  <c r="BO657" i="1"/>
  <c r="BT657" i="1"/>
  <c r="BF657" i="1" l="1"/>
  <c r="BC658" i="1" l="1"/>
  <c r="AZ658" i="1"/>
  <c r="BT658" i="1" l="1"/>
  <c r="BJ658" i="1"/>
  <c r="BO658" i="1"/>
  <c r="BK658" i="1"/>
  <c r="BP658" i="1"/>
  <c r="BU658" i="1"/>
  <c r="BG658" i="1" l="1"/>
  <c r="BD659" i="1" s="1"/>
  <c r="BF658" i="1"/>
  <c r="BC659" i="1" l="1"/>
  <c r="AZ659" i="1"/>
  <c r="BA659" i="1"/>
  <c r="BU659" i="1" l="1"/>
  <c r="BT659" i="1"/>
  <c r="BO659" i="1"/>
  <c r="BJ659" i="1"/>
  <c r="BK659" i="1"/>
  <c r="BP659" i="1"/>
  <c r="BF659" i="1" l="1"/>
  <c r="BG659" i="1"/>
  <c r="BD660" i="1" s="1"/>
  <c r="BA660" i="1" l="1"/>
  <c r="BC660" i="1"/>
  <c r="AZ660" i="1"/>
  <c r="BT660" i="1" l="1"/>
  <c r="BJ660" i="1"/>
  <c r="BO660" i="1"/>
  <c r="BK660" i="1"/>
  <c r="BU660" i="1"/>
  <c r="BP660" i="1"/>
  <c r="BG660" i="1" l="1"/>
  <c r="BD661" i="1" s="1"/>
  <c r="BF660" i="1"/>
  <c r="BC661" i="1" l="1"/>
  <c r="AZ661" i="1"/>
  <c r="BA661" i="1"/>
  <c r="BU661" i="1" l="1"/>
  <c r="BP661" i="1"/>
  <c r="BK661" i="1"/>
  <c r="BT661" i="1"/>
  <c r="BO661" i="1"/>
  <c r="BJ661" i="1"/>
  <c r="BF661" i="1" l="1"/>
  <c r="BC662" i="1" s="1"/>
  <c r="AZ662" i="1"/>
  <c r="BG661" i="1"/>
  <c r="BD662" i="1" s="1"/>
  <c r="BA662" i="1" l="1"/>
  <c r="BO662" i="1" s="1"/>
  <c r="BJ662" i="1"/>
  <c r="BT662" i="1"/>
  <c r="BF662" i="1" l="1"/>
  <c r="BP662" i="1"/>
  <c r="BK662" i="1"/>
  <c r="BU662" i="1"/>
  <c r="BG662" i="1" l="1"/>
  <c r="BD663" i="1" s="1"/>
  <c r="BA663" i="1"/>
  <c r="BC663" i="1"/>
  <c r="AZ663" i="1"/>
  <c r="BT663" i="1" l="1"/>
  <c r="BJ663" i="1"/>
  <c r="BO663" i="1"/>
  <c r="BP663" i="1"/>
  <c r="BK663" i="1"/>
  <c r="BU663" i="1"/>
  <c r="BG663" i="1" l="1"/>
  <c r="BD664" i="1" s="1"/>
  <c r="BF663" i="1"/>
  <c r="AZ664" i="1" s="1"/>
  <c r="BA664" i="1"/>
  <c r="BC664" i="1"/>
  <c r="BK664" i="1" l="1"/>
  <c r="BP664" i="1"/>
  <c r="BU664" i="1"/>
  <c r="BJ664" i="1"/>
  <c r="BT664" i="1"/>
  <c r="BO664" i="1"/>
  <c r="BF664" i="1" l="1"/>
  <c r="AZ665" i="1" s="1"/>
  <c r="BG664" i="1"/>
  <c r="BD665" i="1" s="1"/>
  <c r="BC665" i="1"/>
  <c r="BA665" i="1" l="1"/>
  <c r="BU665" i="1" l="1"/>
  <c r="BK665" i="1"/>
  <c r="BP665" i="1"/>
  <c r="BJ665" i="1"/>
  <c r="BT665" i="1"/>
  <c r="BO665" i="1"/>
  <c r="BF665" i="1" l="1"/>
  <c r="BG665" i="1"/>
  <c r="BD666" i="1" s="1"/>
  <c r="BA666" i="1" l="1"/>
  <c r="AZ666" i="1"/>
  <c r="BC666" i="1"/>
  <c r="BJ666" i="1" l="1"/>
  <c r="BT666" i="1"/>
  <c r="BO666" i="1"/>
  <c r="BP666" i="1"/>
  <c r="BU666" i="1"/>
  <c r="BK666" i="1"/>
  <c r="BG666" i="1" l="1"/>
  <c r="BD667" i="1" s="1"/>
  <c r="BA667" i="1"/>
  <c r="BF666" i="1"/>
  <c r="AZ667" i="1" l="1"/>
  <c r="BC667" i="1"/>
  <c r="BK667" i="1"/>
  <c r="BP667" i="1"/>
  <c r="BU667" i="1"/>
  <c r="BG667" i="1" l="1"/>
  <c r="BD668" i="1" s="1"/>
  <c r="BJ667" i="1"/>
  <c r="BO667" i="1"/>
  <c r="BT667" i="1"/>
  <c r="BA668" i="1" l="1"/>
  <c r="BF667" i="1"/>
  <c r="BC668" i="1" l="1"/>
  <c r="AZ668" i="1"/>
  <c r="BT668" i="1" l="1"/>
  <c r="BJ668" i="1"/>
  <c r="BO668" i="1"/>
  <c r="BU668" i="1"/>
  <c r="BK668" i="1"/>
  <c r="BP668" i="1"/>
  <c r="BF668" i="1" l="1"/>
  <c r="BG668" i="1"/>
  <c r="BD669" i="1" s="1"/>
  <c r="BA669" i="1" l="1"/>
  <c r="BC669" i="1"/>
  <c r="AZ669" i="1"/>
  <c r="BT669" i="1" l="1"/>
  <c r="BJ669" i="1"/>
  <c r="BF669" i="1" s="1"/>
  <c r="BC670" i="1" s="1"/>
  <c r="BO669" i="1"/>
  <c r="BP669" i="1"/>
  <c r="BK669" i="1"/>
  <c r="BU669" i="1"/>
  <c r="BG669" i="1" l="1"/>
  <c r="BD670" i="1" s="1"/>
  <c r="AZ670" i="1"/>
  <c r="BA670" i="1"/>
  <c r="BT670" i="1" l="1"/>
  <c r="BP670" i="1"/>
  <c r="BU670" i="1"/>
  <c r="BK670" i="1"/>
  <c r="BJ670" i="1"/>
  <c r="BO670" i="1"/>
  <c r="BF670" i="1" l="1"/>
  <c r="BC671" i="1" s="1"/>
  <c r="BG670" i="1"/>
  <c r="BD671" i="1" s="1"/>
  <c r="AZ671" i="1"/>
  <c r="BA671" i="1" l="1"/>
  <c r="BJ671" i="1" s="1"/>
  <c r="BP671" i="1" l="1"/>
  <c r="BK671" i="1"/>
  <c r="BU671" i="1"/>
  <c r="BG671" i="1" s="1"/>
  <c r="BD672" i="1" s="1"/>
  <c r="BT671" i="1"/>
  <c r="BO671" i="1"/>
  <c r="BF671" i="1" s="1"/>
  <c r="AZ672" i="1" l="1"/>
  <c r="BC672" i="1"/>
  <c r="BA672" i="1"/>
  <c r="BP672" i="1" l="1"/>
  <c r="BU672" i="1"/>
  <c r="BK672" i="1"/>
  <c r="BG672" i="1" s="1"/>
  <c r="BD673" i="1" s="1"/>
  <c r="BO672" i="1"/>
  <c r="BJ672" i="1"/>
  <c r="BT672" i="1"/>
  <c r="BF672" i="1" l="1"/>
  <c r="BA673" i="1"/>
  <c r="BC673" i="1" l="1"/>
  <c r="AZ673" i="1"/>
  <c r="BK673" i="1" s="1"/>
  <c r="BU673" i="1" l="1"/>
  <c r="BO673" i="1"/>
  <c r="BJ673" i="1"/>
  <c r="BF673" i="1" s="1"/>
  <c r="BC674" i="1" s="1"/>
  <c r="BT673" i="1"/>
  <c r="BP673" i="1"/>
  <c r="AZ674" i="1" l="1"/>
  <c r="BG673" i="1"/>
  <c r="BD674" i="1" s="1"/>
  <c r="BA674" i="1" l="1"/>
  <c r="BK674" i="1" s="1"/>
  <c r="BJ674" i="1"/>
  <c r="BF674" i="1" s="1"/>
  <c r="BT674" i="1"/>
  <c r="BO674" i="1"/>
  <c r="AZ675" i="1" l="1"/>
  <c r="BC675" i="1"/>
  <c r="BU674" i="1"/>
  <c r="BP674" i="1"/>
  <c r="BG674" i="1" l="1"/>
  <c r="BD675" i="1" s="1"/>
  <c r="BA675" i="1"/>
  <c r="BJ675" i="1" s="1"/>
  <c r="BF675" i="1" s="1"/>
  <c r="AZ676" i="1" s="1"/>
  <c r="BT675" i="1"/>
  <c r="BO675" i="1"/>
  <c r="BC676" i="1" l="1"/>
  <c r="BK675" i="1"/>
  <c r="BU675" i="1"/>
  <c r="BP675" i="1"/>
  <c r="BG675" i="1" l="1"/>
  <c r="BD676" i="1" s="1"/>
  <c r="BA676" i="1" l="1"/>
  <c r="BU676" i="1" l="1"/>
  <c r="BK676" i="1"/>
  <c r="BP676" i="1"/>
  <c r="BJ676" i="1"/>
  <c r="BO676" i="1"/>
  <c r="BT676" i="1"/>
  <c r="BF676" i="1" l="1"/>
  <c r="BC677" i="1"/>
  <c r="AZ677" i="1"/>
  <c r="BG676" i="1"/>
  <c r="BD677" i="1" s="1"/>
  <c r="BA677" i="1" l="1"/>
  <c r="BP677" i="1" l="1"/>
  <c r="BU677" i="1"/>
  <c r="BK677" i="1"/>
  <c r="BG677" i="1" s="1"/>
  <c r="BD678" i="1" s="1"/>
  <c r="BJ677" i="1"/>
  <c r="BO677" i="1"/>
  <c r="BT677" i="1"/>
  <c r="BF677" i="1" l="1"/>
  <c r="BA678" i="1"/>
  <c r="AZ678" i="1" l="1"/>
  <c r="BU678" i="1" s="1"/>
  <c r="BC678" i="1"/>
  <c r="BJ678" i="1" l="1"/>
  <c r="BT678" i="1"/>
  <c r="BO678" i="1"/>
  <c r="BK678" i="1"/>
  <c r="BP678" i="1"/>
  <c r="BF678" i="1" l="1"/>
  <c r="BG678" i="1"/>
  <c r="BD679" i="1" s="1"/>
  <c r="BA679" i="1" l="1"/>
  <c r="BC679" i="1"/>
  <c r="AZ679" i="1"/>
  <c r="BK679" i="1" l="1"/>
  <c r="BP679" i="1"/>
  <c r="BU679" i="1"/>
  <c r="BT679" i="1"/>
  <c r="BO679" i="1"/>
  <c r="BJ679" i="1"/>
  <c r="BF679" i="1" s="1"/>
  <c r="BC680" i="1" s="1"/>
  <c r="AZ680" i="1" l="1"/>
  <c r="BG679" i="1"/>
  <c r="BD680" i="1" s="1"/>
  <c r="BA680" i="1" l="1"/>
  <c r="BT680" i="1" s="1"/>
  <c r="BU680" i="1" l="1"/>
  <c r="BP680" i="1"/>
  <c r="BK680" i="1"/>
  <c r="BG680" i="1" s="1"/>
  <c r="BD681" i="1" s="1"/>
  <c r="BO680" i="1"/>
  <c r="BJ680" i="1"/>
  <c r="BF680" i="1" s="1"/>
  <c r="BC681" i="1" l="1"/>
  <c r="AZ681" i="1"/>
  <c r="BA681" i="1"/>
  <c r="BO681" i="1" l="1"/>
  <c r="BT681" i="1"/>
  <c r="BJ681" i="1"/>
  <c r="BF681" i="1" s="1"/>
  <c r="BC682" i="1" s="1"/>
  <c r="BP681" i="1"/>
  <c r="BU681" i="1"/>
  <c r="BK681" i="1"/>
  <c r="BG681" i="1" s="1"/>
  <c r="BD682" i="1" s="1"/>
  <c r="BA682" i="1" l="1"/>
  <c r="AZ682" i="1"/>
  <c r="BT682" i="1" l="1"/>
  <c r="BJ682" i="1"/>
  <c r="BO682" i="1"/>
  <c r="BU682" i="1"/>
  <c r="BP682" i="1"/>
  <c r="BK682" i="1"/>
  <c r="BG682" i="1" l="1"/>
  <c r="BD683" i="1" s="1"/>
  <c r="BA683" i="1"/>
  <c r="BF682" i="1"/>
  <c r="BC683" i="1" l="1"/>
  <c r="AZ683" i="1"/>
  <c r="BU683" i="1" s="1"/>
  <c r="BK683" i="1" l="1"/>
  <c r="BP683" i="1"/>
  <c r="BG683" i="1" s="1"/>
  <c r="BD684" i="1" s="1"/>
  <c r="BT683" i="1"/>
  <c r="BO683" i="1"/>
  <c r="BJ683" i="1"/>
  <c r="BF683" i="1" l="1"/>
  <c r="BA684" i="1"/>
  <c r="BC684" i="1" l="1"/>
  <c r="AZ684" i="1"/>
  <c r="BO684" i="1" l="1"/>
  <c r="BT684" i="1"/>
  <c r="BJ684" i="1"/>
  <c r="BF684" i="1" s="1"/>
  <c r="BC685" i="1" s="1"/>
  <c r="BU684" i="1"/>
  <c r="BK684" i="1"/>
  <c r="BP684" i="1"/>
  <c r="AZ685" i="1" l="1"/>
  <c r="BG684" i="1"/>
  <c r="BD685" i="1" s="1"/>
  <c r="BA685" i="1" l="1"/>
  <c r="BT685" i="1"/>
  <c r="BO685" i="1"/>
  <c r="BJ685" i="1"/>
  <c r="BF685" i="1" l="1"/>
  <c r="BC686" i="1" s="1"/>
  <c r="AZ686" i="1"/>
  <c r="BK685" i="1"/>
  <c r="BP685" i="1"/>
  <c r="BU685" i="1"/>
  <c r="BG685" i="1" l="1"/>
  <c r="BD686" i="1" s="1"/>
  <c r="BA686" i="1" l="1"/>
  <c r="BP686" i="1" l="1"/>
  <c r="BK686" i="1"/>
  <c r="BU686" i="1"/>
  <c r="BJ686" i="1"/>
  <c r="BO686" i="1"/>
  <c r="BT686" i="1"/>
  <c r="BF686" i="1" l="1"/>
  <c r="BG686" i="1"/>
  <c r="BD687" i="1" s="1"/>
  <c r="BA687" i="1" l="1"/>
  <c r="BC687" i="1"/>
  <c r="AZ687" i="1"/>
  <c r="BK687" i="1" l="1"/>
  <c r="BU687" i="1"/>
  <c r="BP687" i="1"/>
  <c r="BT687" i="1"/>
  <c r="BJ687" i="1"/>
  <c r="BO687" i="1"/>
  <c r="BF687" i="1" l="1"/>
  <c r="BG687" i="1"/>
  <c r="BD688" i="1" s="1"/>
  <c r="BC688" i="1" l="1"/>
  <c r="AZ688" i="1"/>
  <c r="BA688" i="1"/>
  <c r="BU688" i="1" l="1"/>
  <c r="BK688" i="1"/>
  <c r="BP688" i="1"/>
  <c r="BO688" i="1"/>
  <c r="BT688" i="1"/>
  <c r="BJ688" i="1"/>
  <c r="BF688" i="1" l="1"/>
  <c r="BG688" i="1"/>
  <c r="BD689" i="1" s="1"/>
  <c r="BA689" i="1" l="1"/>
  <c r="BC689" i="1"/>
  <c r="AZ689" i="1"/>
  <c r="BJ689" i="1" l="1"/>
  <c r="BO689" i="1"/>
  <c r="BT689" i="1"/>
  <c r="BK689" i="1"/>
  <c r="BP689" i="1"/>
  <c r="BU689" i="1"/>
  <c r="BG689" i="1" l="1"/>
  <c r="BD690" i="1" s="1"/>
  <c r="BF689" i="1"/>
  <c r="BA690" i="1"/>
  <c r="BC690" i="1" l="1"/>
  <c r="AZ690" i="1"/>
  <c r="BJ690" i="1" l="1"/>
  <c r="BO690" i="1"/>
  <c r="BT690" i="1"/>
  <c r="BU690" i="1"/>
  <c r="BK690" i="1"/>
  <c r="BP690" i="1"/>
  <c r="BG690" i="1" l="1"/>
  <c r="BD691" i="1" s="1"/>
  <c r="BF690" i="1"/>
  <c r="BC691" i="1" l="1"/>
  <c r="AZ691" i="1"/>
  <c r="BA691" i="1"/>
  <c r="BO691" i="1" l="1"/>
  <c r="BJ691" i="1"/>
  <c r="BT691" i="1"/>
  <c r="BK691" i="1"/>
  <c r="BP691" i="1"/>
  <c r="BU691" i="1"/>
  <c r="BG691" i="1" l="1"/>
  <c r="BD692" i="1" s="1"/>
  <c r="BF691" i="1"/>
  <c r="BC692" i="1" l="1"/>
  <c r="AZ692" i="1"/>
  <c r="BA692" i="1"/>
  <c r="BT692" i="1" l="1"/>
  <c r="BJ692" i="1"/>
  <c r="BO692" i="1"/>
  <c r="BU692" i="1"/>
  <c r="BK692" i="1"/>
  <c r="BP692" i="1"/>
  <c r="BF692" i="1" l="1"/>
  <c r="BG692" i="1"/>
  <c r="BD693" i="1" s="1"/>
  <c r="BA693" i="1" l="1"/>
  <c r="BC693" i="1"/>
  <c r="AZ693" i="1"/>
  <c r="BU693" i="1" l="1"/>
  <c r="BK693" i="1"/>
  <c r="BP693" i="1"/>
  <c r="BT693" i="1"/>
  <c r="BO693" i="1"/>
  <c r="BJ693" i="1"/>
  <c r="BF693" i="1" s="1"/>
  <c r="BC694" i="1" s="1"/>
  <c r="AZ694" i="1" l="1"/>
  <c r="BG693" i="1"/>
  <c r="BD694" i="1" s="1"/>
  <c r="BA694" i="1" l="1"/>
  <c r="BK694" i="1" l="1"/>
  <c r="BP694" i="1"/>
  <c r="BU694" i="1"/>
  <c r="BT694" i="1"/>
  <c r="BO694" i="1"/>
  <c r="BJ694" i="1"/>
  <c r="BF694" i="1" s="1"/>
  <c r="BC695" i="1" l="1"/>
  <c r="AZ695" i="1"/>
  <c r="BG694" i="1"/>
  <c r="BD695" i="1" s="1"/>
  <c r="BA695" i="1" l="1"/>
  <c r="BU695" i="1" l="1"/>
  <c r="BK695" i="1"/>
  <c r="BP695" i="1"/>
  <c r="BO695" i="1"/>
  <c r="BJ695" i="1"/>
  <c r="BT695" i="1"/>
  <c r="BF695" i="1" l="1"/>
  <c r="BG695" i="1"/>
  <c r="BD696" i="1" s="1"/>
  <c r="BA696" i="1" l="1"/>
  <c r="AZ696" i="1"/>
  <c r="BC696" i="1"/>
  <c r="BJ696" i="1" l="1"/>
  <c r="BO696" i="1"/>
  <c r="BT696" i="1"/>
  <c r="BK696" i="1"/>
  <c r="BU696" i="1"/>
  <c r="BP696" i="1"/>
  <c r="BF696" i="1" l="1"/>
  <c r="BG696" i="1"/>
  <c r="BD697" i="1" s="1"/>
  <c r="BA697" i="1" l="1"/>
  <c r="BC697" i="1"/>
  <c r="AZ697" i="1"/>
  <c r="BT697" i="1" l="1"/>
  <c r="BJ697" i="1"/>
  <c r="BO697" i="1"/>
  <c r="BP697" i="1"/>
  <c r="BU697" i="1"/>
  <c r="BK697" i="1"/>
  <c r="BG697" i="1" s="1"/>
  <c r="BD698" i="1" s="1"/>
  <c r="BA698" i="1" l="1"/>
  <c r="BF697" i="1"/>
  <c r="BC698" i="1" l="1"/>
  <c r="AZ698" i="1"/>
  <c r="BO698" i="1" l="1"/>
  <c r="BT698" i="1"/>
  <c r="BJ698" i="1"/>
  <c r="BF698" i="1" s="1"/>
  <c r="AZ699" i="1" s="1"/>
  <c r="BP698" i="1"/>
  <c r="BK698" i="1"/>
  <c r="BU698" i="1"/>
  <c r="BG698" i="1" l="1"/>
  <c r="BD699" i="1" s="1"/>
  <c r="BA699" i="1"/>
  <c r="BJ699" i="1" s="1"/>
  <c r="BC699" i="1"/>
  <c r="BK699" i="1" l="1"/>
  <c r="BP699" i="1"/>
  <c r="BU699" i="1"/>
  <c r="BT699" i="1"/>
  <c r="BO699" i="1"/>
  <c r="BF699" i="1" l="1"/>
  <c r="AZ700" i="1"/>
  <c r="BC700" i="1"/>
  <c r="BG699" i="1"/>
  <c r="BD700" i="1" s="1"/>
  <c r="BA700" i="1" l="1"/>
  <c r="BT700" i="1" s="1"/>
  <c r="BJ700" i="1"/>
  <c r="BO700" i="1"/>
  <c r="BF700" i="1" l="1"/>
  <c r="BK700" i="1"/>
  <c r="BU700" i="1"/>
  <c r="BP700" i="1"/>
  <c r="BG700" i="1" l="1"/>
  <c r="BD701" i="1" s="1"/>
  <c r="BC701" i="1"/>
  <c r="AZ701" i="1"/>
  <c r="BA701" i="1" l="1"/>
  <c r="BP701" i="1" l="1"/>
  <c r="BK701" i="1"/>
  <c r="BU701" i="1"/>
  <c r="BJ701" i="1"/>
  <c r="BT701" i="1"/>
  <c r="BO701" i="1"/>
  <c r="BF701" i="1" l="1"/>
  <c r="BG701" i="1"/>
  <c r="BD702" i="1" s="1"/>
  <c r="BA702" i="1" l="1"/>
  <c r="AZ702" i="1"/>
  <c r="BC702" i="1"/>
  <c r="BJ702" i="1" l="1"/>
  <c r="BT702" i="1"/>
  <c r="BO702" i="1"/>
  <c r="BK702" i="1"/>
  <c r="BU702" i="1"/>
  <c r="BP702" i="1"/>
  <c r="BG702" i="1" l="1"/>
  <c r="BD703" i="1" s="1"/>
  <c r="BF702" i="1"/>
  <c r="BA703" i="1"/>
  <c r="BC703" i="1" l="1"/>
  <c r="AZ703" i="1"/>
  <c r="BO703" i="1" l="1"/>
  <c r="BT703" i="1"/>
  <c r="BJ703" i="1"/>
  <c r="BF703" i="1" s="1"/>
  <c r="AZ704" i="1" s="1"/>
  <c r="BK703" i="1"/>
  <c r="BP703" i="1"/>
  <c r="BU703" i="1"/>
  <c r="BC704" i="1" l="1"/>
  <c r="BG703" i="1"/>
  <c r="BD704" i="1" s="1"/>
  <c r="BA704" i="1" l="1"/>
  <c r="BU704" i="1" l="1"/>
  <c r="BP704" i="1"/>
  <c r="BK704" i="1"/>
  <c r="BG704" i="1" s="1"/>
  <c r="BO704" i="1"/>
  <c r="BJ704" i="1"/>
  <c r="BT704" i="1"/>
  <c r="BA705" i="1" l="1"/>
  <c r="BD705" i="1"/>
  <c r="BF704" i="1"/>
  <c r="AZ705" i="1" l="1"/>
  <c r="BC705" i="1"/>
  <c r="BO705" i="1" l="1"/>
  <c r="BJ705" i="1"/>
  <c r="BT705" i="1"/>
  <c r="BU705" i="1"/>
  <c r="BK705" i="1"/>
  <c r="BP705" i="1"/>
  <c r="BG705" i="1" l="1"/>
  <c r="BD706" i="1" s="1"/>
  <c r="BF705" i="1"/>
  <c r="BC706" i="1" l="1"/>
  <c r="AZ706" i="1"/>
  <c r="BA706" i="1"/>
  <c r="BT706" i="1" l="1"/>
  <c r="BO706" i="1"/>
  <c r="BJ706" i="1"/>
  <c r="BF706" i="1" s="1"/>
  <c r="BC707" i="1" s="1"/>
  <c r="BU706" i="1"/>
  <c r="BK706" i="1"/>
  <c r="BP706" i="1"/>
  <c r="BG706" i="1" l="1"/>
  <c r="BD707" i="1" s="1"/>
  <c r="BA707" i="1"/>
  <c r="AZ707" i="1"/>
  <c r="BT707" i="1" l="1"/>
  <c r="BJ707" i="1"/>
  <c r="BO707" i="1"/>
  <c r="BU707" i="1"/>
  <c r="BP707" i="1"/>
  <c r="BK707" i="1"/>
  <c r="BG707" i="1" s="1"/>
  <c r="BD708" i="1" s="1"/>
  <c r="BA708" i="1" l="1"/>
  <c r="BF707" i="1"/>
  <c r="BC708" i="1" l="1"/>
  <c r="AZ708" i="1"/>
  <c r="BK708" i="1" s="1"/>
  <c r="BU708" i="1"/>
  <c r="BP708" i="1"/>
  <c r="BG708" i="1" l="1"/>
  <c r="BD709" i="1" s="1"/>
  <c r="BJ708" i="1"/>
  <c r="BO708" i="1"/>
  <c r="BT708" i="1"/>
  <c r="BF708" i="1" l="1"/>
  <c r="BA709" i="1"/>
  <c r="AZ709" i="1" l="1"/>
  <c r="BC709" i="1"/>
  <c r="BO709" i="1" l="1"/>
  <c r="BJ709" i="1"/>
  <c r="BT709" i="1"/>
  <c r="BU709" i="1"/>
  <c r="BK709" i="1"/>
  <c r="BP709" i="1"/>
  <c r="BF709" i="1" l="1"/>
  <c r="BG709" i="1"/>
  <c r="BD710" i="1" s="1"/>
  <c r="BA710" i="1" l="1"/>
  <c r="AZ710" i="1"/>
  <c r="BC710" i="1"/>
  <c r="BT710" i="1" l="1"/>
  <c r="BO710" i="1"/>
  <c r="BJ710" i="1"/>
  <c r="BP710" i="1"/>
  <c r="BU710" i="1"/>
  <c r="BK710" i="1"/>
  <c r="BG710" i="1" l="1"/>
  <c r="BF710" i="1"/>
  <c r="BA711" i="1" l="1"/>
  <c r="BD711" i="1"/>
  <c r="AZ711" i="1"/>
  <c r="BC711" i="1"/>
  <c r="BT711" i="1" l="1"/>
  <c r="BJ711" i="1"/>
  <c r="BO711" i="1"/>
  <c r="BU711" i="1"/>
  <c r="BP711" i="1"/>
  <c r="BK711" i="1"/>
  <c r="BG711" i="1" l="1"/>
  <c r="BD712" i="1" s="1"/>
  <c r="BF711" i="1"/>
  <c r="BA712" i="1"/>
  <c r="BC712" i="1" l="1"/>
  <c r="AZ712" i="1"/>
  <c r="BJ712" i="1" s="1"/>
  <c r="BT712" i="1"/>
  <c r="BK712" i="1"/>
  <c r="BP712" i="1"/>
  <c r="BU712" i="1"/>
  <c r="BO712" i="1"/>
  <c r="BF712" i="1" s="1"/>
  <c r="BC713" i="1" l="1"/>
  <c r="AZ713" i="1"/>
  <c r="BG712" i="1"/>
  <c r="BD713" i="1" s="1"/>
  <c r="BA713" i="1" l="1"/>
  <c r="BO713" i="1" s="1"/>
  <c r="BU713" i="1" l="1"/>
  <c r="BK713" i="1"/>
  <c r="BP713" i="1"/>
  <c r="BJ713" i="1"/>
  <c r="BT713" i="1"/>
  <c r="BF713" i="1" l="1"/>
  <c r="BG713" i="1"/>
  <c r="BD714" i="1" s="1"/>
  <c r="BA714" i="1" l="1"/>
  <c r="AZ714" i="1"/>
  <c r="BC714" i="1"/>
  <c r="BK714" i="1" l="1"/>
  <c r="BU714" i="1"/>
  <c r="BP714" i="1"/>
  <c r="BT714" i="1"/>
  <c r="BJ714" i="1"/>
  <c r="BO714" i="1"/>
  <c r="BF714" i="1" l="1"/>
  <c r="BC715" i="1" s="1"/>
  <c r="AZ715" i="1"/>
  <c r="BG714" i="1"/>
  <c r="BD715" i="1" s="1"/>
  <c r="BA715" i="1" l="1"/>
  <c r="BK715" i="1" l="1"/>
  <c r="BU715" i="1"/>
  <c r="BP715" i="1"/>
  <c r="BT715" i="1"/>
  <c r="BO715" i="1"/>
  <c r="BJ715" i="1"/>
  <c r="BF715" i="1" l="1"/>
  <c r="BC716" i="1"/>
  <c r="AZ716" i="1"/>
  <c r="BG715" i="1"/>
  <c r="BD716" i="1" s="1"/>
  <c r="BA716" i="1" l="1"/>
  <c r="BU716" i="1" l="1"/>
  <c r="BK716" i="1"/>
  <c r="BP716" i="1"/>
  <c r="BJ716" i="1"/>
  <c r="BT716" i="1"/>
  <c r="BO716" i="1"/>
  <c r="BG716" i="1" l="1"/>
  <c r="BF716" i="1"/>
  <c r="BD717" i="1" l="1"/>
  <c r="BA717" i="1"/>
  <c r="AZ717" i="1"/>
  <c r="BC717" i="1"/>
  <c r="BT717" i="1" l="1"/>
  <c r="BJ717" i="1"/>
  <c r="BO717" i="1"/>
  <c r="BP717" i="1"/>
  <c r="BU717" i="1"/>
  <c r="BK717" i="1"/>
  <c r="BG717" i="1" s="1"/>
  <c r="BD718" i="1" s="1"/>
  <c r="BA718" i="1" l="1"/>
  <c r="BF717" i="1"/>
  <c r="BC718" i="1" l="1"/>
  <c r="AZ718" i="1"/>
  <c r="BO718" i="1" l="1"/>
  <c r="BT718" i="1"/>
  <c r="BJ718" i="1"/>
  <c r="BF718" i="1" s="1"/>
  <c r="AZ719" i="1" s="1"/>
  <c r="BU718" i="1"/>
  <c r="BP718" i="1"/>
  <c r="BK718" i="1"/>
  <c r="BG718" i="1" s="1"/>
  <c r="BD719" i="1" s="1"/>
  <c r="BC719" i="1" l="1"/>
  <c r="BA719" i="1"/>
  <c r="BT719" i="1" s="1"/>
  <c r="BO719" i="1"/>
  <c r="BJ719" i="1" l="1"/>
  <c r="BF719" i="1" s="1"/>
  <c r="BU719" i="1"/>
  <c r="BP719" i="1"/>
  <c r="BK719" i="1"/>
  <c r="BG719" i="1" s="1"/>
  <c r="BD720" i="1" s="1"/>
  <c r="BA720" i="1" l="1"/>
  <c r="AZ720" i="1"/>
  <c r="BC720" i="1"/>
  <c r="BT720" i="1" l="1"/>
  <c r="BO720" i="1"/>
  <c r="BJ720" i="1"/>
  <c r="BF720" i="1" s="1"/>
  <c r="AZ721" i="1" s="1"/>
  <c r="BU720" i="1"/>
  <c r="BP720" i="1"/>
  <c r="BK720" i="1"/>
  <c r="BG720" i="1" s="1"/>
  <c r="BD721" i="1" s="1"/>
  <c r="BC721" i="1" l="1"/>
  <c r="BA721" i="1"/>
  <c r="BJ721" i="1" s="1"/>
  <c r="BO721" i="1" l="1"/>
  <c r="BK721" i="1"/>
  <c r="BP721" i="1"/>
  <c r="BU721" i="1"/>
  <c r="BT721" i="1"/>
  <c r="BF721" i="1" l="1"/>
  <c r="AZ722" i="1"/>
  <c r="BC722" i="1"/>
  <c r="BG721" i="1"/>
  <c r="BD722" i="1" s="1"/>
  <c r="BA722" i="1" l="1"/>
  <c r="BO722" i="1"/>
  <c r="BJ722" i="1"/>
  <c r="BU722" i="1" l="1"/>
  <c r="BP722" i="1"/>
  <c r="BK722" i="1"/>
  <c r="BT722" i="1"/>
  <c r="BF722" i="1" s="1"/>
  <c r="BC723" i="1" l="1"/>
  <c r="AZ723" i="1"/>
  <c r="BG722" i="1"/>
  <c r="BD723" i="1" s="1"/>
  <c r="BA723" i="1" l="1"/>
  <c r="BU723" i="1" l="1"/>
  <c r="BK723" i="1"/>
  <c r="BP723" i="1"/>
  <c r="BO723" i="1"/>
  <c r="BT723" i="1"/>
  <c r="BJ723" i="1"/>
  <c r="BF723" i="1" s="1"/>
  <c r="BG723" i="1" l="1"/>
  <c r="BD724" i="1" s="1"/>
  <c r="AZ724" i="1"/>
  <c r="BC724" i="1"/>
  <c r="BA724" i="1" l="1"/>
  <c r="BT724" i="1" s="1"/>
  <c r="BP724" i="1" l="1"/>
  <c r="BK724" i="1"/>
  <c r="BG724" i="1" s="1"/>
  <c r="BD725" i="1" s="1"/>
  <c r="BU724" i="1"/>
  <c r="BO724" i="1"/>
  <c r="BJ724" i="1"/>
  <c r="BF724" i="1" s="1"/>
  <c r="BA725" i="1" l="1"/>
  <c r="AZ725" i="1"/>
  <c r="BC725" i="1"/>
  <c r="BP725" i="1" l="1"/>
  <c r="BK725" i="1"/>
  <c r="BG725" i="1" s="1"/>
  <c r="BD726" i="1" s="1"/>
  <c r="BU725" i="1"/>
  <c r="BT725" i="1"/>
  <c r="BJ725" i="1"/>
  <c r="BO725" i="1"/>
  <c r="BF725" i="1" l="1"/>
  <c r="BC726" i="1" s="1"/>
  <c r="BA726" i="1"/>
  <c r="AZ726" i="1"/>
  <c r="BK726" i="1" l="1"/>
  <c r="BP726" i="1"/>
  <c r="BU726" i="1"/>
  <c r="BJ726" i="1"/>
  <c r="BT726" i="1"/>
  <c r="BO726" i="1"/>
  <c r="BF726" i="1" l="1"/>
  <c r="BG726" i="1"/>
  <c r="BD727" i="1" s="1"/>
  <c r="BA727" i="1" l="1"/>
  <c r="BC727" i="1"/>
  <c r="AZ727" i="1"/>
  <c r="BP727" i="1" l="1"/>
  <c r="BK727" i="1"/>
  <c r="BU727" i="1"/>
  <c r="BG727" i="1" s="1"/>
  <c r="BJ727" i="1"/>
  <c r="BT727" i="1"/>
  <c r="BO727" i="1"/>
  <c r="BA728" i="1" l="1"/>
  <c r="BD728" i="1"/>
  <c r="BF727" i="1"/>
  <c r="BC728" i="1" l="1"/>
  <c r="AZ728" i="1"/>
  <c r="BT728" i="1" l="1"/>
  <c r="BO728" i="1"/>
  <c r="BJ728" i="1"/>
  <c r="BF728" i="1" s="1"/>
  <c r="AZ729" i="1" s="1"/>
  <c r="BK728" i="1"/>
  <c r="BP728" i="1"/>
  <c r="BU728" i="1"/>
  <c r="BC729" i="1"/>
  <c r="BG728" i="1" l="1"/>
  <c r="BD729" i="1" s="1"/>
  <c r="BA729" i="1" l="1"/>
  <c r="BK729" i="1" l="1"/>
  <c r="BP729" i="1"/>
  <c r="BU729" i="1"/>
  <c r="BT729" i="1"/>
  <c r="BJ729" i="1"/>
  <c r="BO729" i="1"/>
  <c r="BF729" i="1" l="1"/>
  <c r="BG729" i="1"/>
  <c r="BD730" i="1" s="1"/>
  <c r="BA730" i="1" l="1"/>
  <c r="AZ730" i="1"/>
  <c r="BC730" i="1"/>
  <c r="BT730" i="1" l="1"/>
  <c r="BJ730" i="1"/>
  <c r="BF730" i="1" s="1"/>
  <c r="BC731" i="1" s="1"/>
  <c r="BO730" i="1"/>
  <c r="BK730" i="1"/>
  <c r="BU730" i="1"/>
  <c r="BP730" i="1"/>
  <c r="BG730" i="1" l="1"/>
  <c r="BD731" i="1" s="1"/>
  <c r="AZ731" i="1"/>
  <c r="BA731" i="1" l="1"/>
  <c r="BJ731" i="1" s="1"/>
  <c r="BP731" i="1" l="1"/>
  <c r="BK731" i="1"/>
  <c r="BG731" i="1" s="1"/>
  <c r="BD732" i="1" s="1"/>
  <c r="BU731" i="1"/>
  <c r="BT731" i="1"/>
  <c r="BO731" i="1"/>
  <c r="BF731" i="1" s="1"/>
  <c r="BC732" i="1" l="1"/>
  <c r="AZ732" i="1"/>
  <c r="BA732" i="1"/>
  <c r="BT732" i="1" l="1"/>
  <c r="BJ732" i="1"/>
  <c r="BO732" i="1"/>
  <c r="BU732" i="1"/>
  <c r="BK732" i="1"/>
  <c r="BP732" i="1"/>
  <c r="BG732" i="1" l="1"/>
  <c r="BD733" i="1" s="1"/>
  <c r="BF732" i="1"/>
  <c r="BC733" i="1" l="1"/>
  <c r="AZ733" i="1"/>
  <c r="BA733" i="1"/>
  <c r="BJ733" i="1" l="1"/>
  <c r="BO733" i="1"/>
  <c r="BT733" i="1"/>
  <c r="BP733" i="1"/>
  <c r="BK733" i="1"/>
  <c r="BU733" i="1"/>
  <c r="BG733" i="1" l="1"/>
  <c r="BD734" i="1" s="1"/>
  <c r="BF733" i="1"/>
  <c r="BC734" i="1" l="1"/>
  <c r="AZ734" i="1"/>
  <c r="BA734" i="1"/>
  <c r="BO734" i="1" l="1"/>
  <c r="BT734" i="1"/>
  <c r="BJ734" i="1"/>
  <c r="BK734" i="1"/>
  <c r="BU734" i="1"/>
  <c r="BP734" i="1"/>
  <c r="BF734" i="1" l="1"/>
  <c r="AZ735" i="1" s="1"/>
  <c r="BG734" i="1"/>
  <c r="BD735" i="1" s="1"/>
  <c r="BC735" i="1"/>
  <c r="BA735" i="1" l="1"/>
  <c r="BK735" i="1" l="1"/>
  <c r="BP735" i="1"/>
  <c r="BU735" i="1"/>
  <c r="BT735" i="1"/>
  <c r="BO735" i="1"/>
  <c r="BJ735" i="1"/>
  <c r="BF735" i="1" l="1"/>
  <c r="BG735" i="1"/>
  <c r="BD736" i="1" s="1"/>
  <c r="BA736" i="1" l="1"/>
  <c r="AZ736" i="1"/>
  <c r="BC736" i="1"/>
  <c r="BT736" i="1" l="1"/>
  <c r="BO736" i="1"/>
  <c r="BJ736" i="1"/>
  <c r="BF736" i="1" s="1"/>
  <c r="AZ737" i="1" s="1"/>
  <c r="BU736" i="1"/>
  <c r="BP736" i="1"/>
  <c r="BK736" i="1"/>
  <c r="BC737" i="1" l="1"/>
  <c r="BG736" i="1"/>
  <c r="BD737" i="1" s="1"/>
  <c r="BA737" i="1" l="1"/>
  <c r="BP737" i="1" l="1"/>
  <c r="BK737" i="1"/>
  <c r="BU737" i="1"/>
  <c r="BJ737" i="1"/>
  <c r="BT737" i="1"/>
  <c r="BO737" i="1"/>
  <c r="BG737" i="1" l="1"/>
  <c r="BD738" i="1" s="1"/>
  <c r="BF737" i="1"/>
  <c r="BC738" i="1" l="1"/>
  <c r="AZ738" i="1"/>
  <c r="BA738" i="1"/>
  <c r="BJ738" i="1" l="1"/>
  <c r="BT738" i="1"/>
  <c r="BO738" i="1"/>
  <c r="BU738" i="1"/>
  <c r="BK738" i="1"/>
  <c r="BP738" i="1"/>
  <c r="BG738" i="1" l="1"/>
  <c r="BD739" i="1" s="1"/>
  <c r="BF738" i="1"/>
  <c r="BC739" i="1" l="1"/>
  <c r="AZ739" i="1"/>
  <c r="BA739" i="1"/>
  <c r="BJ739" i="1" l="1"/>
  <c r="BT739" i="1"/>
  <c r="BO739" i="1"/>
  <c r="BP739" i="1"/>
  <c r="BK739" i="1"/>
  <c r="BU739" i="1"/>
  <c r="BG739" i="1" l="1"/>
  <c r="BD740" i="1" s="1"/>
  <c r="BF739" i="1"/>
  <c r="BC740" i="1" l="1"/>
  <c r="AZ740" i="1"/>
  <c r="BA740" i="1"/>
  <c r="BJ740" i="1" l="1"/>
  <c r="BO740" i="1"/>
  <c r="BT740" i="1"/>
  <c r="BU740" i="1"/>
  <c r="BK740" i="1"/>
  <c r="BP740" i="1"/>
  <c r="BG740" i="1" l="1"/>
  <c r="BD741" i="1" s="1"/>
  <c r="BF740" i="1"/>
  <c r="BC741" i="1" l="1"/>
  <c r="AZ741" i="1"/>
  <c r="BA741" i="1"/>
  <c r="BU741" i="1" l="1"/>
  <c r="BP741" i="1"/>
  <c r="BK741" i="1"/>
  <c r="BG741" i="1" s="1"/>
  <c r="BD742" i="1" s="1"/>
  <c r="BT741" i="1"/>
  <c r="BO741" i="1"/>
  <c r="BJ741" i="1"/>
  <c r="BA742" i="1" l="1"/>
  <c r="BF741" i="1"/>
  <c r="AZ742" i="1" l="1"/>
  <c r="BC742" i="1"/>
  <c r="BO742" i="1" l="1"/>
  <c r="BT742" i="1"/>
  <c r="BJ742" i="1"/>
  <c r="BF742" i="1" s="1"/>
  <c r="BC743" i="1" s="1"/>
  <c r="BU742" i="1"/>
  <c r="BK742" i="1"/>
  <c r="BP742" i="1"/>
  <c r="BG742" i="1" l="1"/>
  <c r="BD743" i="1" s="1"/>
  <c r="BA743" i="1"/>
  <c r="AZ743" i="1"/>
  <c r="BT743" i="1" l="1"/>
  <c r="BO743" i="1"/>
  <c r="BJ743" i="1"/>
  <c r="BF743" i="1" s="1"/>
  <c r="BP743" i="1"/>
  <c r="BU743" i="1"/>
  <c r="BK743" i="1"/>
  <c r="BG743" i="1" s="1"/>
  <c r="BD744" i="1" s="1"/>
  <c r="BA744" i="1" l="1"/>
  <c r="AZ744" i="1"/>
  <c r="BC744" i="1"/>
  <c r="BO744" i="1" l="1"/>
  <c r="BT744" i="1"/>
  <c r="BJ744" i="1"/>
  <c r="BF744" i="1" s="1"/>
  <c r="BC745" i="1" s="1"/>
  <c r="BP744" i="1"/>
  <c r="BK744" i="1"/>
  <c r="BU744" i="1"/>
  <c r="AZ745" i="1" l="1"/>
  <c r="BG744" i="1"/>
  <c r="BD745" i="1" s="1"/>
  <c r="BA745" i="1" l="1"/>
  <c r="BP745" i="1" l="1"/>
  <c r="BK745" i="1"/>
  <c r="BU745" i="1"/>
  <c r="BJ745" i="1"/>
  <c r="BT745" i="1"/>
  <c r="BO745" i="1"/>
  <c r="BG745" i="1" l="1"/>
  <c r="BF745" i="1"/>
  <c r="BA746" i="1" l="1"/>
  <c r="BD746" i="1"/>
  <c r="BC746" i="1"/>
  <c r="AZ746" i="1"/>
  <c r="BJ746" i="1" l="1"/>
  <c r="BT746" i="1"/>
  <c r="BO746" i="1"/>
  <c r="BP746" i="1"/>
  <c r="BU746" i="1"/>
  <c r="BK746" i="1"/>
  <c r="BG746" i="1" l="1"/>
  <c r="BD747" i="1" s="1"/>
  <c r="BF746" i="1"/>
  <c r="BC747" i="1" l="1"/>
  <c r="AZ747" i="1"/>
  <c r="BA747" i="1"/>
  <c r="BT747" i="1" l="1"/>
  <c r="BO747" i="1"/>
  <c r="BJ747" i="1"/>
  <c r="BP747" i="1"/>
  <c r="BK747" i="1"/>
  <c r="BU747" i="1"/>
  <c r="BF747" i="1" l="1"/>
  <c r="BG747" i="1"/>
  <c r="BD748" i="1" s="1"/>
  <c r="BA748" i="1" l="1"/>
  <c r="BC748" i="1"/>
  <c r="AZ748" i="1"/>
  <c r="BU748" i="1" l="1"/>
  <c r="BK748" i="1"/>
  <c r="BP748" i="1"/>
  <c r="BO748" i="1"/>
  <c r="BJ748" i="1"/>
  <c r="BT748" i="1"/>
  <c r="BF748" i="1" l="1"/>
  <c r="BG748" i="1"/>
  <c r="BD749" i="1" s="1"/>
  <c r="BA749" i="1" l="1"/>
  <c r="BC749" i="1"/>
  <c r="AZ749" i="1"/>
  <c r="BP749" i="1" l="1"/>
  <c r="BU749" i="1"/>
  <c r="BK749" i="1"/>
  <c r="BG749" i="1" s="1"/>
  <c r="BD750" i="1" s="1"/>
  <c r="BJ749" i="1"/>
  <c r="BO749" i="1"/>
  <c r="BT749" i="1"/>
  <c r="BF749" i="1" l="1"/>
  <c r="BC750" i="1" s="1"/>
  <c r="AZ750" i="1"/>
  <c r="BA750" i="1"/>
  <c r="BT750" i="1" l="1"/>
  <c r="BO750" i="1"/>
  <c r="BJ750" i="1"/>
  <c r="BF750" i="1" s="1"/>
  <c r="BP750" i="1"/>
  <c r="BK750" i="1"/>
  <c r="BU750" i="1"/>
  <c r="BG750" i="1" l="1"/>
  <c r="BD751" i="1" s="1"/>
  <c r="BA751" i="1"/>
  <c r="AZ751" i="1"/>
  <c r="BC751" i="1"/>
  <c r="BO751" i="1" l="1"/>
  <c r="BT751" i="1"/>
  <c r="BJ751" i="1"/>
  <c r="BF751" i="1" s="1"/>
  <c r="AZ752" i="1" s="1"/>
  <c r="BK751" i="1"/>
  <c r="BU751" i="1"/>
  <c r="BP751" i="1"/>
  <c r="BG751" i="1" l="1"/>
  <c r="BD752" i="1" s="1"/>
  <c r="BC752" i="1"/>
  <c r="BA752" i="1" l="1"/>
  <c r="BP752" i="1" l="1"/>
  <c r="BK752" i="1"/>
  <c r="BU752" i="1"/>
  <c r="BO752" i="1"/>
  <c r="BT752" i="1"/>
  <c r="BJ752" i="1"/>
  <c r="BF752" i="1" l="1"/>
  <c r="BG752" i="1"/>
  <c r="BD753" i="1" s="1"/>
  <c r="BA753" i="1" l="1"/>
  <c r="BC753" i="1"/>
  <c r="AZ753" i="1"/>
  <c r="BK753" i="1" l="1"/>
  <c r="BU753" i="1"/>
  <c r="BP753" i="1"/>
  <c r="BJ753" i="1"/>
  <c r="BT753" i="1"/>
  <c r="BO753" i="1"/>
  <c r="BF753" i="1" l="1"/>
  <c r="BG753" i="1"/>
  <c r="BD754" i="1" s="1"/>
  <c r="BA754" i="1" l="1"/>
  <c r="BC754" i="1"/>
  <c r="AZ754" i="1"/>
  <c r="BU754" i="1" l="1"/>
  <c r="BP754" i="1"/>
  <c r="BK754" i="1"/>
  <c r="BG754" i="1" s="1"/>
  <c r="BD755" i="1" s="1"/>
  <c r="BJ754" i="1"/>
  <c r="BO754" i="1"/>
  <c r="BT754" i="1"/>
  <c r="BA755" i="1" l="1"/>
  <c r="BF754" i="1"/>
  <c r="BC755" i="1" l="1"/>
  <c r="AZ755" i="1"/>
  <c r="BT755" i="1" l="1"/>
  <c r="BJ755" i="1"/>
  <c r="BO755" i="1"/>
  <c r="BP755" i="1"/>
  <c r="BK755" i="1"/>
  <c r="BU755" i="1"/>
  <c r="BG755" i="1" l="1"/>
  <c r="BD756" i="1" s="1"/>
  <c r="BA756" i="1"/>
  <c r="BF755" i="1"/>
  <c r="AZ756" i="1" l="1"/>
  <c r="BC756" i="1"/>
  <c r="BP756" i="1"/>
  <c r="BK756" i="1"/>
  <c r="BU756" i="1"/>
  <c r="BG756" i="1" l="1"/>
  <c r="BD757" i="1" s="1"/>
  <c r="BO756" i="1"/>
  <c r="BT756" i="1"/>
  <c r="BJ756" i="1"/>
  <c r="BF756" i="1" l="1"/>
  <c r="BC757" i="1" s="1"/>
  <c r="AZ757" i="1"/>
  <c r="BA757" i="1"/>
  <c r="BJ757" i="1" l="1"/>
  <c r="BO757" i="1"/>
  <c r="BT757" i="1"/>
  <c r="BU757" i="1"/>
  <c r="BP757" i="1"/>
  <c r="BK757" i="1"/>
  <c r="BG757" i="1" s="1"/>
  <c r="BD758" i="1" s="1"/>
  <c r="BA758" i="1" l="1"/>
  <c r="BF757" i="1"/>
  <c r="BC758" i="1" l="1"/>
  <c r="AZ758" i="1"/>
  <c r="BO758" i="1" l="1"/>
  <c r="BT758" i="1"/>
  <c r="BJ758" i="1"/>
  <c r="BF758" i="1" s="1"/>
  <c r="AZ759" i="1" s="1"/>
  <c r="BP758" i="1"/>
  <c r="BK758" i="1"/>
  <c r="BU758" i="1"/>
  <c r="BC759" i="1"/>
  <c r="BG758" i="1" l="1"/>
  <c r="BD759" i="1" s="1"/>
  <c r="BA759" i="1"/>
  <c r="BO759" i="1" s="1"/>
  <c r="BT759" i="1"/>
  <c r="BJ759" i="1"/>
  <c r="BF759" i="1" l="1"/>
  <c r="BP759" i="1"/>
  <c r="BK759" i="1"/>
  <c r="BG759" i="1" s="1"/>
  <c r="BD760" i="1" s="1"/>
  <c r="BU759" i="1"/>
  <c r="BA760" i="1" l="1"/>
  <c r="AZ760" i="1"/>
  <c r="BC760" i="1"/>
  <c r="BJ760" i="1" l="1"/>
  <c r="BT760" i="1"/>
  <c r="BO760" i="1"/>
  <c r="BF760" i="1" s="1"/>
  <c r="BC761" i="1" s="1"/>
  <c r="BK760" i="1"/>
  <c r="BU760" i="1"/>
  <c r="BP760" i="1"/>
  <c r="AZ761" i="1" l="1"/>
  <c r="BG760" i="1"/>
  <c r="BD761" i="1" s="1"/>
  <c r="BA761" i="1" l="1"/>
  <c r="BU761" i="1" l="1"/>
  <c r="BK761" i="1"/>
  <c r="BP761" i="1"/>
  <c r="BJ761" i="1"/>
  <c r="BT761" i="1"/>
  <c r="BO761" i="1"/>
  <c r="BF761" i="1" l="1"/>
  <c r="BC762" i="1"/>
  <c r="AZ762" i="1"/>
  <c r="BG761" i="1"/>
  <c r="BD762" i="1" s="1"/>
  <c r="BA762" i="1" l="1"/>
  <c r="BK762" i="1" l="1"/>
  <c r="BP762" i="1"/>
  <c r="BU762" i="1"/>
  <c r="BO762" i="1"/>
  <c r="BJ762" i="1"/>
  <c r="BT762" i="1"/>
  <c r="BF762" i="1" l="1"/>
  <c r="BG762" i="1"/>
  <c r="BD763" i="1" s="1"/>
  <c r="BA763" i="1" l="1"/>
  <c r="AZ763" i="1"/>
  <c r="BC763" i="1"/>
  <c r="BT763" i="1" l="1"/>
  <c r="BJ763" i="1"/>
  <c r="BF763" i="1" s="1"/>
  <c r="BC764" i="1" s="1"/>
  <c r="BO763" i="1"/>
  <c r="BP763" i="1"/>
  <c r="BU763" i="1"/>
  <c r="BK763" i="1"/>
  <c r="AZ764" i="1" l="1"/>
  <c r="BG763" i="1"/>
  <c r="BD764" i="1" s="1"/>
  <c r="BA764" i="1" l="1"/>
  <c r="BU764" i="1" l="1"/>
  <c r="BK764" i="1"/>
  <c r="BP764" i="1"/>
  <c r="BT764" i="1"/>
  <c r="BJ764" i="1"/>
  <c r="BO764" i="1"/>
  <c r="BF764" i="1" l="1"/>
  <c r="BC765" i="1"/>
  <c r="AZ765" i="1"/>
  <c r="BG764" i="1"/>
  <c r="BD765" i="1" s="1"/>
  <c r="BA765" i="1" l="1"/>
  <c r="BT765" i="1" l="1"/>
  <c r="BP765" i="1"/>
  <c r="BK765" i="1"/>
  <c r="BG765" i="1" s="1"/>
  <c r="BD766" i="1" s="1"/>
  <c r="BU765" i="1"/>
  <c r="BJ765" i="1"/>
  <c r="BO765" i="1"/>
  <c r="BF765" i="1" l="1"/>
  <c r="BC766" i="1"/>
  <c r="AZ766" i="1"/>
  <c r="BA766" i="1"/>
  <c r="BO766" i="1" l="1"/>
  <c r="BJ766" i="1"/>
  <c r="BT766" i="1"/>
  <c r="BK766" i="1"/>
  <c r="BP766" i="1"/>
  <c r="BU766" i="1"/>
  <c r="BG766" i="1" l="1"/>
  <c r="BD767" i="1" s="1"/>
  <c r="BF766" i="1"/>
  <c r="BA767" i="1"/>
  <c r="AZ767" i="1" l="1"/>
  <c r="BC767" i="1"/>
  <c r="BO767" i="1"/>
  <c r="BK767" i="1"/>
  <c r="BP767" i="1"/>
  <c r="BU767" i="1"/>
  <c r="BT767" i="1"/>
  <c r="BJ767" i="1"/>
  <c r="BF767" i="1" l="1"/>
  <c r="BC768" i="1"/>
  <c r="AZ768" i="1"/>
  <c r="BG767" i="1"/>
  <c r="BD768" i="1" s="1"/>
  <c r="BA768" i="1" l="1"/>
  <c r="BO768" i="1" s="1"/>
  <c r="BT768" i="1"/>
  <c r="BJ768" i="1"/>
  <c r="BF768" i="1" l="1"/>
  <c r="BK768" i="1"/>
  <c r="BU768" i="1"/>
  <c r="BP768" i="1"/>
  <c r="BG768" i="1" l="1"/>
  <c r="BD769" i="1" s="1"/>
  <c r="AZ769" i="1"/>
  <c r="BC769" i="1"/>
  <c r="BA769" i="1" l="1"/>
  <c r="BO769" i="1" l="1"/>
  <c r="BK769" i="1"/>
  <c r="BP769" i="1"/>
  <c r="BU769" i="1"/>
  <c r="BJ769" i="1"/>
  <c r="BT769" i="1"/>
  <c r="BF769" i="1" l="1"/>
  <c r="BG769" i="1"/>
  <c r="BD770" i="1" s="1"/>
  <c r="BA770" i="1" l="1"/>
  <c r="BC770" i="1"/>
  <c r="AZ770" i="1"/>
  <c r="BU770" i="1" l="1"/>
  <c r="BK770" i="1"/>
  <c r="BP770" i="1"/>
  <c r="BO770" i="1"/>
  <c r="BT770" i="1"/>
  <c r="BJ770" i="1"/>
  <c r="BF770" i="1" s="1"/>
  <c r="BC771" i="1" s="1"/>
  <c r="AZ771" i="1" l="1"/>
  <c r="BG770" i="1"/>
  <c r="BD771" i="1" s="1"/>
  <c r="BA771" i="1" l="1"/>
  <c r="BT771" i="1" s="1"/>
  <c r="BO771" i="1"/>
  <c r="BJ771" i="1" l="1"/>
  <c r="BF771" i="1" s="1"/>
  <c r="BK771" i="1"/>
  <c r="BP771" i="1"/>
  <c r="BU771" i="1"/>
  <c r="BC772" i="1" l="1"/>
  <c r="AZ772" i="1"/>
  <c r="BG771" i="1"/>
  <c r="BD772" i="1" s="1"/>
  <c r="BA772" i="1" l="1"/>
  <c r="BJ772" i="1"/>
  <c r="BT772" i="1"/>
  <c r="BO772" i="1"/>
  <c r="BF772" i="1" l="1"/>
  <c r="BP772" i="1"/>
  <c r="BK772" i="1"/>
  <c r="BU772" i="1"/>
  <c r="BG772" i="1" s="1"/>
  <c r="BD773" i="1" s="1"/>
  <c r="BA773" i="1" l="1"/>
  <c r="AZ773" i="1"/>
  <c r="BC773" i="1"/>
  <c r="BO773" i="1" l="1"/>
  <c r="BT773" i="1"/>
  <c r="BJ773" i="1"/>
  <c r="BF773" i="1" s="1"/>
  <c r="BC774" i="1" s="1"/>
  <c r="BP773" i="1"/>
  <c r="BK773" i="1"/>
  <c r="BG773" i="1" s="1"/>
  <c r="BD774" i="1" s="1"/>
  <c r="BU773" i="1"/>
  <c r="BA774" i="1" l="1"/>
  <c r="AZ774" i="1"/>
  <c r="BK774" i="1" l="1"/>
  <c r="BP774" i="1"/>
  <c r="BU774" i="1"/>
  <c r="BJ774" i="1"/>
  <c r="BT774" i="1"/>
  <c r="BO774" i="1"/>
  <c r="BF774" i="1" l="1"/>
  <c r="BG774" i="1"/>
  <c r="BD775" i="1" s="1"/>
  <c r="BA775" i="1" l="1"/>
  <c r="BC775" i="1"/>
  <c r="AZ775" i="1"/>
  <c r="BU775" i="1" l="1"/>
  <c r="BT775" i="1"/>
  <c r="BJ775" i="1"/>
  <c r="BO775" i="1"/>
  <c r="BP775" i="1"/>
  <c r="BK775" i="1"/>
  <c r="BG775" i="1" s="1"/>
  <c r="BD776" i="1" s="1"/>
  <c r="BF775" i="1" l="1"/>
  <c r="BA776" i="1"/>
  <c r="AZ776" i="1" l="1"/>
  <c r="BC776" i="1"/>
  <c r="BU776" i="1" l="1"/>
  <c r="BT776" i="1"/>
  <c r="BJ776" i="1"/>
  <c r="BO776" i="1"/>
  <c r="BP776" i="1"/>
  <c r="BK776" i="1"/>
  <c r="BF776" i="1" l="1"/>
  <c r="BG776" i="1"/>
  <c r="BD777" i="1" s="1"/>
  <c r="BA777" i="1" l="1"/>
  <c r="BC777" i="1"/>
  <c r="AZ777" i="1"/>
  <c r="BO777" i="1" l="1"/>
  <c r="BJ777" i="1"/>
  <c r="BT777" i="1"/>
  <c r="BP777" i="1"/>
  <c r="BU777" i="1"/>
  <c r="BK777" i="1"/>
  <c r="BG777" i="1" s="1"/>
  <c r="BA778" i="1" l="1"/>
  <c r="BD778" i="1"/>
  <c r="BF777" i="1"/>
  <c r="AZ778" i="1" l="1"/>
  <c r="BC778" i="1"/>
  <c r="BJ778" i="1" l="1"/>
  <c r="BO778" i="1"/>
  <c r="BT778" i="1"/>
  <c r="BP778" i="1"/>
  <c r="BK778" i="1"/>
  <c r="BU778" i="1"/>
  <c r="BG778" i="1" l="1"/>
  <c r="BD779" i="1" s="1"/>
  <c r="BA779" i="1"/>
  <c r="BF778" i="1"/>
  <c r="BC779" i="1" l="1"/>
  <c r="AZ779" i="1"/>
  <c r="BO779" i="1" l="1"/>
  <c r="BJ779" i="1"/>
  <c r="BT779" i="1"/>
  <c r="BP779" i="1"/>
  <c r="BU779" i="1"/>
  <c r="BK779" i="1"/>
  <c r="BG779" i="1" l="1"/>
  <c r="BD780" i="1" s="1"/>
  <c r="BF779" i="1"/>
  <c r="BA780" i="1"/>
  <c r="AZ780" i="1" l="1"/>
  <c r="BC780" i="1"/>
  <c r="BU780" i="1"/>
  <c r="BK780" i="1"/>
  <c r="BP780" i="1"/>
  <c r="BO780" i="1"/>
  <c r="BT780" i="1"/>
  <c r="BJ780" i="1"/>
  <c r="BF780" i="1" l="1"/>
  <c r="BG780" i="1"/>
  <c r="BD781" i="1" s="1"/>
  <c r="AZ781" i="1"/>
  <c r="BC781" i="1"/>
  <c r="BA781" i="1" l="1"/>
  <c r="BK781" i="1" l="1"/>
  <c r="BU781" i="1"/>
  <c r="BP781" i="1"/>
  <c r="BO781" i="1"/>
  <c r="BT781" i="1"/>
  <c r="BJ781" i="1"/>
  <c r="BF781" i="1" s="1"/>
  <c r="AZ782" i="1" l="1"/>
  <c r="BC782" i="1"/>
  <c r="BG781" i="1"/>
  <c r="BD782" i="1" s="1"/>
  <c r="BA782" i="1" l="1"/>
  <c r="BO782" i="1" s="1"/>
  <c r="BT782" i="1"/>
  <c r="BJ782" i="1"/>
  <c r="BF782" i="1" l="1"/>
  <c r="BC783" i="1" s="1"/>
  <c r="AZ783" i="1"/>
  <c r="BP782" i="1"/>
  <c r="BK782" i="1"/>
  <c r="BG782" i="1" s="1"/>
  <c r="BD783" i="1" s="1"/>
  <c r="BU782" i="1"/>
  <c r="BA783" i="1" l="1"/>
  <c r="BO783" i="1" s="1"/>
  <c r="BJ783" i="1"/>
  <c r="BT783" i="1" l="1"/>
  <c r="BF783" i="1" s="1"/>
  <c r="BU783" i="1"/>
  <c r="BK783" i="1"/>
  <c r="BP783" i="1"/>
  <c r="BG783" i="1" l="1"/>
  <c r="BD784" i="1" s="1"/>
  <c r="AZ784" i="1"/>
  <c r="BC784" i="1"/>
  <c r="BA784" i="1" l="1"/>
  <c r="BJ784" i="1" s="1"/>
  <c r="BO784" i="1" l="1"/>
  <c r="BU784" i="1"/>
  <c r="BK784" i="1"/>
  <c r="BP784" i="1"/>
  <c r="BT784" i="1"/>
  <c r="BG784" i="1" l="1"/>
  <c r="BD785" i="1" s="1"/>
  <c r="BF784" i="1"/>
  <c r="AZ785" i="1"/>
  <c r="BC785" i="1"/>
  <c r="BA785" i="1"/>
  <c r="BT785" i="1" l="1"/>
  <c r="BO785" i="1"/>
  <c r="BJ785" i="1"/>
  <c r="BF785" i="1" s="1"/>
  <c r="BC786" i="1" s="1"/>
  <c r="BU785" i="1"/>
  <c r="BP785" i="1"/>
  <c r="BK785" i="1"/>
  <c r="BG785" i="1" s="1"/>
  <c r="BD786" i="1" s="1"/>
  <c r="BA786" i="1" l="1"/>
  <c r="AZ786" i="1"/>
  <c r="BK786" i="1" l="1"/>
  <c r="BU786" i="1"/>
  <c r="BP786" i="1"/>
  <c r="BT786" i="1"/>
  <c r="BJ786" i="1"/>
  <c r="BO786" i="1"/>
  <c r="BF786" i="1" l="1"/>
  <c r="BC787" i="1" s="1"/>
  <c r="AZ787" i="1"/>
  <c r="BG786" i="1"/>
  <c r="BD787" i="1" s="1"/>
  <c r="BA787" i="1" l="1"/>
  <c r="BJ787" i="1" s="1"/>
  <c r="BT787" i="1"/>
  <c r="BO787" i="1"/>
  <c r="BF787" i="1" l="1"/>
  <c r="BK787" i="1"/>
  <c r="BP787" i="1"/>
  <c r="BU787" i="1"/>
  <c r="BG787" i="1" l="1"/>
  <c r="BD788" i="1" s="1"/>
  <c r="BC788" i="1"/>
  <c r="AZ788" i="1"/>
  <c r="BA788" i="1" l="1"/>
  <c r="BJ788" i="1" s="1"/>
  <c r="BK788" i="1" l="1"/>
  <c r="BU788" i="1"/>
  <c r="BP788" i="1"/>
  <c r="BT788" i="1"/>
  <c r="BO788" i="1"/>
  <c r="BF788" i="1" s="1"/>
  <c r="BC789" i="1" l="1"/>
  <c r="AZ789" i="1"/>
  <c r="BG788" i="1"/>
  <c r="BD789" i="1" s="1"/>
  <c r="BA789" i="1" l="1"/>
  <c r="BU789" i="1" l="1"/>
  <c r="BP789" i="1"/>
  <c r="BK789" i="1"/>
  <c r="BG789" i="1" s="1"/>
  <c r="BD790" i="1" s="1"/>
  <c r="BJ789" i="1"/>
  <c r="BO789" i="1"/>
  <c r="BT789" i="1"/>
  <c r="BA790" i="1" l="1"/>
  <c r="BF789" i="1"/>
  <c r="AZ790" i="1" l="1"/>
  <c r="BC790" i="1"/>
  <c r="BT790" i="1" l="1"/>
  <c r="BO790" i="1"/>
  <c r="BJ790" i="1"/>
  <c r="BF790" i="1" s="1"/>
  <c r="BC791" i="1" s="1"/>
  <c r="BP790" i="1"/>
  <c r="BK790" i="1"/>
  <c r="BU790" i="1"/>
  <c r="AZ791" i="1" l="1"/>
  <c r="BG790" i="1"/>
  <c r="BD791" i="1" s="1"/>
  <c r="BA791" i="1" l="1"/>
  <c r="BK791" i="1" l="1"/>
  <c r="BP791" i="1"/>
  <c r="BU791" i="1"/>
  <c r="BJ791" i="1"/>
  <c r="BT791" i="1"/>
  <c r="BO791" i="1"/>
  <c r="BF791" i="1" l="1"/>
  <c r="BG791" i="1"/>
  <c r="BD792" i="1" s="1"/>
  <c r="BA792" i="1" l="1"/>
  <c r="BC792" i="1"/>
  <c r="AZ792" i="1"/>
  <c r="BJ792" i="1" l="1"/>
  <c r="BO792" i="1"/>
  <c r="BT792" i="1"/>
  <c r="BP792" i="1"/>
  <c r="BK792" i="1"/>
  <c r="BU792" i="1"/>
  <c r="BG792" i="1" l="1"/>
  <c r="BD793" i="1" s="1"/>
  <c r="BF792" i="1"/>
  <c r="BC793" i="1" l="1"/>
  <c r="AZ793" i="1"/>
  <c r="BA793" i="1"/>
  <c r="BO793" i="1" l="1"/>
  <c r="BJ793" i="1"/>
  <c r="BT793" i="1"/>
  <c r="BK793" i="1"/>
  <c r="BU793" i="1"/>
  <c r="BP793" i="1"/>
  <c r="BG793" i="1" l="1"/>
  <c r="BD794" i="1" s="1"/>
  <c r="BF793" i="1"/>
  <c r="BC794" i="1" l="1"/>
  <c r="AZ794" i="1"/>
  <c r="BA794" i="1"/>
  <c r="BJ794" i="1" l="1"/>
  <c r="BT794" i="1"/>
  <c r="BO794" i="1"/>
  <c r="BP794" i="1"/>
  <c r="BK794" i="1"/>
  <c r="BU794" i="1"/>
  <c r="BG794" i="1" l="1"/>
  <c r="BD795" i="1" s="1"/>
  <c r="BA795" i="1"/>
  <c r="BF794" i="1"/>
  <c r="BC795" i="1" l="1"/>
  <c r="AZ795" i="1"/>
  <c r="BK795" i="1" s="1"/>
  <c r="BO795" i="1" l="1"/>
  <c r="BJ795" i="1"/>
  <c r="BT795" i="1"/>
  <c r="BP795" i="1"/>
  <c r="BG795" i="1" s="1"/>
  <c r="BD796" i="1" s="1"/>
  <c r="BU795" i="1"/>
  <c r="BA796" i="1" l="1"/>
  <c r="BF795" i="1"/>
  <c r="AZ796" i="1" l="1"/>
  <c r="BU796" i="1" s="1"/>
  <c r="BC796" i="1"/>
  <c r="BP796" i="1" l="1"/>
  <c r="BO796" i="1"/>
  <c r="BJ796" i="1"/>
  <c r="BT796" i="1"/>
  <c r="BK796" i="1"/>
  <c r="BG796" i="1" s="1"/>
  <c r="BD797" i="1" s="1"/>
  <c r="BA797" i="1" l="1"/>
  <c r="BF796" i="1"/>
  <c r="BC797" i="1" l="1"/>
  <c r="AZ797" i="1"/>
  <c r="BP797" i="1" s="1"/>
  <c r="BK797" i="1"/>
  <c r="BT797" i="1" l="1"/>
  <c r="BO797" i="1"/>
  <c r="BJ797" i="1"/>
  <c r="BF797" i="1" s="1"/>
  <c r="AZ798" i="1" s="1"/>
  <c r="BU797" i="1"/>
  <c r="BG797" i="1" s="1"/>
  <c r="BD798" i="1" s="1"/>
  <c r="BC798" i="1" l="1"/>
  <c r="BA798" i="1"/>
  <c r="BJ798" i="1" s="1"/>
  <c r="BO798" i="1"/>
  <c r="BT798" i="1"/>
  <c r="BF798" i="1" l="1"/>
  <c r="BK798" i="1"/>
  <c r="BU798" i="1"/>
  <c r="BP798" i="1"/>
  <c r="BG798" i="1" l="1"/>
  <c r="BD799" i="1" s="1"/>
  <c r="BC799" i="1"/>
  <c r="AZ799" i="1"/>
  <c r="BA799" i="1" l="1"/>
  <c r="BU799" i="1" l="1"/>
  <c r="BK799" i="1"/>
  <c r="BP799" i="1"/>
  <c r="BT799" i="1"/>
  <c r="BO799" i="1"/>
  <c r="BJ799" i="1"/>
  <c r="BG799" i="1" l="1"/>
  <c r="BD800" i="1" s="1"/>
  <c r="BF799" i="1"/>
  <c r="BC800" i="1" l="1"/>
  <c r="AZ800" i="1"/>
  <c r="BA800" i="1"/>
  <c r="BT800" i="1" l="1"/>
  <c r="BO800" i="1"/>
  <c r="BJ800" i="1"/>
  <c r="BU800" i="1"/>
  <c r="BP800" i="1"/>
  <c r="BK800" i="1"/>
  <c r="BF800" i="1" l="1"/>
  <c r="BG800" i="1"/>
  <c r="BD801" i="1" s="1"/>
  <c r="BA801" i="1" l="1"/>
  <c r="BC801" i="1"/>
  <c r="AZ801" i="1"/>
  <c r="BO801" i="1" l="1"/>
  <c r="BT801" i="1"/>
  <c r="BJ801" i="1"/>
  <c r="BF801" i="1" s="1"/>
  <c r="BC802" i="1" s="1"/>
  <c r="BK801" i="1"/>
  <c r="BP801" i="1"/>
  <c r="BU801" i="1"/>
  <c r="AZ802" i="1" l="1"/>
  <c r="BG801" i="1"/>
  <c r="BD802" i="1" s="1"/>
  <c r="BA802" i="1" l="1"/>
  <c r="BU802" i="1" l="1"/>
  <c r="BK802" i="1"/>
  <c r="BP802" i="1"/>
  <c r="BT802" i="1"/>
  <c r="BJ802" i="1"/>
  <c r="BO802" i="1"/>
  <c r="BG802" i="1" l="1"/>
  <c r="BD803" i="1" s="1"/>
  <c r="BF802" i="1"/>
  <c r="BC803" i="1" l="1"/>
  <c r="AZ803" i="1"/>
  <c r="BA803" i="1"/>
  <c r="BJ803" i="1" l="1"/>
  <c r="BO803" i="1"/>
  <c r="BT803" i="1"/>
  <c r="BP803" i="1"/>
  <c r="BU803" i="1"/>
  <c r="BK803" i="1"/>
  <c r="BG803" i="1" s="1"/>
  <c r="BD804" i="1" s="1"/>
  <c r="BF803" i="1" l="1"/>
  <c r="BA804" i="1"/>
  <c r="BC804" i="1" l="1"/>
  <c r="AZ804" i="1"/>
  <c r="BJ804" i="1" l="1"/>
  <c r="BO804" i="1"/>
  <c r="BT804" i="1"/>
  <c r="BP804" i="1"/>
  <c r="BK804" i="1"/>
  <c r="BU804" i="1"/>
  <c r="BG804" i="1" l="1"/>
  <c r="BD805" i="1" s="1"/>
  <c r="BF804" i="1"/>
  <c r="AZ805" i="1" l="1"/>
  <c r="BC805" i="1"/>
  <c r="BA805" i="1"/>
  <c r="BK805" i="1" l="1"/>
  <c r="BU805" i="1"/>
  <c r="BP805" i="1"/>
  <c r="BJ805" i="1"/>
  <c r="BO805" i="1"/>
  <c r="BT805" i="1"/>
  <c r="BF805" i="1" l="1"/>
  <c r="BG805" i="1"/>
  <c r="BD806" i="1" s="1"/>
  <c r="BA806" i="1" l="1"/>
  <c r="BC806" i="1"/>
  <c r="AZ806" i="1"/>
  <c r="BU806" i="1" l="1"/>
  <c r="BK806" i="1"/>
  <c r="BP806" i="1"/>
  <c r="BJ806" i="1"/>
  <c r="BO806" i="1"/>
  <c r="BT806" i="1"/>
  <c r="BF806" i="1" l="1"/>
  <c r="BG806" i="1"/>
  <c r="BD807" i="1" s="1"/>
  <c r="BA807" i="1" l="1"/>
  <c r="BC807" i="1"/>
  <c r="AZ807" i="1"/>
  <c r="BP807" i="1" l="1"/>
  <c r="BU807" i="1"/>
  <c r="BK807" i="1"/>
  <c r="BG807" i="1" s="1"/>
  <c r="BD808" i="1" s="1"/>
  <c r="BJ807" i="1"/>
  <c r="BO807" i="1"/>
  <c r="BT807" i="1"/>
  <c r="BA808" i="1" l="1"/>
  <c r="BF807" i="1"/>
  <c r="BC808" i="1" l="1"/>
  <c r="AZ808" i="1"/>
  <c r="BO808" i="1" l="1"/>
  <c r="BT808" i="1"/>
  <c r="BJ808" i="1"/>
  <c r="BF808" i="1" s="1"/>
  <c r="AZ809" i="1" s="1"/>
  <c r="BK808" i="1"/>
  <c r="BP808" i="1"/>
  <c r="BG808" i="1" s="1"/>
  <c r="BD809" i="1" s="1"/>
  <c r="BU808" i="1"/>
  <c r="BC809" i="1" l="1"/>
  <c r="BA809" i="1"/>
  <c r="BO809" i="1" s="1"/>
  <c r="BJ809" i="1"/>
  <c r="BT809" i="1"/>
  <c r="BF809" i="1" l="1"/>
  <c r="BK809" i="1"/>
  <c r="BP809" i="1"/>
  <c r="BU809" i="1"/>
  <c r="BG809" i="1" l="1"/>
  <c r="BD810" i="1" s="1"/>
  <c r="AZ810" i="1"/>
  <c r="BC810" i="1"/>
  <c r="BA810" i="1" l="1"/>
  <c r="BP810" i="1" l="1"/>
  <c r="BK810" i="1"/>
  <c r="BU810" i="1"/>
  <c r="BT810" i="1"/>
  <c r="BO810" i="1"/>
  <c r="BJ810" i="1"/>
  <c r="BF810" i="1" s="1"/>
  <c r="BC811" i="1" l="1"/>
  <c r="AZ811" i="1"/>
  <c r="BG810" i="1"/>
  <c r="BD811" i="1" s="1"/>
  <c r="BA811" i="1" l="1"/>
  <c r="BP811" i="1" l="1"/>
  <c r="BK811" i="1"/>
  <c r="BU811" i="1"/>
  <c r="BO811" i="1"/>
  <c r="BT811" i="1"/>
  <c r="BJ811" i="1"/>
  <c r="BF811" i="1" s="1"/>
  <c r="BC812" i="1" l="1"/>
  <c r="AZ812" i="1"/>
  <c r="BG811" i="1"/>
  <c r="BD812" i="1" s="1"/>
  <c r="BA812" i="1" l="1"/>
  <c r="BJ812" i="1" s="1"/>
  <c r="BO812" i="1" l="1"/>
  <c r="BU812" i="1"/>
  <c r="BK812" i="1"/>
  <c r="BP812" i="1"/>
  <c r="BT812" i="1"/>
  <c r="BF812" i="1" l="1"/>
  <c r="AZ813" i="1"/>
  <c r="BC813" i="1"/>
  <c r="BG812" i="1"/>
  <c r="BD813" i="1" s="1"/>
  <c r="BA813" i="1" l="1"/>
  <c r="BJ813" i="1" s="1"/>
  <c r="BT813" i="1"/>
  <c r="BK813" i="1" l="1"/>
  <c r="BP813" i="1"/>
  <c r="BU813" i="1"/>
  <c r="BO813" i="1"/>
  <c r="BF813" i="1" s="1"/>
  <c r="AZ814" i="1" l="1"/>
  <c r="BC814" i="1"/>
  <c r="BG813" i="1"/>
  <c r="BD814" i="1" s="1"/>
  <c r="BA814" i="1" l="1"/>
  <c r="BJ814" i="1" s="1"/>
  <c r="BF814" i="1" s="1"/>
  <c r="BC815" i="1" s="1"/>
  <c r="BT814" i="1"/>
  <c r="BO814" i="1"/>
  <c r="AZ815" i="1" l="1"/>
  <c r="BP814" i="1"/>
  <c r="BK814" i="1"/>
  <c r="BU814" i="1"/>
  <c r="BG814" i="1" l="1"/>
  <c r="BD815" i="1" s="1"/>
  <c r="BA815" i="1" l="1"/>
  <c r="BP815" i="1" l="1"/>
  <c r="BU815" i="1"/>
  <c r="BK815" i="1"/>
  <c r="BT815" i="1"/>
  <c r="BO815" i="1"/>
  <c r="BJ815" i="1"/>
  <c r="BG815" i="1" l="1"/>
  <c r="BD816" i="1" s="1"/>
  <c r="BF815" i="1"/>
  <c r="BA816" i="1"/>
  <c r="BC816" i="1" l="1"/>
  <c r="AZ816" i="1"/>
  <c r="BU816" i="1" s="1"/>
  <c r="BO816" i="1" l="1"/>
  <c r="BT816" i="1"/>
  <c r="BJ816" i="1"/>
  <c r="BF816" i="1" s="1"/>
  <c r="AZ817" i="1" s="1"/>
  <c r="BK816" i="1"/>
  <c r="BP816" i="1"/>
  <c r="BC817" i="1"/>
  <c r="BG816" i="1" l="1"/>
  <c r="BD817" i="1" s="1"/>
  <c r="BA817" i="1" l="1"/>
  <c r="BP817" i="1" l="1"/>
  <c r="BK817" i="1"/>
  <c r="BU817" i="1"/>
  <c r="BT817" i="1"/>
  <c r="BO817" i="1"/>
  <c r="BJ817" i="1"/>
  <c r="BG817" i="1" l="1"/>
  <c r="BD818" i="1" s="1"/>
  <c r="BF817" i="1"/>
  <c r="BC818" i="1" l="1"/>
  <c r="AZ818" i="1"/>
  <c r="BA818" i="1"/>
  <c r="BJ818" i="1" l="1"/>
  <c r="BT818" i="1"/>
  <c r="BO818" i="1"/>
  <c r="BK818" i="1"/>
  <c r="BP818" i="1"/>
  <c r="BU818" i="1"/>
  <c r="BG818" i="1" l="1"/>
  <c r="BD819" i="1" s="1"/>
  <c r="BF818" i="1"/>
  <c r="BA819" i="1"/>
  <c r="BC819" i="1" l="1"/>
  <c r="AZ819" i="1"/>
  <c r="BU819" i="1" s="1"/>
  <c r="BO819" i="1" l="1"/>
  <c r="BJ819" i="1"/>
  <c r="BT819" i="1"/>
  <c r="BK819" i="1"/>
  <c r="BP819" i="1"/>
  <c r="BF819" i="1" l="1"/>
  <c r="BG819" i="1"/>
  <c r="BD820" i="1" s="1"/>
  <c r="BA820" i="1" l="1"/>
  <c r="BC820" i="1"/>
  <c r="AZ820" i="1"/>
  <c r="BJ820" i="1" l="1"/>
  <c r="BT820" i="1"/>
  <c r="BO820" i="1"/>
  <c r="BK820" i="1"/>
  <c r="BP820" i="1"/>
  <c r="BU820" i="1"/>
  <c r="BG820" i="1" l="1"/>
  <c r="BD821" i="1" s="1"/>
  <c r="BF820" i="1"/>
  <c r="BC821" i="1" l="1"/>
  <c r="AZ821" i="1"/>
  <c r="BA821" i="1"/>
  <c r="BJ821" i="1" l="1"/>
  <c r="BT821" i="1"/>
  <c r="BO821" i="1"/>
  <c r="BK821" i="1"/>
  <c r="BU821" i="1"/>
  <c r="BP821" i="1"/>
  <c r="BG821" i="1" l="1"/>
  <c r="BD822" i="1" s="1"/>
  <c r="BF821" i="1"/>
  <c r="AZ822" i="1" l="1"/>
  <c r="BC822" i="1"/>
  <c r="BA822" i="1"/>
  <c r="BK822" i="1" l="1"/>
  <c r="BP822" i="1"/>
  <c r="BU822" i="1"/>
  <c r="BO822" i="1"/>
  <c r="BJ822" i="1"/>
  <c r="BT822" i="1"/>
  <c r="BF822" i="1" l="1"/>
  <c r="AZ823" i="1" s="1"/>
  <c r="BC823" i="1"/>
  <c r="BG822" i="1"/>
  <c r="BD823" i="1" s="1"/>
  <c r="BA823" i="1" l="1"/>
  <c r="BK823" i="1" l="1"/>
  <c r="BP823" i="1"/>
  <c r="BU823" i="1"/>
  <c r="BT823" i="1"/>
  <c r="BJ823" i="1"/>
  <c r="BO823" i="1"/>
  <c r="BF823" i="1" l="1"/>
  <c r="BG823" i="1"/>
  <c r="BD824" i="1" s="1"/>
  <c r="BA824" i="1" l="1"/>
  <c r="BC824" i="1"/>
  <c r="AZ824" i="1"/>
  <c r="BJ824" i="1" l="1"/>
  <c r="BO824" i="1"/>
  <c r="BT824" i="1"/>
  <c r="BK824" i="1"/>
  <c r="BU824" i="1"/>
  <c r="BP824" i="1"/>
  <c r="BG824" i="1" l="1"/>
  <c r="BD825" i="1" s="1"/>
  <c r="BF824" i="1"/>
  <c r="BC825" i="1" l="1"/>
  <c r="AZ825" i="1"/>
  <c r="BA825" i="1"/>
  <c r="BP825" i="1" l="1"/>
  <c r="BU825" i="1"/>
  <c r="BK825" i="1"/>
  <c r="BG825" i="1" s="1"/>
  <c r="BD826" i="1" s="1"/>
  <c r="BJ825" i="1"/>
  <c r="BT825" i="1"/>
  <c r="BO825" i="1"/>
  <c r="BF825" i="1" l="1"/>
  <c r="BC826" i="1" s="1"/>
  <c r="BA826" i="1"/>
  <c r="AZ826" i="1"/>
  <c r="BO826" i="1" l="1"/>
  <c r="BJ826" i="1"/>
  <c r="BT826" i="1"/>
  <c r="BK826" i="1"/>
  <c r="BP826" i="1"/>
  <c r="BU826" i="1"/>
  <c r="BF826" i="1" l="1"/>
  <c r="BG826" i="1"/>
  <c r="BD827" i="1" s="1"/>
  <c r="BA827" i="1" l="1"/>
  <c r="BC827" i="1"/>
  <c r="AZ827" i="1"/>
  <c r="BK827" i="1" l="1"/>
  <c r="BU827" i="1"/>
  <c r="BP827" i="1"/>
  <c r="BT827" i="1"/>
  <c r="BJ827" i="1"/>
  <c r="BO827" i="1"/>
  <c r="BF827" i="1" l="1"/>
  <c r="BC828" i="1" s="1"/>
  <c r="AZ828" i="1"/>
  <c r="BG827" i="1"/>
  <c r="BD828" i="1" s="1"/>
  <c r="BA828" i="1" l="1"/>
  <c r="BO828" i="1" s="1"/>
  <c r="BP828" i="1" l="1"/>
  <c r="BK828" i="1"/>
  <c r="BU828" i="1"/>
  <c r="BJ828" i="1"/>
  <c r="BT828" i="1"/>
  <c r="BF828" i="1" l="1"/>
  <c r="BG828" i="1"/>
  <c r="BD829" i="1" s="1"/>
  <c r="BA829" i="1" l="1"/>
  <c r="BC829" i="1"/>
  <c r="AZ829" i="1"/>
  <c r="BO829" i="1" l="1"/>
  <c r="BJ829" i="1"/>
  <c r="BT829" i="1"/>
  <c r="BU829" i="1"/>
  <c r="BP829" i="1"/>
  <c r="BK829" i="1"/>
  <c r="BG829" i="1" l="1"/>
  <c r="BD830" i="1" s="1"/>
  <c r="BF829" i="1"/>
  <c r="BC830" i="1" l="1"/>
  <c r="AZ830" i="1"/>
  <c r="BA830" i="1"/>
  <c r="BT830" i="1" l="1"/>
  <c r="BJ830" i="1"/>
  <c r="BO830" i="1"/>
  <c r="BU830" i="1"/>
  <c r="BP830" i="1"/>
  <c r="BK830" i="1"/>
  <c r="BF830" i="1" l="1"/>
  <c r="BG830" i="1"/>
  <c r="BD831" i="1" s="1"/>
  <c r="BA831" i="1" l="1"/>
  <c r="BC831" i="1"/>
  <c r="AZ831" i="1"/>
  <c r="BU831" i="1" l="1"/>
  <c r="BP831" i="1"/>
  <c r="BK831" i="1"/>
  <c r="BG831" i="1" s="1"/>
  <c r="BD832" i="1" s="1"/>
  <c r="BO831" i="1"/>
  <c r="BT831" i="1"/>
  <c r="BJ831" i="1"/>
  <c r="BF831" i="1" l="1"/>
  <c r="BA832" i="1"/>
  <c r="BC832" i="1" l="1"/>
  <c r="AZ832" i="1"/>
  <c r="BO832" i="1" l="1"/>
  <c r="BT832" i="1"/>
  <c r="BJ832" i="1"/>
  <c r="BP832" i="1"/>
  <c r="BU832" i="1"/>
  <c r="BK832" i="1"/>
  <c r="BF832" i="1" l="1"/>
  <c r="BG832" i="1"/>
  <c r="BD833" i="1" s="1"/>
  <c r="AZ833" i="1" l="1"/>
  <c r="BC833" i="1"/>
  <c r="BA833" i="1"/>
  <c r="BK833" i="1" l="1"/>
  <c r="BU833" i="1"/>
  <c r="BP833" i="1"/>
  <c r="BO833" i="1"/>
  <c r="BT833" i="1"/>
  <c r="BJ833" i="1"/>
  <c r="BF833" i="1" l="1"/>
  <c r="BG833" i="1"/>
  <c r="BD834" i="1" s="1"/>
  <c r="BA834" i="1" l="1"/>
  <c r="BC834" i="1"/>
  <c r="AZ834" i="1"/>
  <c r="BJ834" i="1" l="1"/>
  <c r="BO834" i="1"/>
  <c r="BT834" i="1"/>
  <c r="BK834" i="1"/>
  <c r="BU834" i="1"/>
  <c r="BP834" i="1"/>
  <c r="BG834" i="1" l="1"/>
  <c r="BD835" i="1" s="1"/>
  <c r="BA835" i="1"/>
  <c r="BF834" i="1"/>
  <c r="AZ835" i="1" l="1"/>
  <c r="BC835" i="1"/>
  <c r="BP835" i="1"/>
  <c r="BU835" i="1"/>
  <c r="BK835" i="1"/>
  <c r="BG835" i="1" l="1"/>
  <c r="BD836" i="1" s="1"/>
  <c r="BA836" i="1"/>
  <c r="BJ835" i="1"/>
  <c r="BT835" i="1"/>
  <c r="BO835" i="1"/>
  <c r="BF835" i="1" l="1"/>
  <c r="BC836" i="1" l="1"/>
  <c r="AZ836" i="1"/>
  <c r="BJ836" i="1" l="1"/>
  <c r="BO836" i="1"/>
  <c r="BT836" i="1"/>
  <c r="BU836" i="1"/>
  <c r="BP836" i="1"/>
  <c r="BK836" i="1"/>
  <c r="BG836" i="1" s="1"/>
  <c r="BD837" i="1" s="1"/>
  <c r="BA837" i="1" l="1"/>
  <c r="BF836" i="1"/>
  <c r="BC837" i="1" l="1"/>
  <c r="AZ837" i="1"/>
  <c r="BK837" i="1"/>
  <c r="BP837" i="1"/>
  <c r="BT837" i="1" l="1"/>
  <c r="BO837" i="1"/>
  <c r="BJ837" i="1"/>
  <c r="BF837" i="1" s="1"/>
  <c r="BC838" i="1" s="1"/>
  <c r="BU837" i="1"/>
  <c r="BG837" i="1" s="1"/>
  <c r="BD838" i="1" s="1"/>
  <c r="BA838" i="1" l="1"/>
  <c r="AZ838" i="1"/>
  <c r="BO838" i="1" l="1"/>
  <c r="BJ838" i="1"/>
  <c r="BF838" i="1" s="1"/>
  <c r="BC839" i="1" s="1"/>
  <c r="BT838" i="1"/>
  <c r="AZ839" i="1"/>
  <c r="BK838" i="1"/>
  <c r="BU838" i="1"/>
  <c r="BP838" i="1"/>
  <c r="BG838" i="1" l="1"/>
  <c r="BD839" i="1" s="1"/>
  <c r="BA839" i="1" l="1"/>
  <c r="BU839" i="1" l="1"/>
  <c r="BK839" i="1"/>
  <c r="BP839" i="1"/>
  <c r="BJ839" i="1"/>
  <c r="BT839" i="1"/>
  <c r="BO839" i="1"/>
  <c r="BF839" i="1" l="1"/>
  <c r="BG839" i="1"/>
  <c r="BD840" i="1" s="1"/>
  <c r="BA840" i="1" l="1"/>
  <c r="AZ840" i="1"/>
  <c r="BC840" i="1"/>
  <c r="BT840" i="1" l="1"/>
  <c r="BJ840" i="1"/>
  <c r="BO840" i="1"/>
  <c r="BU840" i="1"/>
  <c r="BP840" i="1"/>
  <c r="BK840" i="1"/>
  <c r="BF840" i="1" l="1"/>
  <c r="BG840" i="1"/>
  <c r="BD841" i="1" s="1"/>
  <c r="BA841" i="1" l="1"/>
  <c r="AZ841" i="1"/>
  <c r="BC841" i="1"/>
  <c r="BP841" i="1" l="1"/>
  <c r="BJ841" i="1"/>
  <c r="BO841" i="1"/>
  <c r="BT841" i="1"/>
  <c r="BK841" i="1"/>
  <c r="BG841" i="1" s="1"/>
  <c r="BU841" i="1"/>
  <c r="BA842" i="1" l="1"/>
  <c r="BD842" i="1"/>
  <c r="BF841" i="1"/>
  <c r="BC842" i="1" l="1"/>
  <c r="AZ842" i="1"/>
  <c r="BO842" i="1" l="1"/>
  <c r="BT842" i="1"/>
  <c r="BJ842" i="1"/>
  <c r="BP842" i="1"/>
  <c r="BK842" i="1"/>
  <c r="BU842" i="1"/>
  <c r="BG842" i="1" l="1"/>
  <c r="BD843" i="1" s="1"/>
  <c r="BF842" i="1"/>
  <c r="AZ843" i="1" l="1"/>
  <c r="BC843" i="1"/>
  <c r="BA843" i="1"/>
  <c r="BU843" i="1" l="1"/>
  <c r="BK843" i="1"/>
  <c r="BP843" i="1"/>
  <c r="BJ843" i="1"/>
  <c r="BO843" i="1"/>
  <c r="BT843" i="1"/>
  <c r="BF843" i="1" l="1"/>
  <c r="AZ844" i="1" s="1"/>
  <c r="BG843" i="1"/>
  <c r="BD844" i="1" s="1"/>
  <c r="BC844" i="1"/>
  <c r="BA844" i="1" l="1"/>
  <c r="BP844" i="1" l="1"/>
  <c r="BK844" i="1"/>
  <c r="BU844" i="1"/>
  <c r="BT844" i="1"/>
  <c r="BO844" i="1"/>
  <c r="BJ844" i="1"/>
  <c r="BF844" i="1" l="1"/>
  <c r="BG844" i="1"/>
  <c r="BD845" i="1" s="1"/>
  <c r="BA845" i="1" l="1"/>
  <c r="BC845" i="1"/>
  <c r="AZ845" i="1"/>
  <c r="BT845" i="1" l="1"/>
  <c r="BO845" i="1"/>
  <c r="BJ845" i="1"/>
  <c r="BF845" i="1" s="1"/>
  <c r="BC846" i="1" s="1"/>
  <c r="BU845" i="1"/>
  <c r="BK845" i="1"/>
  <c r="BP845" i="1"/>
  <c r="BG845" i="1" l="1"/>
  <c r="AZ846" i="1"/>
  <c r="BA846" i="1" l="1"/>
  <c r="BD846" i="1"/>
  <c r="BK846" i="1" l="1"/>
  <c r="BU846" i="1"/>
  <c r="BP846" i="1"/>
  <c r="BT846" i="1"/>
  <c r="BJ846" i="1"/>
  <c r="BO846" i="1"/>
  <c r="BF846" i="1" l="1"/>
  <c r="BG846" i="1"/>
  <c r="BD847" i="1" l="1"/>
  <c r="BA847" i="1"/>
  <c r="AZ847" i="1"/>
  <c r="BC847" i="1"/>
  <c r="BP847" i="1" l="1"/>
  <c r="BU847" i="1"/>
  <c r="BK847" i="1"/>
  <c r="BG847" i="1" s="1"/>
  <c r="BA848" i="1" s="1"/>
  <c r="BO847" i="1"/>
  <c r="BJ847" i="1"/>
  <c r="BT847" i="1"/>
  <c r="BD848" i="1"/>
  <c r="BF847" i="1" l="1"/>
  <c r="BC848" i="1" l="1"/>
  <c r="AZ848" i="1"/>
  <c r="BT848" i="1" l="1"/>
  <c r="BJ848" i="1"/>
  <c r="BP848" i="1"/>
  <c r="BU848" i="1"/>
  <c r="BO848" i="1"/>
  <c r="BF848" i="1" s="1"/>
  <c r="BC849" i="1" s="1"/>
  <c r="BK848" i="1"/>
  <c r="BG848" i="1" s="1"/>
  <c r="BA849" i="1" l="1"/>
  <c r="BD849" i="1"/>
  <c r="AZ849" i="1"/>
  <c r="BJ849" i="1" l="1"/>
  <c r="BT849" i="1"/>
  <c r="BO849" i="1"/>
  <c r="BK849" i="1"/>
  <c r="BU849" i="1"/>
  <c r="BP849" i="1"/>
  <c r="BG849" i="1" l="1"/>
  <c r="BF849" i="1"/>
  <c r="AZ850" i="1" l="1"/>
  <c r="BC850" i="1"/>
  <c r="BD850" i="1"/>
  <c r="BA850" i="1"/>
  <c r="BP850" i="1" l="1"/>
  <c r="BU850" i="1"/>
  <c r="BK850" i="1"/>
  <c r="BG850" i="1" s="1"/>
  <c r="BD851" i="1" s="1"/>
  <c r="BT850" i="1"/>
  <c r="BO850" i="1"/>
  <c r="BJ850" i="1"/>
  <c r="BA851" i="1" l="1"/>
  <c r="BF850" i="1"/>
  <c r="AZ851" i="1" l="1"/>
  <c r="BC851" i="1"/>
  <c r="BK851" i="1"/>
  <c r="BU851" i="1"/>
  <c r="BP851" i="1"/>
  <c r="BG851" i="1" l="1"/>
  <c r="BO851" i="1"/>
  <c r="BJ851" i="1"/>
  <c r="BF851" i="1" s="1"/>
  <c r="BC852" i="1" s="1"/>
  <c r="BT851" i="1"/>
  <c r="AZ852" i="1"/>
  <c r="BD852" i="1" l="1"/>
  <c r="BA852" i="1"/>
  <c r="BK852" i="1" l="1"/>
  <c r="BU852" i="1"/>
  <c r="BP852" i="1"/>
  <c r="BT852" i="1"/>
  <c r="BJ852" i="1"/>
  <c r="BF852" i="1" s="1"/>
  <c r="BO852" i="1"/>
  <c r="BC853" i="1" l="1"/>
  <c r="AZ853" i="1"/>
  <c r="BG852" i="1"/>
  <c r="BA853" i="1" l="1"/>
  <c r="BO853" i="1" s="1"/>
  <c r="BD853" i="1"/>
  <c r="BU853" i="1" l="1"/>
  <c r="BP853" i="1"/>
  <c r="BK853" i="1"/>
  <c r="BG853" i="1" s="1"/>
  <c r="BA854" i="1" s="1"/>
  <c r="BJ853" i="1"/>
  <c r="BF853" i="1" s="1"/>
  <c r="BT853" i="1"/>
  <c r="BC854" i="1" l="1"/>
  <c r="AZ854" i="1"/>
  <c r="BK854" i="1" s="1"/>
  <c r="BD854" i="1"/>
  <c r="BP854" i="1" l="1"/>
  <c r="BG854" i="1" s="1"/>
  <c r="BO854" i="1"/>
  <c r="BJ854" i="1"/>
  <c r="BF854" i="1" s="1"/>
  <c r="BT854" i="1"/>
  <c r="BU854" i="1"/>
  <c r="BA855" i="1" l="1"/>
  <c r="BD855" i="1"/>
  <c r="AZ855" i="1"/>
  <c r="BC855" i="1"/>
  <c r="BO855" i="1" l="1"/>
  <c r="BJ855" i="1"/>
  <c r="BT855" i="1"/>
  <c r="BP855" i="1"/>
  <c r="BU855" i="1"/>
  <c r="BK855" i="1"/>
  <c r="BG855" i="1" s="1"/>
  <c r="BA856" i="1" s="1"/>
  <c r="BF855" i="1" l="1"/>
  <c r="BD856" i="1"/>
  <c r="AZ856" i="1" l="1"/>
  <c r="BC856" i="1"/>
  <c r="BO856" i="1" l="1"/>
  <c r="BT856" i="1"/>
  <c r="BJ856" i="1"/>
  <c r="BF856" i="1" s="1"/>
  <c r="BC857" i="1" s="1"/>
  <c r="BU856" i="1"/>
  <c r="BP856" i="1"/>
  <c r="BK856" i="1"/>
  <c r="AZ857" i="1"/>
  <c r="BG856" i="1" l="1"/>
  <c r="BD857" i="1" l="1"/>
  <c r="BA857" i="1"/>
  <c r="BP857" i="1" l="1"/>
  <c r="BU857" i="1"/>
  <c r="BK857" i="1"/>
  <c r="BG857" i="1" s="1"/>
  <c r="BD858" i="1" s="1"/>
  <c r="BT857" i="1"/>
  <c r="BO857" i="1"/>
  <c r="BJ857" i="1"/>
  <c r="BA858" i="1"/>
  <c r="BF857" i="1" l="1"/>
  <c r="BC858" i="1" l="1"/>
  <c r="AZ858" i="1"/>
  <c r="BJ858" i="1" l="1"/>
  <c r="BT858" i="1"/>
  <c r="BO858" i="1"/>
  <c r="BU858" i="1"/>
  <c r="BP858" i="1"/>
  <c r="BK858" i="1"/>
  <c r="BG858" i="1" s="1"/>
  <c r="BD859" i="1" l="1"/>
  <c r="BA859" i="1"/>
  <c r="BF858" i="1"/>
  <c r="AZ859" i="1" l="1"/>
  <c r="BP859" i="1" s="1"/>
  <c r="BC859" i="1"/>
  <c r="BO859" i="1" l="1"/>
  <c r="BT859" i="1"/>
  <c r="BJ859" i="1"/>
  <c r="BK859" i="1"/>
  <c r="BU859" i="1"/>
  <c r="BF859" i="1" l="1"/>
  <c r="BG859" i="1"/>
  <c r="BD860" i="1" l="1"/>
  <c r="BA860" i="1"/>
  <c r="BC860" i="1"/>
  <c r="AZ860" i="1"/>
  <c r="BT860" i="1" l="1"/>
  <c r="BJ860" i="1"/>
  <c r="BO860" i="1"/>
  <c r="BU860" i="1"/>
  <c r="BK860" i="1"/>
  <c r="BP860" i="1"/>
  <c r="BF860" i="1" l="1"/>
  <c r="BG860" i="1"/>
  <c r="BD861" i="1" l="1"/>
  <c r="BA861" i="1"/>
  <c r="BC861" i="1"/>
  <c r="AZ861" i="1"/>
  <c r="BK861" i="1" l="1"/>
  <c r="BU861" i="1"/>
  <c r="BP861" i="1"/>
  <c r="BO861" i="1"/>
  <c r="BJ861" i="1"/>
  <c r="BF861" i="1" s="1"/>
  <c r="BC862" i="1" s="1"/>
  <c r="BT861" i="1"/>
  <c r="AZ862" i="1" l="1"/>
  <c r="BG861" i="1"/>
  <c r="BD862" i="1" l="1"/>
  <c r="BA862" i="1"/>
  <c r="BT862" i="1"/>
  <c r="BJ862" i="1"/>
  <c r="BF862" i="1" s="1"/>
  <c r="BC863" i="1" s="1"/>
  <c r="BO862" i="1"/>
  <c r="AZ863" i="1" l="1"/>
  <c r="BU862" i="1"/>
  <c r="BK862" i="1"/>
  <c r="BG862" i="1" s="1"/>
  <c r="BA863" i="1" s="1"/>
  <c r="BP862" i="1"/>
  <c r="BD863" i="1" l="1"/>
  <c r="BK863" i="1"/>
  <c r="BP863" i="1"/>
  <c r="BU863" i="1"/>
  <c r="BT863" i="1"/>
  <c r="BJ863" i="1"/>
  <c r="BO863" i="1"/>
  <c r="BG863" i="1" l="1"/>
  <c r="BA864" i="1" s="1"/>
  <c r="BF863" i="1"/>
  <c r="BD864" i="1"/>
  <c r="BC864" i="1" l="1"/>
  <c r="AZ864" i="1"/>
  <c r="BK864" i="1" s="1"/>
  <c r="BU864" i="1"/>
  <c r="BP864" i="1" l="1"/>
  <c r="BG864" i="1" s="1"/>
  <c r="BO864" i="1"/>
  <c r="BT864" i="1"/>
  <c r="BJ864" i="1"/>
  <c r="BD865" i="1" l="1"/>
  <c r="BA865" i="1"/>
  <c r="BF864" i="1"/>
  <c r="BC865" i="1" l="1"/>
  <c r="AZ865" i="1"/>
  <c r="BJ865" i="1" l="1"/>
  <c r="BT865" i="1"/>
  <c r="BO865" i="1"/>
  <c r="BK865" i="1"/>
  <c r="BU865" i="1"/>
  <c r="BP865" i="1"/>
  <c r="BG865" i="1" l="1"/>
  <c r="BF865" i="1"/>
  <c r="BC866" i="1" l="1"/>
  <c r="AZ866" i="1"/>
  <c r="BA866" i="1"/>
  <c r="BD866" i="1"/>
  <c r="BP866" i="1" l="1"/>
  <c r="BJ866" i="1"/>
  <c r="BO866" i="1"/>
  <c r="BT866" i="1"/>
  <c r="BK866" i="1"/>
  <c r="BG866" i="1" s="1"/>
  <c r="BD867" i="1" s="1"/>
  <c r="BU866" i="1"/>
  <c r="BF866" i="1" l="1"/>
  <c r="BA867" i="1"/>
  <c r="BC867" i="1" l="1"/>
  <c r="AZ867" i="1"/>
  <c r="BT867" i="1" l="1"/>
  <c r="BO867" i="1"/>
  <c r="BJ867" i="1"/>
  <c r="BF867" i="1" s="1"/>
  <c r="AZ868" i="1" s="1"/>
  <c r="BP867" i="1"/>
  <c r="BK867" i="1"/>
  <c r="BU867" i="1"/>
  <c r="BG867" i="1" l="1"/>
  <c r="BC868" i="1"/>
  <c r="BD868" i="1" l="1"/>
  <c r="BA868" i="1"/>
  <c r="BK868" i="1" l="1"/>
  <c r="BU868" i="1"/>
  <c r="BP868" i="1"/>
  <c r="BO868" i="1"/>
  <c r="BT868" i="1"/>
  <c r="BJ868" i="1"/>
  <c r="BF868" i="1" s="1"/>
  <c r="BC869" i="1" l="1"/>
  <c r="AZ869" i="1"/>
  <c r="BG868" i="1"/>
  <c r="BD869" i="1" l="1"/>
  <c r="BA869" i="1"/>
  <c r="BK869" i="1" l="1"/>
  <c r="BU869" i="1"/>
  <c r="BP869" i="1"/>
  <c r="BG869" i="1" s="1"/>
  <c r="BA870" i="1" s="1"/>
  <c r="BT869" i="1"/>
  <c r="BO869" i="1"/>
  <c r="BJ869" i="1"/>
  <c r="BF869" i="1" s="1"/>
  <c r="BD870" i="1" l="1"/>
  <c r="AZ870" i="1"/>
  <c r="BC870" i="1"/>
  <c r="BJ870" i="1" l="1"/>
  <c r="BO870" i="1"/>
  <c r="BT870" i="1"/>
  <c r="BU870" i="1"/>
  <c r="BG870" i="1" s="1"/>
  <c r="BD871" i="1" s="1"/>
  <c r="BK870" i="1"/>
  <c r="BP870" i="1"/>
  <c r="BA871" i="1" l="1"/>
  <c r="BF870" i="1"/>
  <c r="BC871" i="1" l="1"/>
  <c r="AZ871" i="1"/>
  <c r="BP871" i="1"/>
  <c r="BU871" i="1"/>
  <c r="BJ871" i="1" l="1"/>
  <c r="BT871" i="1"/>
  <c r="BO871" i="1"/>
  <c r="BK871" i="1"/>
  <c r="BG871" i="1" s="1"/>
  <c r="BD872" i="1" l="1"/>
  <c r="BA872" i="1"/>
  <c r="BF871" i="1"/>
  <c r="BC872" i="1" l="1"/>
  <c r="AZ872" i="1"/>
  <c r="BJ872" i="1" l="1"/>
  <c r="BO872" i="1"/>
  <c r="BT872" i="1"/>
  <c r="BK872" i="1"/>
  <c r="BG872" i="1" s="1"/>
  <c r="BU872" i="1"/>
  <c r="BP872" i="1"/>
  <c r="BA873" i="1" l="1"/>
  <c r="BD873" i="1"/>
  <c r="BF872" i="1"/>
  <c r="BC873" i="1" l="1"/>
  <c r="AZ873" i="1"/>
  <c r="BK873" i="1"/>
  <c r="BP873" i="1"/>
  <c r="BU873" i="1"/>
  <c r="BG873" i="1" l="1"/>
  <c r="BJ873" i="1"/>
  <c r="BT873" i="1"/>
  <c r="BO873" i="1"/>
  <c r="BF873" i="1" l="1"/>
  <c r="BA874" i="1"/>
  <c r="BD874" i="1"/>
  <c r="BC874" i="1" l="1"/>
  <c r="AZ874" i="1"/>
  <c r="BO874" i="1" l="1"/>
  <c r="BJ874" i="1"/>
  <c r="BT874" i="1"/>
  <c r="BP874" i="1"/>
  <c r="BU874" i="1"/>
  <c r="BK874" i="1"/>
  <c r="BG874" i="1" s="1"/>
  <c r="BD875" i="1" l="1"/>
  <c r="BA875" i="1"/>
  <c r="BF874" i="1"/>
  <c r="BC875" i="1" l="1"/>
  <c r="AZ875" i="1"/>
  <c r="BO875" i="1" l="1"/>
  <c r="BJ875" i="1"/>
  <c r="BT875" i="1"/>
  <c r="BU875" i="1"/>
  <c r="BP875" i="1"/>
  <c r="BK875" i="1"/>
  <c r="BG875" i="1" s="1"/>
  <c r="BA876" i="1" l="1"/>
  <c r="BD876" i="1"/>
  <c r="BF875" i="1"/>
  <c r="AZ876" i="1" l="1"/>
  <c r="BC876" i="1"/>
  <c r="BK876" i="1"/>
  <c r="BP876" i="1"/>
  <c r="BU876" i="1"/>
  <c r="BT876" i="1" l="1"/>
  <c r="BO876" i="1"/>
  <c r="BJ876" i="1"/>
  <c r="BF876" i="1" s="1"/>
  <c r="BC877" i="1" s="1"/>
  <c r="BG876" i="1"/>
  <c r="AZ877" i="1" l="1"/>
  <c r="BA877" i="1"/>
  <c r="BD877" i="1"/>
  <c r="BK877" i="1" l="1"/>
  <c r="BU877" i="1"/>
  <c r="BP877" i="1"/>
  <c r="BT877" i="1"/>
  <c r="BO877" i="1"/>
  <c r="BJ877" i="1"/>
  <c r="BF877" i="1" s="1"/>
  <c r="BC878" i="1" l="1"/>
  <c r="AZ878" i="1"/>
  <c r="BG877" i="1"/>
  <c r="BA878" i="1" l="1"/>
  <c r="BO878" i="1" s="1"/>
  <c r="BD878" i="1"/>
  <c r="BP878" i="1" l="1"/>
  <c r="BK878" i="1"/>
  <c r="BU878" i="1"/>
  <c r="BT878" i="1"/>
  <c r="BJ878" i="1"/>
  <c r="BF878" i="1" s="1"/>
  <c r="AZ879" i="1" l="1"/>
  <c r="BC879" i="1"/>
  <c r="BG878" i="1"/>
  <c r="BA879" i="1" l="1"/>
  <c r="BD879" i="1"/>
  <c r="BJ879" i="1"/>
  <c r="BT879" i="1"/>
  <c r="BO879" i="1"/>
  <c r="BF879" i="1" l="1"/>
  <c r="BK879" i="1"/>
  <c r="BG879" i="1" s="1"/>
  <c r="BA880" i="1" s="1"/>
  <c r="BP879" i="1"/>
  <c r="BU879" i="1"/>
  <c r="BC880" i="1" l="1"/>
  <c r="AZ880" i="1"/>
  <c r="BD880" i="1"/>
  <c r="BT880" i="1" l="1"/>
  <c r="BJ880" i="1"/>
  <c r="BO880" i="1"/>
  <c r="BK880" i="1"/>
  <c r="BP880" i="1"/>
  <c r="BU880" i="1"/>
  <c r="BG880" i="1" l="1"/>
  <c r="BF880" i="1"/>
  <c r="BC881" i="1" l="1"/>
  <c r="AZ881" i="1"/>
  <c r="BA881" i="1"/>
  <c r="BD881" i="1"/>
  <c r="BJ881" i="1" l="1"/>
  <c r="BO881" i="1"/>
  <c r="BT881" i="1"/>
  <c r="BU881" i="1"/>
  <c r="BK881" i="1"/>
  <c r="BP881" i="1"/>
  <c r="BF881" i="1" l="1"/>
  <c r="BG881" i="1"/>
  <c r="BA882" i="1" l="1"/>
  <c r="BD882" i="1"/>
  <c r="BC882" i="1"/>
  <c r="AZ882" i="1"/>
  <c r="BJ882" i="1" l="1"/>
  <c r="BO882" i="1"/>
  <c r="BT882" i="1"/>
  <c r="BP882" i="1"/>
  <c r="BK882" i="1"/>
  <c r="BU882" i="1"/>
  <c r="BG882" i="1" l="1"/>
  <c r="BF882" i="1"/>
  <c r="AZ883" i="1" l="1"/>
  <c r="BC883" i="1"/>
  <c r="BA883" i="1"/>
  <c r="BD883" i="1"/>
  <c r="BU883" i="1" l="1"/>
  <c r="BP883" i="1"/>
  <c r="BK883" i="1"/>
  <c r="BJ883" i="1"/>
  <c r="BO883" i="1"/>
  <c r="BT883" i="1"/>
  <c r="BG883" i="1" l="1"/>
  <c r="BF883" i="1"/>
  <c r="BC884" i="1" l="1"/>
  <c r="AZ884" i="1"/>
  <c r="BD884" i="1"/>
  <c r="BA884" i="1"/>
  <c r="BJ884" i="1" l="1"/>
  <c r="BT884" i="1"/>
  <c r="BO884" i="1"/>
  <c r="BU884" i="1"/>
  <c r="BK884" i="1"/>
  <c r="BG884" i="1" s="1"/>
  <c r="BD885" i="1" s="1"/>
  <c r="BP884" i="1"/>
  <c r="BA885" i="1" l="1"/>
  <c r="BF884" i="1"/>
  <c r="BC885" i="1" l="1"/>
  <c r="AZ885" i="1"/>
  <c r="BU885" i="1"/>
  <c r="BK885" i="1"/>
  <c r="BJ885" i="1" l="1"/>
  <c r="BF885" i="1" s="1"/>
  <c r="AZ886" i="1" s="1"/>
  <c r="BT885" i="1"/>
  <c r="BO885" i="1"/>
  <c r="BP885" i="1"/>
  <c r="BG885" i="1" s="1"/>
  <c r="BD886" i="1" l="1"/>
  <c r="BA886" i="1"/>
  <c r="BO886" i="1"/>
  <c r="BJ886" i="1"/>
  <c r="BF886" i="1" s="1"/>
  <c r="AZ887" i="1" s="1"/>
  <c r="BT886" i="1"/>
  <c r="BC886" i="1"/>
  <c r="BC887" i="1" l="1"/>
  <c r="BU886" i="1"/>
  <c r="BK886" i="1"/>
  <c r="BP886" i="1"/>
  <c r="BG886" i="1" l="1"/>
  <c r="BA887" i="1" l="1"/>
  <c r="BD887" i="1"/>
  <c r="BK887" i="1" l="1"/>
  <c r="BU887" i="1"/>
  <c r="BP887" i="1"/>
  <c r="BO887" i="1"/>
  <c r="BT887" i="1"/>
  <c r="BJ887" i="1"/>
  <c r="BG887" i="1" l="1"/>
  <c r="BF887" i="1"/>
  <c r="BC888" i="1" l="1"/>
  <c r="AZ888" i="1"/>
  <c r="BD888" i="1"/>
  <c r="BA888" i="1"/>
  <c r="BU888" i="1" l="1"/>
  <c r="BK888" i="1"/>
  <c r="BG888" i="1" s="1"/>
  <c r="BA889" i="1" s="1"/>
  <c r="BP888" i="1"/>
  <c r="BT888" i="1"/>
  <c r="BJ888" i="1"/>
  <c r="BO888" i="1"/>
  <c r="BF888" i="1" l="1"/>
  <c r="BD889" i="1"/>
  <c r="BC889" i="1" l="1"/>
  <c r="AZ889" i="1"/>
  <c r="BO889" i="1" l="1"/>
  <c r="BT889" i="1"/>
  <c r="BJ889" i="1"/>
  <c r="BF889" i="1" s="1"/>
  <c r="BC890" i="1" s="1"/>
  <c r="BP889" i="1"/>
  <c r="BU889" i="1"/>
  <c r="BK889" i="1"/>
  <c r="BG889" i="1" s="1"/>
  <c r="AZ890" i="1"/>
  <c r="BD890" i="1" l="1"/>
  <c r="BA890" i="1"/>
  <c r="BJ890" i="1"/>
  <c r="BK890" i="1" l="1"/>
  <c r="BU890" i="1"/>
  <c r="BP890" i="1"/>
  <c r="BO890" i="1"/>
  <c r="BF890" i="1" s="1"/>
  <c r="BT890" i="1"/>
  <c r="AZ891" i="1" l="1"/>
  <c r="BC891" i="1"/>
  <c r="BG890" i="1"/>
  <c r="BA891" i="1" l="1"/>
  <c r="BD891" i="1"/>
  <c r="BP891" i="1" l="1"/>
  <c r="BJ891" i="1"/>
  <c r="BO891" i="1"/>
  <c r="BU891" i="1"/>
  <c r="BK891" i="1"/>
  <c r="BG891" i="1" s="1"/>
  <c r="BD892" i="1" s="1"/>
  <c r="BT891" i="1"/>
  <c r="BF891" i="1" l="1"/>
  <c r="BA892" i="1"/>
  <c r="AZ892" i="1" l="1"/>
  <c r="BP892" i="1" s="1"/>
  <c r="BC892" i="1"/>
  <c r="BK892" i="1"/>
  <c r="BO892" i="1" l="1"/>
  <c r="BJ892" i="1"/>
  <c r="BT892" i="1"/>
  <c r="BU892" i="1"/>
  <c r="BG892" i="1" s="1"/>
  <c r="BD893" i="1" l="1"/>
  <c r="BA893" i="1"/>
  <c r="BF892" i="1"/>
  <c r="BC893" i="1" l="1"/>
  <c r="AZ893" i="1"/>
  <c r="BT893" i="1" l="1"/>
  <c r="BK893" i="1"/>
  <c r="BO893" i="1"/>
  <c r="BP893" i="1"/>
  <c r="BU893" i="1"/>
  <c r="BJ893" i="1"/>
  <c r="BG893" i="1" l="1"/>
  <c r="BF893" i="1"/>
  <c r="AZ894" i="1" l="1"/>
  <c r="BC894" i="1"/>
  <c r="BD894" i="1"/>
  <c r="BA894" i="1"/>
  <c r="BK894" i="1" l="1"/>
  <c r="BP894" i="1"/>
  <c r="BU894" i="1"/>
  <c r="BT894" i="1"/>
  <c r="BO894" i="1"/>
  <c r="BJ894" i="1"/>
  <c r="BG894" i="1" l="1"/>
  <c r="BF894" i="1"/>
  <c r="BC895" i="1" l="1"/>
  <c r="AZ895" i="1"/>
  <c r="BA895" i="1"/>
  <c r="BD895" i="1"/>
  <c r="BO895" i="1" l="1"/>
  <c r="BJ895" i="1"/>
  <c r="BF895" i="1" s="1"/>
  <c r="BC896" i="1" s="1"/>
  <c r="BT895" i="1"/>
  <c r="BP895" i="1"/>
  <c r="BU895" i="1"/>
  <c r="BK895" i="1"/>
  <c r="BG895" i="1" l="1"/>
  <c r="AZ896" i="1"/>
  <c r="BA896" i="1" l="1"/>
  <c r="BO896" i="1" s="1"/>
  <c r="BD896" i="1"/>
  <c r="BT896" i="1" l="1"/>
  <c r="BP896" i="1"/>
  <c r="BU896" i="1"/>
  <c r="BG896" i="1" s="1"/>
  <c r="BD897" i="1" s="1"/>
  <c r="BK896" i="1"/>
  <c r="BA897" i="1"/>
  <c r="BJ896" i="1"/>
  <c r="BF896" i="1" s="1"/>
  <c r="BC897" i="1" l="1"/>
  <c r="AZ897" i="1"/>
  <c r="BT897" i="1" l="1"/>
  <c r="BJ897" i="1"/>
  <c r="BF897" i="1" s="1"/>
  <c r="BC898" i="1" s="1"/>
  <c r="BO897" i="1"/>
  <c r="BK897" i="1"/>
  <c r="AZ898" i="1"/>
  <c r="BU897" i="1"/>
  <c r="BP897" i="1"/>
  <c r="BG897" i="1" l="1"/>
  <c r="BD898" i="1" l="1"/>
  <c r="BA898" i="1"/>
  <c r="BP898" i="1" l="1"/>
  <c r="BK898" i="1"/>
  <c r="BU898" i="1"/>
  <c r="BT898" i="1"/>
  <c r="BJ898" i="1"/>
  <c r="BO898" i="1"/>
  <c r="BF898" i="1" l="1"/>
  <c r="BG898" i="1"/>
  <c r="BA899" i="1" l="1"/>
  <c r="BD899" i="1"/>
  <c r="BC899" i="1"/>
  <c r="AZ899" i="1"/>
  <c r="BO899" i="1" l="1"/>
  <c r="BT899" i="1"/>
  <c r="BJ899" i="1"/>
  <c r="BF899" i="1" s="1"/>
  <c r="BU899" i="1"/>
  <c r="BP899" i="1"/>
  <c r="BK899" i="1"/>
  <c r="BG899" i="1" s="1"/>
  <c r="BA900" i="1" s="1"/>
  <c r="AZ900" i="1" l="1"/>
  <c r="BU900" i="1" s="1"/>
  <c r="BC900" i="1"/>
  <c r="BK900" i="1"/>
  <c r="BD900" i="1"/>
  <c r="BT900" i="1" l="1"/>
  <c r="BO900" i="1"/>
  <c r="BJ900" i="1"/>
  <c r="BP900" i="1"/>
  <c r="BG900" i="1" s="1"/>
  <c r="BA901" i="1" l="1"/>
  <c r="BD901" i="1"/>
  <c r="BF900" i="1"/>
  <c r="AZ901" i="1" l="1"/>
  <c r="BC901" i="1"/>
  <c r="BT901" i="1" l="1"/>
  <c r="BK901" i="1"/>
  <c r="BP901" i="1"/>
  <c r="BJ901" i="1"/>
  <c r="BU901" i="1"/>
  <c r="BO901" i="1"/>
  <c r="BF901" i="1" l="1"/>
  <c r="BG901" i="1"/>
  <c r="BD902" i="1" l="1"/>
  <c r="BA902" i="1"/>
  <c r="AZ902" i="1"/>
  <c r="BC902" i="1"/>
  <c r="BU902" i="1" l="1"/>
  <c r="BP902" i="1"/>
  <c r="BK902" i="1"/>
  <c r="BJ902" i="1"/>
  <c r="BO902" i="1"/>
  <c r="BT902" i="1"/>
  <c r="BG902" i="1" l="1"/>
  <c r="BF902" i="1"/>
  <c r="AZ903" i="1" l="1"/>
  <c r="BC903" i="1"/>
  <c r="BA903" i="1"/>
  <c r="BD903" i="1"/>
  <c r="BP903" i="1" l="1"/>
  <c r="BK903" i="1"/>
  <c r="BG903" i="1" s="1"/>
  <c r="BA904" i="1" s="1"/>
  <c r="BU903" i="1"/>
  <c r="BJ903" i="1"/>
  <c r="BO903" i="1"/>
  <c r="BT903" i="1"/>
  <c r="BF903" i="1" l="1"/>
  <c r="BD904" i="1"/>
  <c r="BC904" i="1" l="1"/>
  <c r="AZ904" i="1"/>
  <c r="BO904" i="1" l="1"/>
  <c r="BU904" i="1"/>
  <c r="BJ904" i="1"/>
  <c r="BT904" i="1"/>
  <c r="BP904" i="1"/>
  <c r="BK904" i="1"/>
  <c r="BG904" i="1" s="1"/>
  <c r="BD905" i="1" s="1"/>
  <c r="BF904" i="1" l="1"/>
  <c r="BA905" i="1"/>
  <c r="AZ905" i="1" l="1"/>
  <c r="BC905" i="1"/>
  <c r="BO905" i="1" l="1"/>
  <c r="BJ905" i="1"/>
  <c r="BU905" i="1"/>
  <c r="BT905" i="1"/>
  <c r="BK905" i="1"/>
  <c r="BP905" i="1"/>
  <c r="BG905" i="1" l="1"/>
  <c r="BF905" i="1"/>
  <c r="AZ906" i="1" l="1"/>
  <c r="BC906" i="1"/>
  <c r="BD906" i="1"/>
  <c r="BA906" i="1"/>
  <c r="BU906" i="1" l="1"/>
  <c r="BK906" i="1"/>
  <c r="BG906" i="1" s="1"/>
  <c r="BD907" i="1" s="1"/>
  <c r="BP906" i="1"/>
  <c r="BJ906" i="1"/>
  <c r="BO906" i="1"/>
  <c r="BT906" i="1"/>
  <c r="BA907" i="1"/>
  <c r="BF906" i="1" l="1"/>
  <c r="BC907" i="1" l="1"/>
  <c r="AZ907" i="1"/>
  <c r="BT907" i="1" l="1"/>
  <c r="BO907" i="1"/>
  <c r="BP907" i="1"/>
  <c r="BJ907" i="1"/>
  <c r="BF907" i="1" s="1"/>
  <c r="BK907" i="1"/>
  <c r="BG907" i="1" s="1"/>
  <c r="BU907" i="1"/>
  <c r="AZ908" i="1"/>
  <c r="BC908" i="1"/>
  <c r="BA908" i="1" l="1"/>
  <c r="BD908" i="1"/>
  <c r="BJ908" i="1"/>
  <c r="BT908" i="1"/>
  <c r="BO908" i="1"/>
  <c r="BP908" i="1"/>
  <c r="BU908" i="1"/>
  <c r="BK908" i="1"/>
  <c r="BG908" i="1" s="1"/>
  <c r="BD909" i="1" l="1"/>
  <c r="BA909" i="1"/>
  <c r="BF908" i="1"/>
  <c r="BC909" i="1" l="1"/>
  <c r="AZ909" i="1"/>
  <c r="BP909" i="1" s="1"/>
  <c r="BK909" i="1" l="1"/>
  <c r="BU909" i="1"/>
  <c r="BG909" i="1" s="1"/>
  <c r="BD910" i="1" s="1"/>
  <c r="BJ909" i="1"/>
  <c r="BO909" i="1"/>
  <c r="BT909" i="1"/>
  <c r="BA910" i="1" l="1"/>
  <c r="BF909" i="1"/>
  <c r="AZ910" i="1" l="1"/>
  <c r="BC910" i="1"/>
  <c r="BU910" i="1"/>
  <c r="BK910" i="1"/>
  <c r="BP910" i="1"/>
  <c r="BG910" i="1" s="1"/>
  <c r="BA911" i="1" l="1"/>
  <c r="BD911" i="1"/>
  <c r="BT910" i="1"/>
  <c r="BJ910" i="1"/>
  <c r="BF910" i="1" s="1"/>
  <c r="AZ911" i="1" s="1"/>
  <c r="BO910" i="1"/>
  <c r="BJ911" i="1" l="1"/>
  <c r="BT911" i="1"/>
  <c r="BO911" i="1"/>
  <c r="BU911" i="1"/>
  <c r="BP911" i="1"/>
  <c r="BK911" i="1"/>
  <c r="BC911" i="1"/>
  <c r="BG911" i="1" l="1"/>
  <c r="BD912" i="1" s="1"/>
  <c r="BF911" i="1"/>
  <c r="AZ912" i="1" s="1"/>
  <c r="BC912" i="1" l="1"/>
  <c r="BA912" i="1"/>
  <c r="BT912" i="1" s="1"/>
  <c r="BU912" i="1" l="1"/>
  <c r="BK912" i="1"/>
  <c r="BP912" i="1"/>
  <c r="BO912" i="1"/>
  <c r="BJ912" i="1"/>
  <c r="BG912" i="1" l="1"/>
  <c r="BF912" i="1"/>
  <c r="BA913" i="1" l="1"/>
  <c r="BD913" i="1"/>
  <c r="AZ913" i="1"/>
  <c r="BC913" i="1"/>
  <c r="BT913" i="1" l="1"/>
  <c r="BJ913" i="1"/>
  <c r="BO913" i="1"/>
  <c r="BK913" i="1"/>
  <c r="BU913" i="1"/>
  <c r="BP913" i="1"/>
  <c r="BG913" i="1" l="1"/>
  <c r="BD914" i="1" s="1"/>
  <c r="BF913" i="1"/>
  <c r="AZ914" i="1" l="1"/>
  <c r="BC914" i="1"/>
  <c r="BA914" i="1"/>
  <c r="BK914" i="1" l="1"/>
  <c r="BP914" i="1"/>
  <c r="BU914" i="1"/>
  <c r="BJ914" i="1"/>
  <c r="BO914" i="1"/>
  <c r="BT914" i="1"/>
  <c r="BF914" i="1" l="1"/>
  <c r="BG914" i="1"/>
  <c r="BD915" i="1" s="1"/>
  <c r="BA915" i="1" l="1"/>
  <c r="AZ915" i="1"/>
  <c r="BC915" i="1"/>
  <c r="BJ915" i="1" l="1"/>
  <c r="BT915" i="1"/>
  <c r="BO915" i="1"/>
  <c r="BK915" i="1"/>
  <c r="BU915" i="1"/>
  <c r="BP915" i="1"/>
  <c r="BF915" i="1" l="1"/>
  <c r="BG915" i="1"/>
  <c r="BD916" i="1" s="1"/>
  <c r="BA916" i="1" l="1"/>
  <c r="BC916" i="1"/>
  <c r="AZ916" i="1"/>
  <c r="BT916" i="1" l="1"/>
  <c r="BJ916" i="1"/>
  <c r="BO916" i="1"/>
  <c r="BK916" i="1"/>
  <c r="BP916" i="1"/>
  <c r="BU916" i="1"/>
  <c r="BG916" i="1" s="1"/>
  <c r="BA917" i="1" l="1"/>
  <c r="BD917" i="1"/>
  <c r="BF916" i="1"/>
  <c r="AZ917" i="1" s="1"/>
  <c r="BP917" i="1" s="1"/>
  <c r="BJ917" i="1"/>
  <c r="BK917" i="1"/>
  <c r="BO917" i="1" l="1"/>
  <c r="BT917" i="1"/>
  <c r="BU917" i="1"/>
  <c r="BC917" i="1"/>
  <c r="BG917" i="1"/>
  <c r="BA918" i="1" s="1"/>
  <c r="BF917" i="1"/>
  <c r="AZ918" i="1" s="1"/>
  <c r="BD918" i="1" l="1"/>
  <c r="BJ918" i="1"/>
  <c r="BO918" i="1"/>
  <c r="BT918" i="1"/>
  <c r="BC918" i="1"/>
  <c r="BK918" i="1"/>
  <c r="BP918" i="1"/>
  <c r="BU918" i="1"/>
  <c r="BG918" i="1" l="1"/>
  <c r="BA919" i="1" s="1"/>
  <c r="BD919" i="1"/>
  <c r="BF918" i="1"/>
  <c r="AZ919" i="1" s="1"/>
  <c r="BO919" i="1" l="1"/>
  <c r="BJ919" i="1"/>
  <c r="BF919" i="1" s="1"/>
  <c r="AZ920" i="1" s="1"/>
  <c r="BT919" i="1"/>
  <c r="BK919" i="1"/>
  <c r="BP919" i="1"/>
  <c r="BU919" i="1"/>
  <c r="BC919" i="1"/>
  <c r="BG919" i="1" l="1"/>
  <c r="BD920" i="1" s="1"/>
  <c r="BC920" i="1"/>
  <c r="BA920" i="1" l="1"/>
  <c r="BU920" i="1" l="1"/>
  <c r="BP920" i="1"/>
  <c r="BK920" i="1"/>
  <c r="BG920" i="1" s="1"/>
  <c r="BO920" i="1"/>
  <c r="BT920" i="1"/>
  <c r="BJ920" i="1"/>
  <c r="BF920" i="1" s="1"/>
  <c r="BA921" i="1" l="1"/>
  <c r="BD921" i="1"/>
  <c r="AZ921" i="1"/>
  <c r="BC921" i="1"/>
  <c r="BK921" i="1"/>
  <c r="BU921" i="1"/>
  <c r="BP921" i="1"/>
  <c r="BG921" i="1" l="1"/>
  <c r="BA922" i="1" s="1"/>
  <c r="BT921" i="1"/>
  <c r="BJ921" i="1"/>
  <c r="BO921" i="1"/>
  <c r="BF921" i="1" l="1"/>
  <c r="BC922" i="1" s="1"/>
  <c r="BD922" i="1"/>
  <c r="AZ922" i="1"/>
  <c r="BJ922" i="1" l="1"/>
  <c r="BO922" i="1"/>
  <c r="BT922" i="1"/>
  <c r="BK922" i="1"/>
  <c r="BP922" i="1"/>
  <c r="BU922" i="1"/>
  <c r="BG922" i="1" l="1"/>
  <c r="BD923" i="1" s="1"/>
  <c r="BF922" i="1"/>
  <c r="BC923" i="1" l="1"/>
  <c r="AZ923" i="1"/>
  <c r="BA923" i="1"/>
  <c r="BJ923" i="1" l="1"/>
  <c r="BT923" i="1"/>
  <c r="BO923" i="1"/>
  <c r="BU923" i="1"/>
  <c r="BP923" i="1"/>
  <c r="BK923" i="1"/>
  <c r="BG923" i="1" l="1"/>
  <c r="BF923" i="1"/>
  <c r="BA924" i="1" l="1"/>
  <c r="BD924" i="1"/>
  <c r="BC924" i="1"/>
  <c r="AZ924" i="1"/>
  <c r="BO924" i="1" l="1"/>
  <c r="BT924" i="1"/>
  <c r="BJ924" i="1"/>
  <c r="BF924" i="1" s="1"/>
  <c r="AZ925" i="1" s="1"/>
  <c r="BU924" i="1"/>
  <c r="BK924" i="1"/>
  <c r="BP924" i="1"/>
  <c r="BC925" i="1"/>
  <c r="BG924" i="1" l="1"/>
  <c r="BD925" i="1" s="1"/>
  <c r="BA925" i="1" l="1"/>
  <c r="BU925" i="1" l="1"/>
  <c r="BK925" i="1"/>
  <c r="BP925" i="1"/>
  <c r="BJ925" i="1"/>
  <c r="BO925" i="1"/>
  <c r="BT925" i="1"/>
  <c r="BF925" i="1" l="1"/>
  <c r="BG925" i="1"/>
  <c r="BD926" i="1" s="1"/>
  <c r="BA926" i="1" l="1"/>
  <c r="AZ926" i="1"/>
  <c r="BC926" i="1"/>
  <c r="BJ926" i="1" l="1"/>
  <c r="BO926" i="1"/>
  <c r="BT926" i="1"/>
  <c r="BU926" i="1"/>
  <c r="BK926" i="1"/>
  <c r="BP926" i="1"/>
  <c r="BG926" i="1" l="1"/>
  <c r="BF926" i="1"/>
  <c r="BA927" i="1" l="1"/>
  <c r="BD927" i="1"/>
  <c r="BC927" i="1"/>
  <c r="AZ927" i="1"/>
  <c r="BJ927" i="1" l="1"/>
  <c r="BT927" i="1"/>
  <c r="BO927" i="1"/>
  <c r="BU927" i="1"/>
  <c r="BK927" i="1"/>
  <c r="BP927" i="1"/>
  <c r="BG927" i="1" l="1"/>
  <c r="BD928" i="1" s="1"/>
  <c r="BF927" i="1"/>
  <c r="AZ928" i="1" l="1"/>
  <c r="BC928" i="1"/>
  <c r="BA928" i="1"/>
  <c r="BU928" i="1" l="1"/>
  <c r="BK928" i="1"/>
  <c r="BG928" i="1" s="1"/>
  <c r="BP928" i="1"/>
  <c r="BJ928" i="1"/>
  <c r="BT928" i="1"/>
  <c r="BO928" i="1"/>
  <c r="BA929" i="1" l="1"/>
  <c r="BD929" i="1"/>
  <c r="BF928" i="1"/>
  <c r="AZ929" i="1" l="1"/>
  <c r="BC929" i="1"/>
  <c r="BO929" i="1" l="1"/>
  <c r="BT929" i="1"/>
  <c r="BJ929" i="1"/>
  <c r="BF929" i="1" s="1"/>
  <c r="BC930" i="1" s="1"/>
  <c r="BU929" i="1"/>
  <c r="BK929" i="1"/>
  <c r="BP929" i="1"/>
  <c r="BG929" i="1" l="1"/>
  <c r="BD930" i="1" s="1"/>
  <c r="AZ930" i="1"/>
  <c r="BA930" i="1"/>
  <c r="BK930" i="1" l="1"/>
  <c r="BP930" i="1"/>
  <c r="BU930" i="1"/>
  <c r="BJ930" i="1"/>
  <c r="BO930" i="1"/>
  <c r="BT930" i="1"/>
  <c r="BF930" i="1" l="1"/>
  <c r="BG930" i="1"/>
  <c r="BD931" i="1" s="1"/>
  <c r="BA931" i="1" l="1"/>
  <c r="BC931" i="1"/>
  <c r="AZ931" i="1"/>
  <c r="BJ931" i="1" l="1"/>
  <c r="BT931" i="1"/>
  <c r="BO931" i="1"/>
  <c r="BK931" i="1"/>
  <c r="BU931" i="1"/>
  <c r="BP931" i="1"/>
  <c r="BG931" i="1" l="1"/>
  <c r="BD932" i="1" s="1"/>
  <c r="BF931" i="1"/>
  <c r="AZ932" i="1" l="1"/>
  <c r="BC932" i="1"/>
  <c r="BA932" i="1"/>
  <c r="BK932" i="1" l="1"/>
  <c r="BU932" i="1"/>
  <c r="BP932" i="1"/>
  <c r="BJ932" i="1"/>
  <c r="BO932" i="1"/>
  <c r="BT932" i="1"/>
  <c r="BF932" i="1" l="1"/>
  <c r="BG932" i="1"/>
  <c r="BD933" i="1" s="1"/>
  <c r="BA933" i="1" l="1"/>
  <c r="BC933" i="1"/>
  <c r="AZ933" i="1"/>
  <c r="BJ933" i="1" l="1"/>
  <c r="BT933" i="1"/>
  <c r="BO933" i="1"/>
  <c r="BK933" i="1"/>
  <c r="BU933" i="1"/>
  <c r="BP933" i="1"/>
  <c r="BG933" i="1" l="1"/>
  <c r="BF933" i="1"/>
  <c r="BA934" i="1" l="1"/>
  <c r="BD934" i="1"/>
  <c r="AZ934" i="1"/>
  <c r="BC934" i="1"/>
  <c r="BJ934" i="1" l="1"/>
  <c r="BO934" i="1"/>
  <c r="BT934" i="1"/>
  <c r="BU934" i="1"/>
  <c r="BP934" i="1"/>
  <c r="BK934" i="1"/>
  <c r="BG934" i="1" l="1"/>
  <c r="BD935" i="1" s="1"/>
  <c r="BF934" i="1"/>
  <c r="BC935" i="1" l="1"/>
  <c r="AZ935" i="1"/>
  <c r="BA935" i="1"/>
  <c r="BJ935" i="1" l="1"/>
  <c r="BT935" i="1"/>
  <c r="BO935" i="1"/>
  <c r="BK935" i="1"/>
  <c r="BU935" i="1"/>
  <c r="BP935" i="1"/>
  <c r="BG935" i="1" l="1"/>
  <c r="BD936" i="1" s="1"/>
  <c r="BF935" i="1"/>
  <c r="BC936" i="1" l="1"/>
  <c r="AZ936" i="1"/>
  <c r="BA936" i="1"/>
  <c r="BJ936" i="1" l="1"/>
  <c r="BO936" i="1"/>
  <c r="BT936" i="1"/>
  <c r="BU936" i="1"/>
  <c r="BK936" i="1"/>
  <c r="BP936" i="1"/>
  <c r="BG936" i="1" l="1"/>
  <c r="BF936" i="1"/>
  <c r="BA937" i="1" l="1"/>
  <c r="BD937" i="1"/>
  <c r="BC937" i="1"/>
  <c r="AZ937" i="1"/>
  <c r="BJ937" i="1" l="1"/>
  <c r="BT937" i="1"/>
  <c r="BO937" i="1"/>
  <c r="BU937" i="1"/>
  <c r="BK937" i="1"/>
  <c r="BP937" i="1"/>
  <c r="BG937" i="1" l="1"/>
  <c r="BD938" i="1" s="1"/>
  <c r="BF937" i="1"/>
  <c r="BC938" i="1" l="1"/>
  <c r="AZ938" i="1"/>
  <c r="BA938" i="1"/>
  <c r="BJ938" i="1" l="1"/>
  <c r="BO938" i="1"/>
  <c r="BT938" i="1"/>
  <c r="BU938" i="1"/>
  <c r="BK938" i="1"/>
  <c r="BP938" i="1"/>
  <c r="BG938" i="1" s="1"/>
  <c r="BA939" i="1" l="1"/>
  <c r="BD939" i="1"/>
  <c r="BF938" i="1"/>
  <c r="BC939" i="1" l="1"/>
  <c r="AZ939" i="1"/>
  <c r="BO939" i="1" l="1"/>
  <c r="BK939" i="1"/>
  <c r="BP939" i="1"/>
  <c r="BJ939" i="1"/>
  <c r="BU939" i="1"/>
  <c r="BT939" i="1"/>
  <c r="BG939" i="1" l="1"/>
  <c r="BF939" i="1"/>
  <c r="AZ940" i="1" l="1"/>
  <c r="BC940" i="1"/>
  <c r="BA940" i="1"/>
  <c r="BD940" i="1"/>
  <c r="BP940" i="1" l="1"/>
  <c r="BU940" i="1"/>
  <c r="BK940" i="1"/>
  <c r="BG940" i="1" s="1"/>
  <c r="BA941" i="1" s="1"/>
  <c r="BD941" i="1"/>
  <c r="BO940" i="1"/>
  <c r="BT940" i="1"/>
  <c r="BJ940" i="1"/>
  <c r="BF940" i="1" l="1"/>
  <c r="AZ941" i="1" l="1"/>
  <c r="BC941" i="1"/>
  <c r="BK941" i="1" l="1"/>
  <c r="BP941" i="1"/>
  <c r="BU941" i="1"/>
  <c r="BT941" i="1"/>
  <c r="BJ941" i="1"/>
  <c r="BF941" i="1" s="1"/>
  <c r="BO941" i="1"/>
  <c r="BC942" i="1" l="1"/>
  <c r="AZ942" i="1"/>
  <c r="BG941" i="1"/>
  <c r="BD942" i="1" l="1"/>
  <c r="BA942" i="1"/>
  <c r="BK942" i="1" l="1"/>
  <c r="BU942" i="1"/>
  <c r="BP942" i="1"/>
  <c r="BT942" i="1"/>
  <c r="BJ942" i="1"/>
  <c r="BO942" i="1"/>
  <c r="BF942" i="1" l="1"/>
  <c r="BG942" i="1"/>
  <c r="BD943" i="1" l="1"/>
  <c r="BA943" i="1"/>
  <c r="AZ943" i="1"/>
  <c r="BC943" i="1"/>
  <c r="BU943" i="1" l="1"/>
  <c r="BP943" i="1"/>
  <c r="BK943" i="1"/>
  <c r="BG943" i="1" s="1"/>
  <c r="BJ943" i="1"/>
  <c r="BF943" i="1" s="1"/>
  <c r="BC944" i="1" s="1"/>
  <c r="BT943" i="1"/>
  <c r="BO943" i="1"/>
  <c r="BD944" i="1"/>
  <c r="BA944" i="1"/>
  <c r="AZ944" i="1" l="1"/>
  <c r="BJ944" i="1" s="1"/>
  <c r="BT944" i="1"/>
  <c r="BO944" i="1"/>
  <c r="BK944" i="1"/>
  <c r="BU944" i="1"/>
  <c r="BP944" i="1"/>
  <c r="BG944" i="1" l="1"/>
  <c r="BD945" i="1" s="1"/>
  <c r="BF944" i="1"/>
  <c r="BC945" i="1" l="1"/>
  <c r="AZ945" i="1"/>
  <c r="BA945" i="1"/>
  <c r="BK945" i="1" l="1"/>
  <c r="BU945" i="1"/>
  <c r="BP945" i="1"/>
  <c r="BO945" i="1"/>
  <c r="BT945" i="1"/>
  <c r="BJ945" i="1"/>
  <c r="BF945" i="1" l="1"/>
  <c r="BG945" i="1"/>
  <c r="BD946" i="1" s="1"/>
  <c r="BA946" i="1" l="1"/>
  <c r="BC946" i="1"/>
  <c r="AZ946" i="1"/>
  <c r="BJ946" i="1" l="1"/>
  <c r="BT946" i="1"/>
  <c r="BO946" i="1"/>
  <c r="BU946" i="1"/>
  <c r="BP946" i="1"/>
  <c r="BK946" i="1"/>
  <c r="BF946" i="1" l="1"/>
  <c r="BG946" i="1"/>
  <c r="BD947" i="1" s="1"/>
  <c r="BA947" i="1" l="1"/>
  <c r="BC947" i="1"/>
  <c r="AZ947" i="1"/>
  <c r="BJ947" i="1" l="1"/>
  <c r="BT947" i="1"/>
  <c r="BO947" i="1"/>
  <c r="BK947" i="1"/>
  <c r="BP947" i="1"/>
  <c r="BU947" i="1"/>
  <c r="BG947" i="1" l="1"/>
  <c r="BD948" i="1" s="1"/>
  <c r="BF947" i="1"/>
  <c r="AZ948" i="1" l="1"/>
  <c r="BC948" i="1"/>
  <c r="BA948" i="1"/>
  <c r="BP948" i="1" l="1"/>
  <c r="BU948" i="1"/>
  <c r="BK948" i="1"/>
  <c r="BG948" i="1" s="1"/>
  <c r="BJ948" i="1"/>
  <c r="BT948" i="1"/>
  <c r="BO948" i="1"/>
  <c r="BA949" i="1" l="1"/>
  <c r="BD949" i="1"/>
  <c r="BF948" i="1"/>
  <c r="AZ949" i="1" l="1"/>
  <c r="BC949" i="1"/>
  <c r="BT949" i="1" l="1"/>
  <c r="BO949" i="1"/>
  <c r="BJ949" i="1"/>
  <c r="BF949" i="1" s="1"/>
  <c r="AZ950" i="1" s="1"/>
  <c r="BK949" i="1"/>
  <c r="BP949" i="1"/>
  <c r="BU949" i="1"/>
  <c r="BC950" i="1" l="1"/>
  <c r="BG949" i="1"/>
  <c r="BD950" i="1" s="1"/>
  <c r="BA950" i="1" l="1"/>
  <c r="BU950" i="1" l="1"/>
  <c r="BK950" i="1"/>
  <c r="BP950" i="1"/>
  <c r="BJ950" i="1"/>
  <c r="BO950" i="1"/>
  <c r="BT950" i="1"/>
  <c r="BF950" i="1" l="1"/>
  <c r="AZ951" i="1"/>
  <c r="BC951" i="1"/>
  <c r="BG950" i="1"/>
  <c r="BD951" i="1" s="1"/>
  <c r="BA951" i="1" l="1"/>
  <c r="BO951" i="1" s="1"/>
  <c r="BT951" i="1"/>
  <c r="BJ951" i="1"/>
  <c r="BF951" i="1" l="1"/>
  <c r="BP951" i="1"/>
  <c r="BU951" i="1"/>
  <c r="BK951" i="1"/>
  <c r="BG951" i="1" s="1"/>
  <c r="BA952" i="1" l="1"/>
  <c r="BD952" i="1"/>
  <c r="AZ952" i="1"/>
  <c r="BK952" i="1" s="1"/>
  <c r="BC952" i="1"/>
  <c r="BJ952" i="1" l="1"/>
  <c r="BT952" i="1"/>
  <c r="BO952" i="1"/>
  <c r="BP952" i="1"/>
  <c r="BG952" i="1" s="1"/>
  <c r="BD953" i="1" s="1"/>
  <c r="BU952" i="1"/>
  <c r="BA953" i="1" l="1"/>
  <c r="BF952" i="1"/>
  <c r="AZ953" i="1" l="1"/>
  <c r="BC953" i="1"/>
  <c r="BP953" i="1"/>
  <c r="BU953" i="1"/>
  <c r="BK953" i="1"/>
  <c r="BG953" i="1" s="1"/>
  <c r="BA954" i="1" l="1"/>
  <c r="BD954" i="1"/>
  <c r="BJ953" i="1"/>
  <c r="BT953" i="1"/>
  <c r="BO953" i="1"/>
  <c r="BF953" i="1" l="1"/>
  <c r="BC954" i="1" l="1"/>
  <c r="AZ954" i="1"/>
  <c r="BJ954" i="1" l="1"/>
  <c r="BT954" i="1"/>
  <c r="BO954" i="1"/>
  <c r="BK954" i="1"/>
  <c r="BU954" i="1"/>
  <c r="BP954" i="1"/>
  <c r="BG954" i="1" l="1"/>
  <c r="BD955" i="1" s="1"/>
  <c r="BF954" i="1"/>
  <c r="AZ955" i="1" l="1"/>
  <c r="BC955" i="1"/>
  <c r="BA955" i="1"/>
  <c r="BU955" i="1" l="1"/>
  <c r="BK955" i="1"/>
  <c r="BG955" i="1" s="1"/>
  <c r="BP955" i="1"/>
  <c r="BO955" i="1"/>
  <c r="BJ955" i="1"/>
  <c r="BT955" i="1"/>
  <c r="BF955" i="1" s="1"/>
  <c r="AZ956" i="1" s="1"/>
  <c r="BA956" i="1" l="1"/>
  <c r="BD956" i="1"/>
  <c r="BP956" i="1"/>
  <c r="BK956" i="1"/>
  <c r="BU956" i="1"/>
  <c r="BC956" i="1"/>
  <c r="BJ956" i="1"/>
  <c r="BO956" i="1"/>
  <c r="BT956" i="1"/>
  <c r="BF956" i="1" l="1"/>
  <c r="AZ957" i="1" s="1"/>
  <c r="BG956" i="1"/>
  <c r="BA957" i="1" s="1"/>
  <c r="BC957" i="1" l="1"/>
  <c r="BD957" i="1"/>
  <c r="BU957" i="1"/>
  <c r="BK957" i="1"/>
  <c r="BP957" i="1"/>
  <c r="BJ957" i="1"/>
  <c r="BF957" i="1" s="1"/>
  <c r="AZ958" i="1" s="1"/>
  <c r="BO957" i="1"/>
  <c r="BT957" i="1"/>
  <c r="BC958" i="1" l="1"/>
  <c r="BG957" i="1"/>
  <c r="BA958" i="1" s="1"/>
  <c r="BT958" i="1" s="1"/>
  <c r="BD958" i="1" l="1"/>
  <c r="BO958" i="1"/>
  <c r="BP958" i="1"/>
  <c r="BU958" i="1"/>
  <c r="BK958" i="1"/>
  <c r="BJ958" i="1"/>
  <c r="BF958" i="1" s="1"/>
  <c r="BC959" i="1" s="1"/>
  <c r="BG958" i="1" l="1"/>
  <c r="BA959" i="1" s="1"/>
  <c r="BD959" i="1"/>
  <c r="AZ959" i="1"/>
  <c r="BU959" i="1"/>
  <c r="BJ959" i="1" l="1"/>
  <c r="BT959" i="1"/>
  <c r="BO959" i="1"/>
  <c r="BP959" i="1"/>
  <c r="BK959" i="1"/>
  <c r="BG959" i="1" s="1"/>
  <c r="BA960" i="1" s="1"/>
  <c r="BD960" i="1" l="1"/>
  <c r="BF959" i="1"/>
  <c r="BC960" i="1" l="1"/>
  <c r="AZ960" i="1"/>
  <c r="BJ960" i="1" l="1"/>
  <c r="BO960" i="1"/>
  <c r="BT960" i="1"/>
  <c r="BU960" i="1"/>
  <c r="BP960" i="1"/>
  <c r="BK960" i="1"/>
  <c r="BG960" i="1" l="1"/>
  <c r="BD961" i="1" s="1"/>
  <c r="BF960" i="1"/>
  <c r="AZ961" i="1" l="1"/>
  <c r="BC961" i="1"/>
  <c r="BA961" i="1"/>
  <c r="BP961" i="1" l="1"/>
  <c r="BU961" i="1"/>
  <c r="BK961" i="1"/>
  <c r="BG961" i="1" s="1"/>
  <c r="BJ961" i="1"/>
  <c r="BO961" i="1"/>
  <c r="BT961" i="1"/>
  <c r="BA962" i="1" l="1"/>
  <c r="BD962" i="1"/>
  <c r="BF961" i="1"/>
  <c r="AZ962" i="1" l="1"/>
  <c r="BC962" i="1"/>
  <c r="BT962" i="1" l="1"/>
  <c r="BJ962" i="1"/>
  <c r="BF962" i="1" s="1"/>
  <c r="BC963" i="1" s="1"/>
  <c r="BO962" i="1"/>
  <c r="BU962" i="1"/>
  <c r="BK962" i="1"/>
  <c r="BP962" i="1"/>
  <c r="BG962" i="1" l="1"/>
  <c r="BD963" i="1" s="1"/>
  <c r="BA963" i="1"/>
  <c r="AZ963" i="1"/>
  <c r="BO963" i="1" l="1"/>
  <c r="BT963" i="1"/>
  <c r="BJ963" i="1"/>
  <c r="BP963" i="1"/>
  <c r="BK963" i="1"/>
  <c r="BU963" i="1"/>
  <c r="BG963" i="1" l="1"/>
  <c r="BF963" i="1"/>
  <c r="BC964" i="1" l="1"/>
  <c r="AZ964" i="1"/>
  <c r="BA964" i="1"/>
  <c r="BD964" i="1"/>
  <c r="BU964" i="1" l="1"/>
  <c r="BK964" i="1"/>
  <c r="BP964" i="1"/>
  <c r="BT964" i="1"/>
  <c r="BO964" i="1"/>
  <c r="BJ964" i="1"/>
  <c r="BF964" i="1" s="1"/>
  <c r="AZ965" i="1" s="1"/>
  <c r="BC965" i="1"/>
  <c r="BG964" i="1" l="1"/>
  <c r="BD965" i="1" l="1"/>
  <c r="BA965" i="1"/>
  <c r="BK965" i="1" l="1"/>
  <c r="BU965" i="1"/>
  <c r="BJ965" i="1"/>
  <c r="BO965" i="1"/>
  <c r="BP965" i="1"/>
  <c r="BT965" i="1"/>
  <c r="BF965" i="1" l="1"/>
  <c r="BG965" i="1"/>
  <c r="BD966" i="1" l="1"/>
  <c r="BA966" i="1"/>
  <c r="BC966" i="1"/>
  <c r="AZ966" i="1"/>
  <c r="BO966" i="1" l="1"/>
  <c r="BJ966" i="1"/>
  <c r="BF966" i="1" s="1"/>
  <c r="BC967" i="1" s="1"/>
  <c r="BT966" i="1"/>
  <c r="BU966" i="1"/>
  <c r="BK966" i="1"/>
  <c r="BP966" i="1"/>
  <c r="BG966" i="1" l="1"/>
  <c r="AZ967" i="1"/>
  <c r="BA967" i="1" l="1"/>
  <c r="BD967" i="1"/>
  <c r="BJ967" i="1" l="1"/>
  <c r="BU967" i="1"/>
  <c r="BK967" i="1"/>
  <c r="BP967" i="1"/>
  <c r="BO967" i="1"/>
  <c r="BT967" i="1"/>
  <c r="BF967" i="1" l="1"/>
  <c r="BG967" i="1"/>
  <c r="BD968" i="1" l="1"/>
  <c r="BA968" i="1"/>
  <c r="BC968" i="1"/>
  <c r="AZ968" i="1"/>
  <c r="BP968" i="1" l="1"/>
  <c r="BU968" i="1"/>
  <c r="BK968" i="1"/>
  <c r="BG968" i="1" s="1"/>
  <c r="BJ968" i="1"/>
  <c r="BF968" i="1" s="1"/>
  <c r="BT968" i="1"/>
  <c r="BO968" i="1"/>
  <c r="BD969" i="1"/>
  <c r="BA969" i="1"/>
  <c r="BC969" i="1" l="1"/>
  <c r="AZ969" i="1"/>
  <c r="BT969" i="1" s="1"/>
  <c r="BU969" i="1"/>
  <c r="BK969" i="1"/>
  <c r="BJ969" i="1"/>
  <c r="BO969" i="1"/>
  <c r="BF969" i="1" l="1"/>
  <c r="BP969" i="1"/>
  <c r="BG969" i="1" s="1"/>
  <c r="BC970" i="1"/>
  <c r="AZ970" i="1"/>
  <c r="BA970" i="1" l="1"/>
  <c r="BD970" i="1"/>
  <c r="BP970" i="1"/>
  <c r="BK970" i="1"/>
  <c r="BJ970" i="1"/>
  <c r="BO970" i="1"/>
  <c r="BT970" i="1"/>
  <c r="BU970" i="1"/>
  <c r="BG970" i="1" l="1"/>
  <c r="BD971" i="1" s="1"/>
  <c r="BF970" i="1"/>
  <c r="BC971" i="1" l="1"/>
  <c r="AZ971" i="1"/>
  <c r="BA971" i="1"/>
  <c r="BJ971" i="1" l="1"/>
  <c r="BT971" i="1"/>
  <c r="BO971" i="1"/>
  <c r="BK971" i="1"/>
  <c r="BU971" i="1"/>
  <c r="BP971" i="1"/>
  <c r="BG971" i="1" l="1"/>
  <c r="BF971" i="1"/>
  <c r="BA972" i="1" l="1"/>
  <c r="BD972" i="1"/>
  <c r="BC972" i="1"/>
  <c r="AZ972" i="1"/>
  <c r="BT972" i="1" l="1"/>
  <c r="BO972" i="1"/>
  <c r="BJ972" i="1"/>
  <c r="BK972" i="1"/>
  <c r="BU972" i="1"/>
  <c r="BP972" i="1"/>
  <c r="BF972" i="1" l="1"/>
  <c r="BG972" i="1"/>
  <c r="BD973" i="1" s="1"/>
  <c r="BC973" i="1" l="1"/>
  <c r="AZ973" i="1"/>
  <c r="BA973" i="1"/>
  <c r="BK973" i="1" l="1"/>
  <c r="BU973" i="1"/>
  <c r="BP973" i="1"/>
  <c r="BJ973" i="1"/>
  <c r="BF973" i="1" s="1"/>
  <c r="BT973" i="1"/>
  <c r="BO973" i="1"/>
  <c r="BC974" i="1" l="1"/>
  <c r="AZ974" i="1"/>
  <c r="BG973" i="1"/>
  <c r="BD974" i="1" s="1"/>
  <c r="BA974" i="1" l="1"/>
  <c r="BP974" i="1" l="1"/>
  <c r="BK974" i="1"/>
  <c r="BU974" i="1"/>
  <c r="BT974" i="1"/>
  <c r="BO974" i="1"/>
  <c r="BJ974" i="1"/>
  <c r="BF974" i="1" l="1"/>
  <c r="BG974" i="1"/>
  <c r="BD975" i="1" s="1"/>
  <c r="BA975" i="1" l="1"/>
  <c r="AZ975" i="1"/>
  <c r="BC975" i="1"/>
  <c r="BJ975" i="1" l="1"/>
  <c r="BO975" i="1"/>
  <c r="BT975" i="1"/>
  <c r="BP975" i="1"/>
  <c r="BU975" i="1"/>
  <c r="BK975" i="1"/>
  <c r="BG975" i="1" l="1"/>
  <c r="BD976" i="1" s="1"/>
  <c r="BF975" i="1"/>
  <c r="AZ976" i="1" l="1"/>
  <c r="BC976" i="1"/>
  <c r="BA976" i="1"/>
  <c r="BP976" i="1" l="1"/>
  <c r="BK976" i="1"/>
  <c r="BU976" i="1"/>
  <c r="BJ976" i="1"/>
  <c r="BO976" i="1"/>
  <c r="BT976" i="1"/>
  <c r="BG976" i="1" l="1"/>
  <c r="BD977" i="1" s="1"/>
  <c r="BF976" i="1"/>
  <c r="AZ977" i="1" l="1"/>
  <c r="BC977" i="1"/>
  <c r="BA977" i="1"/>
  <c r="BK977" i="1" l="1"/>
  <c r="BP977" i="1"/>
  <c r="BU977" i="1"/>
  <c r="BO977" i="1"/>
  <c r="BJ977" i="1"/>
  <c r="BF977" i="1" s="1"/>
  <c r="AZ978" i="1" s="1"/>
  <c r="BT977" i="1"/>
  <c r="BG977" i="1" l="1"/>
  <c r="BC978" i="1"/>
  <c r="BA978" i="1" l="1"/>
  <c r="BD978" i="1"/>
  <c r="BJ978" i="1" l="1"/>
  <c r="BT978" i="1"/>
  <c r="BK978" i="1"/>
  <c r="BG978" i="1" s="1"/>
  <c r="BA979" i="1" s="1"/>
  <c r="BU978" i="1"/>
  <c r="BO978" i="1"/>
  <c r="BP978" i="1"/>
  <c r="BF978" i="1" l="1"/>
  <c r="BD979" i="1"/>
  <c r="BC979" i="1" l="1"/>
  <c r="AZ979" i="1"/>
  <c r="BK979" i="1" l="1"/>
  <c r="BJ979" i="1"/>
  <c r="BT979" i="1"/>
  <c r="BO979" i="1"/>
  <c r="BP979" i="1"/>
  <c r="BU979" i="1"/>
  <c r="BG979" i="1" l="1"/>
  <c r="BF979" i="1"/>
  <c r="BC980" i="1" l="1"/>
  <c r="AZ980" i="1"/>
  <c r="BD980" i="1"/>
  <c r="BA980" i="1"/>
  <c r="BU980" i="1" l="1"/>
  <c r="BP980" i="1"/>
  <c r="BK980" i="1"/>
  <c r="BG980" i="1" s="1"/>
  <c r="BD981" i="1"/>
  <c r="BA981" i="1"/>
  <c r="BJ980" i="1"/>
  <c r="BO980" i="1"/>
  <c r="BT980" i="1"/>
  <c r="BF980" i="1" l="1"/>
  <c r="AZ981" i="1" l="1"/>
  <c r="BC981" i="1"/>
  <c r="BP981" i="1" l="1"/>
  <c r="BU981" i="1"/>
  <c r="BK981" i="1"/>
  <c r="BG981" i="1" s="1"/>
  <c r="BO981" i="1"/>
  <c r="BT981" i="1"/>
  <c r="BJ981" i="1"/>
  <c r="BF981" i="1" s="1"/>
  <c r="BA982" i="1" l="1"/>
  <c r="BD982" i="1"/>
  <c r="BC982" i="1"/>
  <c r="AZ982" i="1"/>
  <c r="BO982" i="1" l="1"/>
  <c r="BJ982" i="1"/>
  <c r="BF982" i="1" s="1"/>
  <c r="AZ983" i="1" s="1"/>
  <c r="BT982" i="1"/>
  <c r="BP982" i="1"/>
  <c r="BK982" i="1"/>
  <c r="BU982" i="1"/>
  <c r="BC983" i="1"/>
  <c r="BG982" i="1" l="1"/>
  <c r="BA983" i="1" l="1"/>
  <c r="BD983" i="1"/>
  <c r="BJ983" i="1" l="1"/>
  <c r="BT983" i="1"/>
  <c r="BK983" i="1"/>
  <c r="BO983" i="1"/>
  <c r="BP983" i="1"/>
  <c r="BU983" i="1"/>
  <c r="BF983" i="1" l="1"/>
  <c r="BG983" i="1"/>
  <c r="BD984" i="1" l="1"/>
  <c r="BA984" i="1"/>
  <c r="AZ984" i="1"/>
  <c r="BC984" i="1"/>
  <c r="BO984" i="1" l="1"/>
  <c r="BT984" i="1"/>
  <c r="BJ984" i="1"/>
  <c r="BF984" i="1" s="1"/>
  <c r="BC985" i="1" s="1"/>
  <c r="BK984" i="1"/>
  <c r="BP984" i="1"/>
  <c r="BU984" i="1"/>
  <c r="BG984" i="1" l="1"/>
  <c r="AZ985" i="1"/>
  <c r="BA985" i="1" l="1"/>
  <c r="BD985" i="1"/>
  <c r="BU985" i="1" l="1"/>
  <c r="BK985" i="1"/>
  <c r="BP985" i="1"/>
  <c r="BO985" i="1"/>
  <c r="BT985" i="1"/>
  <c r="BJ985" i="1"/>
  <c r="BF985" i="1" s="1"/>
  <c r="AZ986" i="1" s="1"/>
  <c r="BC986" i="1" l="1"/>
  <c r="BG985" i="1"/>
  <c r="BA986" i="1" l="1"/>
  <c r="BD986" i="1"/>
  <c r="BO986" i="1" l="1"/>
  <c r="BJ986" i="1"/>
  <c r="BF986" i="1" s="1"/>
  <c r="AZ987" i="1" s="1"/>
  <c r="BT986" i="1"/>
  <c r="BU986" i="1"/>
  <c r="BK986" i="1"/>
  <c r="BG986" i="1" s="1"/>
  <c r="BD987" i="1" s="1"/>
  <c r="BP986" i="1"/>
  <c r="BC987" i="1" l="1"/>
  <c r="BA987" i="1"/>
  <c r="BU987" i="1" s="1"/>
  <c r="BT987" i="1"/>
  <c r="BK987" i="1"/>
  <c r="BP987" i="1"/>
  <c r="BO987" i="1" l="1"/>
  <c r="BJ987" i="1"/>
  <c r="BF987" i="1" s="1"/>
  <c r="BC988" i="1" s="1"/>
  <c r="BG987" i="1"/>
  <c r="BD988" i="1" s="1"/>
  <c r="AZ988" i="1"/>
  <c r="BA988" i="1" l="1"/>
  <c r="BO988" i="1" s="1"/>
  <c r="BP988" i="1" l="1"/>
  <c r="BU988" i="1"/>
  <c r="BK988" i="1"/>
  <c r="BJ988" i="1"/>
  <c r="BT988" i="1"/>
  <c r="BG988" i="1" l="1"/>
  <c r="BF988" i="1"/>
  <c r="BA989" i="1" l="1"/>
  <c r="BD989" i="1"/>
  <c r="BC989" i="1"/>
  <c r="AZ989" i="1"/>
  <c r="BJ989" i="1" l="1"/>
  <c r="BT989" i="1"/>
  <c r="BO989" i="1"/>
  <c r="BP989" i="1"/>
  <c r="BK989" i="1"/>
  <c r="BU989" i="1"/>
  <c r="BG989" i="1" l="1"/>
  <c r="BD990" i="1" s="1"/>
  <c r="BF989" i="1"/>
  <c r="AZ990" i="1" l="1"/>
  <c r="BC990" i="1"/>
  <c r="BA990" i="1"/>
  <c r="BU990" i="1" l="1"/>
  <c r="BP990" i="1"/>
  <c r="BK990" i="1"/>
  <c r="BG990" i="1" s="1"/>
  <c r="BJ990" i="1"/>
  <c r="BO990" i="1"/>
  <c r="BT990" i="1"/>
  <c r="BA991" i="1" l="1"/>
  <c r="BD991" i="1"/>
  <c r="BF990" i="1"/>
  <c r="AZ991" i="1" l="1"/>
  <c r="BC991" i="1"/>
  <c r="BJ991" i="1" l="1"/>
  <c r="BT991" i="1"/>
  <c r="BO991" i="1"/>
  <c r="BU991" i="1"/>
  <c r="BP991" i="1"/>
  <c r="BK991" i="1"/>
  <c r="BG991" i="1" s="1"/>
  <c r="BD992" i="1" s="1"/>
  <c r="BF991" i="1" l="1"/>
  <c r="BA992" i="1"/>
  <c r="BC992" i="1" l="1"/>
  <c r="AZ992" i="1"/>
  <c r="BP992" i="1"/>
  <c r="BK992" i="1"/>
  <c r="BG992" i="1" s="1"/>
  <c r="BD993" i="1" s="1"/>
  <c r="BU992" i="1"/>
  <c r="BJ992" i="1" l="1"/>
  <c r="BT992" i="1"/>
  <c r="BO992" i="1"/>
  <c r="BA993" i="1"/>
  <c r="BF992" i="1" l="1"/>
  <c r="AZ993" i="1" l="1"/>
  <c r="BC993" i="1"/>
  <c r="BT993" i="1" l="1"/>
  <c r="BJ993" i="1"/>
  <c r="BK993" i="1"/>
  <c r="BU993" i="1"/>
  <c r="BO993" i="1"/>
  <c r="BP993" i="1"/>
  <c r="BG993" i="1" l="1"/>
  <c r="BF993" i="1"/>
  <c r="BC994" i="1" l="1"/>
  <c r="AZ994" i="1"/>
  <c r="BA994" i="1"/>
  <c r="BD994" i="1"/>
  <c r="BJ994" i="1" l="1"/>
  <c r="BT994" i="1"/>
  <c r="BO994" i="1"/>
  <c r="BU994" i="1"/>
  <c r="BP994" i="1"/>
  <c r="BK994" i="1"/>
  <c r="BF994" i="1" l="1"/>
  <c r="BG994" i="1"/>
  <c r="BA995" i="1" l="1"/>
  <c r="BD995" i="1"/>
  <c r="BC995" i="1"/>
  <c r="AZ995" i="1"/>
  <c r="BU995" i="1" l="1"/>
  <c r="BJ995" i="1"/>
  <c r="BO995" i="1"/>
  <c r="BT995" i="1"/>
  <c r="BK995" i="1"/>
  <c r="BG995" i="1" s="1"/>
  <c r="BA996" i="1" s="1"/>
  <c r="BP995" i="1"/>
  <c r="BD996" i="1" l="1"/>
  <c r="BF995" i="1"/>
  <c r="BC996" i="1" l="1"/>
  <c r="AZ996" i="1"/>
  <c r="BO996" i="1" l="1"/>
  <c r="BT996" i="1"/>
  <c r="BJ996" i="1"/>
  <c r="BF996" i="1" s="1"/>
  <c r="AZ997" i="1" s="1"/>
  <c r="BK996" i="1"/>
  <c r="BU996" i="1"/>
  <c r="BP996" i="1"/>
  <c r="BC997" i="1"/>
  <c r="BG996" i="1" l="1"/>
  <c r="BA997" i="1" l="1"/>
  <c r="BD997" i="1"/>
  <c r="BU997" i="1" l="1"/>
  <c r="BP997" i="1"/>
  <c r="BK997" i="1"/>
  <c r="BG997" i="1" s="1"/>
  <c r="BA998" i="1" s="1"/>
  <c r="BT997" i="1"/>
  <c r="BJ997" i="1"/>
  <c r="BF997" i="1" s="1"/>
  <c r="BO997" i="1"/>
  <c r="AZ998" i="1" l="1"/>
  <c r="BK998" i="1" s="1"/>
  <c r="BC998" i="1"/>
  <c r="BD998" i="1"/>
  <c r="BJ998" i="1" l="1"/>
  <c r="BF998" i="1" s="1"/>
  <c r="BC999" i="1" s="1"/>
  <c r="BO998" i="1"/>
  <c r="BT998" i="1"/>
  <c r="BP998" i="1"/>
  <c r="BG998" i="1" s="1"/>
  <c r="BU998" i="1"/>
  <c r="BA999" i="1" l="1"/>
  <c r="BD999" i="1"/>
  <c r="AZ999" i="1"/>
  <c r="BJ999" i="1" l="1"/>
  <c r="BO999" i="1"/>
  <c r="BT999" i="1"/>
  <c r="BK999" i="1"/>
  <c r="BG999" i="1" s="1"/>
  <c r="BA1000" i="1" s="1"/>
  <c r="BU999" i="1"/>
  <c r="BP999" i="1"/>
  <c r="BF999" i="1" l="1"/>
  <c r="BD1000" i="1"/>
  <c r="AZ1000" i="1" l="1"/>
  <c r="BC1000" i="1"/>
  <c r="BJ1000" i="1" l="1"/>
  <c r="BO1000" i="1"/>
  <c r="BT1000" i="1"/>
  <c r="BK1000" i="1"/>
  <c r="BG1000" i="1" s="1"/>
  <c r="BU1000" i="1"/>
  <c r="BP1000" i="1"/>
  <c r="BA1001" i="1" l="1"/>
  <c r="BD1001" i="1"/>
  <c r="BF1000" i="1"/>
  <c r="BC1001" i="1" l="1"/>
  <c r="AZ1001" i="1"/>
  <c r="BP1001" i="1"/>
  <c r="BJ1001" i="1" l="1"/>
  <c r="BT1001" i="1"/>
  <c r="BO1001" i="1"/>
  <c r="BU1001" i="1"/>
  <c r="BK1001" i="1"/>
  <c r="BG1001" i="1" l="1"/>
  <c r="BF1001" i="1"/>
  <c r="BC1002" i="1" l="1"/>
  <c r="AZ1002" i="1"/>
  <c r="BA1002" i="1"/>
  <c r="BD1002" i="1"/>
  <c r="BK1002" i="1" l="1"/>
  <c r="BP1002" i="1"/>
  <c r="BU1002" i="1"/>
  <c r="BJ1002" i="1"/>
  <c r="BT1002" i="1"/>
  <c r="BO1002" i="1"/>
  <c r="BF1002" i="1" l="1"/>
  <c r="BG1002" i="1"/>
  <c r="BA1003" i="1" l="1"/>
  <c r="BD1003" i="1"/>
  <c r="BC1003" i="1"/>
  <c r="AZ1003" i="1"/>
  <c r="BJ1003" i="1" l="1"/>
  <c r="BO1003" i="1"/>
  <c r="BT1003" i="1"/>
  <c r="BP1003" i="1"/>
  <c r="BU1003" i="1"/>
  <c r="BK1003" i="1"/>
  <c r="BG1003" i="1" l="1"/>
  <c r="BF1003" i="1"/>
  <c r="BC1004" i="1" l="1"/>
  <c r="AZ1004" i="1"/>
  <c r="BA1004" i="1"/>
  <c r="BD1004" i="1"/>
  <c r="BP1004" i="1" l="1"/>
  <c r="BU1004" i="1"/>
  <c r="BK1004" i="1"/>
  <c r="BJ1004" i="1"/>
  <c r="BT1004" i="1"/>
  <c r="BO1004" i="1"/>
  <c r="BF1004" i="1" l="1"/>
  <c r="BG1004" i="1"/>
  <c r="BA1005" i="1" l="1"/>
  <c r="BD1005" i="1"/>
  <c r="BC1005" i="1"/>
  <c r="AZ1005" i="1"/>
  <c r="BJ1005" i="1" l="1"/>
  <c r="BO1005" i="1"/>
  <c r="BT1005" i="1"/>
  <c r="BP1005" i="1"/>
  <c r="BK1005" i="1"/>
  <c r="BG1005" i="1" s="1"/>
  <c r="BA1006" i="1" s="1"/>
  <c r="BU1005" i="1"/>
  <c r="BF1005" i="1" l="1"/>
  <c r="BD1006" i="1"/>
  <c r="BC1006" i="1" l="1"/>
  <c r="AZ1006" i="1"/>
  <c r="BO1006" i="1" l="1"/>
  <c r="BT1006" i="1"/>
  <c r="BJ1006" i="1"/>
  <c r="BF1006" i="1" s="1"/>
  <c r="BC1007" i="1" s="1"/>
  <c r="BP1006" i="1"/>
  <c r="BK1006" i="1"/>
  <c r="BG1006" i="1" s="1"/>
  <c r="BU1006" i="1"/>
  <c r="AZ1007" i="1"/>
  <c r="BA1007" i="1" l="1"/>
  <c r="BD1007" i="1"/>
  <c r="BJ1007" i="1"/>
  <c r="BT1007" i="1"/>
  <c r="BU1007" i="1" l="1"/>
  <c r="BK1007" i="1"/>
  <c r="BP1007" i="1"/>
  <c r="BO1007" i="1"/>
  <c r="BF1007" i="1" s="1"/>
  <c r="AZ1008" i="1" l="1"/>
  <c r="BC1008" i="1"/>
  <c r="BG1007" i="1"/>
  <c r="BA1008" i="1" l="1"/>
  <c r="BD1008" i="1"/>
  <c r="BJ1008" i="1"/>
  <c r="BP1008" i="1" l="1"/>
  <c r="BO1008" i="1"/>
  <c r="BF1008" i="1" s="1"/>
  <c r="BU1008" i="1"/>
  <c r="BT1008" i="1"/>
  <c r="BK1008" i="1"/>
  <c r="BG1008" i="1" s="1"/>
  <c r="BA1009" i="1" s="1"/>
  <c r="BC1009" i="1" l="1"/>
  <c r="AZ1009" i="1"/>
  <c r="BJ1009" i="1" s="1"/>
  <c r="BD1009" i="1"/>
  <c r="BO1009" i="1"/>
  <c r="BT1009" i="1"/>
  <c r="BP1009" i="1"/>
  <c r="BU1009" i="1"/>
  <c r="BK1009" i="1"/>
  <c r="BG1009" i="1" l="1"/>
  <c r="BA1010" i="1" s="1"/>
  <c r="BF1009" i="1"/>
  <c r="BD1010" i="1" l="1"/>
  <c r="AZ1010" i="1"/>
  <c r="BC1010" i="1"/>
  <c r="BJ1010" i="1" l="1"/>
  <c r="BU1010" i="1"/>
  <c r="BP1010" i="1"/>
  <c r="BK1010" i="1"/>
  <c r="BT1010" i="1"/>
  <c r="BO1010" i="1"/>
  <c r="BG1010" i="1" l="1"/>
  <c r="BF1010" i="1"/>
</calcChain>
</file>

<file path=xl/sharedStrings.xml><?xml version="1.0" encoding="utf-8"?>
<sst xmlns="http://schemas.openxmlformats.org/spreadsheetml/2006/main" count="95" uniqueCount="60">
  <si>
    <t>Conditions initiales de la simulation</t>
  </si>
  <si>
    <t>Paramètres généraux</t>
  </si>
  <si>
    <t>seconde</t>
  </si>
  <si>
    <t>mètre / seconde</t>
  </si>
  <si>
    <t>-</t>
  </si>
  <si>
    <t>Corps en mouvement</t>
  </si>
  <si>
    <t>gramme</t>
  </si>
  <si>
    <t>mètre</t>
  </si>
  <si>
    <t>Trois corps statiques</t>
  </si>
  <si>
    <t>Corps 1</t>
  </si>
  <si>
    <r>
      <t>mètre / seconde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</si>
  <si>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gramme / 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</si>
  <si>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 mètre</t>
    </r>
    <r>
      <rPr>
        <vertAlign val="superscript"/>
        <sz val="11"/>
        <color theme="1"/>
        <rFont val="Calibri"/>
        <family val="2"/>
        <scheme val="minor"/>
      </rPr>
      <t>3</t>
    </r>
  </si>
  <si>
    <t>Attraction</t>
  </si>
  <si>
    <t>Corps 2</t>
  </si>
  <si>
    <t>Corps 3</t>
  </si>
  <si>
    <r>
      <t xml:space="preserve">Base de temps                                                                                                                                                                                              </t>
    </r>
    <r>
      <rPr>
        <sz val="11"/>
        <color theme="1"/>
        <rFont val="Calibri"/>
        <family val="2"/>
      </rPr>
      <t>t</t>
    </r>
  </si>
  <si>
    <r>
      <t xml:space="preserve">Coefficient de friction                                                                                                                                                    </t>
    </r>
    <r>
      <rPr>
        <sz val="11"/>
        <color theme="1"/>
        <rFont val="Calibri"/>
        <family val="2"/>
      </rPr>
      <t>ƒ</t>
    </r>
  </si>
  <si>
    <r>
      <t xml:space="preserve">Ratio de la constante d'Aarseth                                                                                                      </t>
    </r>
    <r>
      <rPr>
        <sz val="11"/>
        <color theme="1"/>
        <rFont val="Calibri"/>
        <family val="2"/>
      </rPr>
      <t>Λ</t>
    </r>
  </si>
  <si>
    <t>Masse                                                                                                                                                                                                              m</t>
  </si>
  <si>
    <t>Position initiale                                                                                                                                                                p</t>
  </si>
  <si>
    <t>Vitesse initiale                                                                                                                                       v</t>
  </si>
  <si>
    <t>Accélération initiale                                                                                                  a</t>
  </si>
  <si>
    <t>Dimension                                                                                           S</t>
  </si>
  <si>
    <t>Représentation des conditions initiales</t>
  </si>
  <si>
    <t>départ</t>
  </si>
  <si>
    <t>incrément</t>
  </si>
  <si>
    <t>fin</t>
  </si>
  <si>
    <t>Itération</t>
  </si>
  <si>
    <r>
      <t xml:space="preserve">Position                                                                                                                                                                                                       q </t>
    </r>
    <r>
      <rPr>
        <b/>
        <vertAlign val="subscript"/>
        <sz val="11"/>
        <color theme="1"/>
        <rFont val="Calibri"/>
        <family val="2"/>
        <scheme val="minor"/>
      </rPr>
      <t>1xy</t>
    </r>
  </si>
  <si>
    <r>
      <t xml:space="preserve">Rayon                                                                                                                                                                                      r 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</si>
  <si>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 xml:space="preserve">Masse volumique moyenne                                                                                                              </t>
    </r>
    <r>
      <rPr>
        <b/>
        <sz val="11"/>
        <color theme="1"/>
        <rFont val="Calibri"/>
        <family val="2"/>
      </rPr>
      <t xml:space="preserve">ƿ </t>
    </r>
    <r>
      <rPr>
        <b/>
        <vertAlign val="subscript"/>
        <sz val="11"/>
        <color theme="1"/>
        <rFont val="Calibri"/>
        <family val="2"/>
      </rPr>
      <t>1</t>
    </r>
  </si>
  <si>
    <r>
      <t xml:space="preserve">Volume                                                                                                                            V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</si>
  <si>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Masse totale                                                                                       M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</si>
  <si>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Constante d'Arseth                                                </t>
    </r>
    <r>
      <rPr>
        <sz val="11"/>
        <color theme="1"/>
        <rFont val="Calibri"/>
        <family val="2"/>
      </rPr>
      <t xml:space="preserve">ʎ </t>
    </r>
    <r>
      <rPr>
        <vertAlign val="subscript"/>
        <sz val="11"/>
        <color theme="1"/>
        <rFont val="Calibri"/>
        <family val="2"/>
      </rPr>
      <t>1</t>
    </r>
  </si>
  <si>
    <r>
      <t xml:space="preserve">Attraction/Répulsion                </t>
    </r>
    <r>
      <rPr>
        <b/>
        <sz val="11"/>
        <color theme="1"/>
        <rFont val="Calibri"/>
        <family val="2"/>
      </rPr>
      <t xml:space="preserve">ω </t>
    </r>
    <r>
      <rPr>
        <b/>
        <vertAlign val="subscript"/>
        <sz val="11"/>
        <color theme="1"/>
        <rFont val="Calibri"/>
        <family val="2"/>
      </rPr>
      <t>1</t>
    </r>
  </si>
  <si>
    <r>
      <t xml:space="preserve">Position                                                                                                                                                                                                      q </t>
    </r>
    <r>
      <rPr>
        <b/>
        <vertAlign val="subscript"/>
        <sz val="11"/>
        <color theme="1"/>
        <rFont val="Calibri"/>
        <family val="2"/>
        <scheme val="minor"/>
      </rPr>
      <t>2xy</t>
    </r>
  </si>
  <si>
    <r>
      <t>Rayon                                                                                                                                                                                      r</t>
    </r>
    <r>
      <rPr>
        <b/>
        <vertAlign val="subscript"/>
        <sz val="11"/>
        <color theme="1"/>
        <rFont val="Calibri"/>
        <family val="2"/>
        <scheme val="minor"/>
      </rPr>
      <t xml:space="preserve"> 2</t>
    </r>
  </si>
  <si>
    <r>
      <t xml:space="preserve">Masse volumique moyenne                                                                                                              ƿ 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</si>
  <si>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 xml:space="preserve">Volume                                                                                                                            V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</si>
  <si>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Masse totale                                                                                       M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</si>
  <si>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Constante d'Arseth                                                ʎ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</si>
  <si>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Attraction/Répulsion                ω 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</si>
  <si>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 xml:space="preserve">Position                                                                                                                                                                                                      q </t>
    </r>
    <r>
      <rPr>
        <b/>
        <vertAlign val="subscript"/>
        <sz val="11"/>
        <color theme="1"/>
        <rFont val="Calibri"/>
        <family val="2"/>
        <scheme val="minor"/>
      </rPr>
      <t>3xy</t>
    </r>
  </si>
  <si>
    <r>
      <t xml:space="preserve">Rayon                                                                                                                                                                                      r </t>
    </r>
    <r>
      <rPr>
        <b/>
        <vertAlign val="subscript"/>
        <sz val="11"/>
        <color theme="1"/>
        <rFont val="Calibri"/>
        <family val="2"/>
        <scheme val="minor"/>
      </rPr>
      <t>3</t>
    </r>
  </si>
  <si>
    <r>
      <t>Masse volumique moyenne                                                                                                              ƿ</t>
    </r>
    <r>
      <rPr>
        <b/>
        <vertAlign val="subscript"/>
        <sz val="11"/>
        <color theme="1"/>
        <rFont val="Calibri"/>
        <family val="2"/>
        <scheme val="minor"/>
      </rPr>
      <t xml:space="preserve"> 3</t>
    </r>
  </si>
  <si>
    <r>
      <t xml:space="preserve">Volume                                                                                                                            V </t>
    </r>
    <r>
      <rPr>
        <vertAlign val="subscript"/>
        <sz val="11"/>
        <color theme="1"/>
        <rFont val="Calibri"/>
        <family val="2"/>
        <scheme val="minor"/>
      </rPr>
      <t>3</t>
    </r>
  </si>
  <si>
    <r>
      <t>Masse totale                                                                                       M</t>
    </r>
    <r>
      <rPr>
        <vertAlign val="subscript"/>
        <sz val="11"/>
        <color theme="1"/>
        <rFont val="Calibri"/>
        <family val="2"/>
        <scheme val="minor"/>
      </rPr>
      <t xml:space="preserve"> 3</t>
    </r>
  </si>
  <si>
    <r>
      <t>Constante d'Arseth                                                 ʎ</t>
    </r>
    <r>
      <rPr>
        <vertAlign val="subscript"/>
        <sz val="11"/>
        <color theme="1"/>
        <rFont val="Calibri"/>
        <family val="2"/>
        <scheme val="minor"/>
      </rPr>
      <t xml:space="preserve"> 3</t>
    </r>
  </si>
  <si>
    <r>
      <t xml:space="preserve">Attraction/Répulsion                 ω </t>
    </r>
    <r>
      <rPr>
        <b/>
        <vertAlign val="subscript"/>
        <sz val="11"/>
        <color theme="1"/>
        <rFont val="Calibri"/>
        <family val="2"/>
        <scheme val="minor"/>
      </rPr>
      <t>3</t>
    </r>
  </si>
  <si>
    <t>position x</t>
  </si>
  <si>
    <t>position y</t>
  </si>
  <si>
    <t>vitesse x</t>
  </si>
  <si>
    <t>vitesse y</t>
  </si>
  <si>
    <t>accélération x</t>
  </si>
  <si>
    <t>accélération y</t>
  </si>
  <si>
    <t>planète 1</t>
  </si>
  <si>
    <t>distance du vaisseau</t>
  </si>
  <si>
    <t>planète 3</t>
  </si>
  <si>
    <t>planète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</si>
</sst>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Arial Black"/>
      <family val="2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16"/>
      <color rgb="FF000000"/>
      <name val="MJXc-TeX-math-I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ck">
        <color theme="1" tint="4.9989318521683403E-2"/>
      </left>
      <right/>
      <top style="thin">
        <color indexed="64"/>
      </top>
      <bottom style="thin">
        <color indexed="64"/>
      </bottom>
      <diagonal/>
    </border>
    <border>
      <left style="thick">
        <color theme="1" tint="4.9989318521683403E-2"/>
      </left>
      <right/>
      <top style="thin">
        <color indexed="64"/>
      </top>
      <bottom/>
      <diagonal/>
    </border>
    <border>
      <left style="thick">
        <color theme="1" tint="4.9989318521683403E-2"/>
      </left>
      <right/>
      <top/>
      <bottom style="thin">
        <color indexed="64"/>
      </bottom>
      <diagonal/>
    </border>
    <border>
      <left/>
      <right style="thick">
        <color theme="1" tint="4.9989318521683403E-2"/>
      </right>
      <top style="thin">
        <color indexed="64"/>
      </top>
      <bottom style="thin">
        <color indexed="64"/>
      </bottom>
      <diagonal/>
    </border>
    <border>
      <left/>
      <right style="thick">
        <color theme="1" tint="4.9989318521683403E-2"/>
      </right>
      <top style="thin">
        <color indexed="64"/>
      </top>
      <bottom/>
      <diagonal/>
    </border>
    <border>
      <left/>
      <right style="thick">
        <color theme="1" tint="4.9989318521683403E-2"/>
      </right>
      <top/>
      <bottom style="thin">
        <color indexed="64"/>
      </bottom>
      <diagonal/>
    </border>
    <border>
      <left style="thick">
        <color rgb="FF00B0F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00B0F0"/>
      </right>
      <top style="thin">
        <color indexed="64"/>
      </top>
      <bottom style="thin">
        <color indexed="64"/>
      </bottom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 style="thick">
        <color rgb="FF7030A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7030A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2" borderId="0" xfId="0" applyFill="1"/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/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11" fillId="0" borderId="0" xfId="0" applyFont="1"/>
    <xf numFmtId="0" fontId="1" fillId="2" borderId="0" xfId="0" applyFont="1" applyFill="1"/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2" borderId="19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1" fillId="5" borderId="0" xfId="0" applyFont="1" applyFill="1" applyAlignment="1">
      <alignment horizontal="left" vertical="center"/>
    </xf>
    <xf numFmtId="0" fontId="1" fillId="2" borderId="17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" fillId="2" borderId="18" xfId="0" applyFont="1" applyFill="1" applyBorder="1" applyAlignment="1">
      <alignment horizontal="left"/>
    </xf>
    <xf numFmtId="0" fontId="0" fillId="2" borderId="16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7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18" xfId="0" applyFill="1" applyBorder="1" applyAlignment="1">
      <alignment horizontal="left"/>
    </xf>
    <xf numFmtId="0" fontId="1" fillId="2" borderId="16" xfId="0" applyFont="1" applyFill="1" applyBorder="1" applyAlignment="1">
      <alignment horizontal="left"/>
    </xf>
    <xf numFmtId="0" fontId="1" fillId="2" borderId="15" xfId="0" applyFont="1" applyFill="1" applyBorder="1" applyAlignment="1">
      <alignment horizontal="left"/>
    </xf>
    <xf numFmtId="0" fontId="0" fillId="2" borderId="16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1" fillId="4" borderId="0" xfId="0" applyFont="1" applyFill="1" applyAlignment="1">
      <alignment horizontal="left" vertical="center"/>
    </xf>
    <xf numFmtId="0" fontId="1" fillId="2" borderId="13" xfId="0" applyFont="1" applyFill="1" applyBorder="1" applyAlignment="1">
      <alignment horizontal="left"/>
    </xf>
    <xf numFmtId="0" fontId="1" fillId="2" borderId="14" xfId="0" applyFont="1" applyFill="1" applyBorder="1" applyAlignment="1">
      <alignment horizontal="left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3" fillId="6" borderId="0" xfId="0" applyFont="1" applyFill="1" applyAlignment="1">
      <alignment horizontal="left"/>
    </xf>
    <xf numFmtId="0" fontId="0" fillId="2" borderId="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7" xfId="0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7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1" fillId="3" borderId="0" xfId="0" applyFont="1" applyFill="1" applyAlignment="1">
      <alignment horizontal="left"/>
    </xf>
    <xf numFmtId="0" fontId="0" fillId="2" borderId="13" xfId="0" applyFill="1" applyBorder="1" applyAlignment="1">
      <alignment horizontal="left"/>
    </xf>
    <xf numFmtId="0" fontId="0" fillId="2" borderId="14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chemin'!$AL$10:$AL$122</c:f>
              <c:numCache>
                <c:formatCode>General</c:formatCode>
                <c:ptCount val="113"/>
                <c:pt idx="0">
                  <c:v>0</c:v>
                </c:pt>
                <c:pt idx="1">
                  <c:v>0.39269908169872414</c:v>
                </c:pt>
                <c:pt idx="2">
                  <c:v>0.78539816339744828</c:v>
                </c:pt>
                <c:pt idx="3">
                  <c:v>1.1780972450961724</c:v>
                </c:pt>
                <c:pt idx="4">
                  <c:v>1.5707963267948966</c:v>
                </c:pt>
                <c:pt idx="5">
                  <c:v>1.9634954084936207</c:v>
                </c:pt>
                <c:pt idx="6">
                  <c:v>2.3561944901923448</c:v>
                </c:pt>
                <c:pt idx="7">
                  <c:v>2.748893571891069</c:v>
                </c:pt>
                <c:pt idx="8">
                  <c:v>3.1415926535897931</c:v>
                </c:pt>
                <c:pt idx="9">
                  <c:v>3.5342917352885173</c:v>
                </c:pt>
                <c:pt idx="10">
                  <c:v>3.9269908169872414</c:v>
                </c:pt>
                <c:pt idx="11">
                  <c:v>4.3196898986859651</c:v>
                </c:pt>
                <c:pt idx="12">
                  <c:v>4.7123889803846897</c:v>
                </c:pt>
                <c:pt idx="13">
                  <c:v>5.1050880620834143</c:v>
                </c:pt>
                <c:pt idx="14">
                  <c:v>5.4977871437821388</c:v>
                </c:pt>
                <c:pt idx="15">
                  <c:v>5.8904862254808634</c:v>
                </c:pt>
                <c:pt idx="16">
                  <c:v>6.283185307179588</c:v>
                </c:pt>
                <c:pt idx="17">
                  <c:v>6.6758843888783126</c:v>
                </c:pt>
                <c:pt idx="18">
                  <c:v>7.0685834705770372</c:v>
                </c:pt>
                <c:pt idx="19">
                  <c:v>7.4612825522757618</c:v>
                </c:pt>
                <c:pt idx="20">
                  <c:v>7.8539816339744863</c:v>
                </c:pt>
                <c:pt idx="21">
                  <c:v>8.2466807156732109</c:v>
                </c:pt>
                <c:pt idx="22">
                  <c:v>8.6393797973719355</c:v>
                </c:pt>
                <c:pt idx="23">
                  <c:v>9.0320788790706601</c:v>
                </c:pt>
                <c:pt idx="24">
                  <c:v>9.4247779607693847</c:v>
                </c:pt>
                <c:pt idx="25">
                  <c:v>9.8174770424681093</c:v>
                </c:pt>
                <c:pt idx="26">
                  <c:v>10.210176124166834</c:v>
                </c:pt>
                <c:pt idx="27">
                  <c:v>10.602875205865558</c:v>
                </c:pt>
                <c:pt idx="28">
                  <c:v>10.995574287564283</c:v>
                </c:pt>
                <c:pt idx="29">
                  <c:v>11.388273369263008</c:v>
                </c:pt>
                <c:pt idx="30">
                  <c:v>11.780972450961732</c:v>
                </c:pt>
                <c:pt idx="31">
                  <c:v>12.173671532660457</c:v>
                </c:pt>
                <c:pt idx="32">
                  <c:v>12.566370614359181</c:v>
                </c:pt>
                <c:pt idx="33">
                  <c:v>12.959069696057906</c:v>
                </c:pt>
                <c:pt idx="34">
                  <c:v>13.351768777756631</c:v>
                </c:pt>
                <c:pt idx="35">
                  <c:v>13.744467859455355</c:v>
                </c:pt>
                <c:pt idx="36">
                  <c:v>14.13716694115408</c:v>
                </c:pt>
                <c:pt idx="37">
                  <c:v>14.529866022852804</c:v>
                </c:pt>
                <c:pt idx="38">
                  <c:v>14.922565104551529</c:v>
                </c:pt>
                <c:pt idx="39">
                  <c:v>15.315264186250253</c:v>
                </c:pt>
                <c:pt idx="40">
                  <c:v>15.707963267948978</c:v>
                </c:pt>
                <c:pt idx="41">
                  <c:v>16.100662349647703</c:v>
                </c:pt>
                <c:pt idx="42">
                  <c:v>16.493361431346425</c:v>
                </c:pt>
                <c:pt idx="43">
                  <c:v>16.886060513045148</c:v>
                </c:pt>
                <c:pt idx="44">
                  <c:v>17.278759594743871</c:v>
                </c:pt>
                <c:pt idx="45">
                  <c:v>17.671458676442594</c:v>
                </c:pt>
                <c:pt idx="46">
                  <c:v>18.064157758141317</c:v>
                </c:pt>
                <c:pt idx="47">
                  <c:v>18.456856839840039</c:v>
                </c:pt>
                <c:pt idx="48">
                  <c:v>18.849555921538762</c:v>
                </c:pt>
                <c:pt idx="49">
                  <c:v>19.242255003237485</c:v>
                </c:pt>
                <c:pt idx="50">
                  <c:v>19.634954084936208</c:v>
                </c:pt>
                <c:pt idx="51">
                  <c:v>20.027653166634931</c:v>
                </c:pt>
                <c:pt idx="52">
                  <c:v>20.420352248333653</c:v>
                </c:pt>
                <c:pt idx="53">
                  <c:v>20.813051330032376</c:v>
                </c:pt>
                <c:pt idx="54">
                  <c:v>21.205750411731099</c:v>
                </c:pt>
                <c:pt idx="55">
                  <c:v>21.598449493429822</c:v>
                </c:pt>
                <c:pt idx="56">
                  <c:v>21.991148575128545</c:v>
                </c:pt>
                <c:pt idx="57">
                  <c:v>22.383847656827268</c:v>
                </c:pt>
                <c:pt idx="58">
                  <c:v>22.77654673852599</c:v>
                </c:pt>
                <c:pt idx="59">
                  <c:v>23.169245820224713</c:v>
                </c:pt>
                <c:pt idx="60">
                  <c:v>23.561944901923436</c:v>
                </c:pt>
                <c:pt idx="61">
                  <c:v>23.954643983622159</c:v>
                </c:pt>
                <c:pt idx="62">
                  <c:v>24.347343065320882</c:v>
                </c:pt>
                <c:pt idx="63">
                  <c:v>24.740042147019604</c:v>
                </c:pt>
                <c:pt idx="64">
                  <c:v>25.132741228718327</c:v>
                </c:pt>
                <c:pt idx="65">
                  <c:v>25.52544031041705</c:v>
                </c:pt>
                <c:pt idx="66">
                  <c:v>25.918139392115773</c:v>
                </c:pt>
                <c:pt idx="67">
                  <c:v>26.310838473814496</c:v>
                </c:pt>
                <c:pt idx="68">
                  <c:v>26.703537555513218</c:v>
                </c:pt>
                <c:pt idx="69">
                  <c:v>27.096236637211941</c:v>
                </c:pt>
                <c:pt idx="70">
                  <c:v>27.488935718910664</c:v>
                </c:pt>
                <c:pt idx="71">
                  <c:v>27.881634800609387</c:v>
                </c:pt>
                <c:pt idx="72">
                  <c:v>28.27433388230811</c:v>
                </c:pt>
                <c:pt idx="73">
                  <c:v>28.667032964006832</c:v>
                </c:pt>
                <c:pt idx="74">
                  <c:v>29.059732045705555</c:v>
                </c:pt>
                <c:pt idx="75">
                  <c:v>29.452431127404278</c:v>
                </c:pt>
                <c:pt idx="76">
                  <c:v>29.845130209103001</c:v>
                </c:pt>
                <c:pt idx="77">
                  <c:v>30.237829290801724</c:v>
                </c:pt>
                <c:pt idx="78">
                  <c:v>30.630528372500446</c:v>
                </c:pt>
                <c:pt idx="79">
                  <c:v>31.023227454199169</c:v>
                </c:pt>
                <c:pt idx="80">
                  <c:v>31.415926535897892</c:v>
                </c:pt>
                <c:pt idx="81">
                  <c:v>31.808625617596615</c:v>
                </c:pt>
                <c:pt idx="82">
                  <c:v>32.201324699295341</c:v>
                </c:pt>
                <c:pt idx="83">
                  <c:v>32.594023780994064</c:v>
                </c:pt>
                <c:pt idx="84">
                  <c:v>32.986722862692787</c:v>
                </c:pt>
                <c:pt idx="85">
                  <c:v>33.37942194439151</c:v>
                </c:pt>
                <c:pt idx="86">
                  <c:v>33.772121026090232</c:v>
                </c:pt>
                <c:pt idx="87">
                  <c:v>34.164820107788955</c:v>
                </c:pt>
                <c:pt idx="88">
                  <c:v>34.557519189487678</c:v>
                </c:pt>
                <c:pt idx="89">
                  <c:v>34.950218271186401</c:v>
                </c:pt>
                <c:pt idx="90">
                  <c:v>35.342917352885124</c:v>
                </c:pt>
                <c:pt idx="91">
                  <c:v>35.735616434583847</c:v>
                </c:pt>
                <c:pt idx="92">
                  <c:v>36.128315516282569</c:v>
                </c:pt>
                <c:pt idx="93">
                  <c:v>36.521014597981292</c:v>
                </c:pt>
                <c:pt idx="94">
                  <c:v>36.913713679680015</c:v>
                </c:pt>
                <c:pt idx="95">
                  <c:v>37.306412761378738</c:v>
                </c:pt>
                <c:pt idx="96">
                  <c:v>37.699111843077461</c:v>
                </c:pt>
                <c:pt idx="97">
                  <c:v>38.091810924776183</c:v>
                </c:pt>
                <c:pt idx="98">
                  <c:v>38.484510006474906</c:v>
                </c:pt>
                <c:pt idx="99">
                  <c:v>38.877209088173629</c:v>
                </c:pt>
                <c:pt idx="100">
                  <c:v>39.269908169872352</c:v>
                </c:pt>
                <c:pt idx="101">
                  <c:v>39.662607251571075</c:v>
                </c:pt>
                <c:pt idx="102">
                  <c:v>40.055306333269797</c:v>
                </c:pt>
                <c:pt idx="103">
                  <c:v>40.44800541496852</c:v>
                </c:pt>
                <c:pt idx="104">
                  <c:v>40.840704496667243</c:v>
                </c:pt>
                <c:pt idx="105">
                  <c:v>41.233403578365966</c:v>
                </c:pt>
                <c:pt idx="106">
                  <c:v>41.626102660064689</c:v>
                </c:pt>
                <c:pt idx="107">
                  <c:v>42.018801741763411</c:v>
                </c:pt>
                <c:pt idx="108">
                  <c:v>42.411500823462134</c:v>
                </c:pt>
                <c:pt idx="109">
                  <c:v>42.804199905160857</c:v>
                </c:pt>
                <c:pt idx="110">
                  <c:v>43.19689898685958</c:v>
                </c:pt>
                <c:pt idx="111">
                  <c:v>43.589598068558303</c:v>
                </c:pt>
                <c:pt idx="112">
                  <c:v>43.982297150257104</c:v>
                </c:pt>
              </c:numCache>
            </c:numRef>
          </c:xVal>
          <c:yVal>
            <c:numRef>
              <c:f>'Conditions initiales + chemin'!$AM$10:$AM$122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C9-412D-941E-04448833F7A2}"/>
            </c:ext>
          </c:extLst>
        </c:ser>
        <c:ser>
          <c:idx val="1"/>
          <c:order val="1"/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chemin'!$AN$10:$AN$122</c:f>
              <c:numCache>
                <c:formatCode>General</c:formatCode>
                <c:ptCount val="113"/>
                <c:pt idx="0">
                  <c:v>25000</c:v>
                </c:pt>
                <c:pt idx="1">
                  <c:v>24619.397662556432</c:v>
                </c:pt>
                <c:pt idx="2">
                  <c:v>23535.533905932738</c:v>
                </c:pt>
                <c:pt idx="3">
                  <c:v>21913.417161825448</c:v>
                </c:pt>
                <c:pt idx="4">
                  <c:v>20000</c:v>
                </c:pt>
                <c:pt idx="5">
                  <c:v>18086.582838174552</c:v>
                </c:pt>
                <c:pt idx="6">
                  <c:v>16464.466094067262</c:v>
                </c:pt>
                <c:pt idx="7">
                  <c:v>15380.602337443566</c:v>
                </c:pt>
                <c:pt idx="8">
                  <c:v>15000</c:v>
                </c:pt>
                <c:pt idx="9">
                  <c:v>15380.602337443564</c:v>
                </c:pt>
                <c:pt idx="10">
                  <c:v>16464.466094067262</c:v>
                </c:pt>
                <c:pt idx="11">
                  <c:v>18086.582838174549</c:v>
                </c:pt>
                <c:pt idx="12">
                  <c:v>20000</c:v>
                </c:pt>
                <c:pt idx="13">
                  <c:v>21913.417161825451</c:v>
                </c:pt>
                <c:pt idx="14">
                  <c:v>23535.533905932742</c:v>
                </c:pt>
                <c:pt idx="15">
                  <c:v>24619.397662556436</c:v>
                </c:pt>
                <c:pt idx="16">
                  <c:v>25000</c:v>
                </c:pt>
                <c:pt idx="17">
                  <c:v>24619.397662556432</c:v>
                </c:pt>
                <c:pt idx="18">
                  <c:v>23535.533905932731</c:v>
                </c:pt>
                <c:pt idx="19">
                  <c:v>21913.417161825437</c:v>
                </c:pt>
                <c:pt idx="20">
                  <c:v>19999.999999999985</c:v>
                </c:pt>
                <c:pt idx="21">
                  <c:v>18086.582838174534</c:v>
                </c:pt>
                <c:pt idx="22">
                  <c:v>16464.466094067247</c:v>
                </c:pt>
                <c:pt idx="23">
                  <c:v>15380.602337443557</c:v>
                </c:pt>
                <c:pt idx="24">
                  <c:v>15000</c:v>
                </c:pt>
                <c:pt idx="25">
                  <c:v>15380.602337443575</c:v>
                </c:pt>
                <c:pt idx="26">
                  <c:v>16464.466094067284</c:v>
                </c:pt>
                <c:pt idx="27">
                  <c:v>18086.582838174581</c:v>
                </c:pt>
                <c:pt idx="28">
                  <c:v>20000.000000000033</c:v>
                </c:pt>
                <c:pt idx="29">
                  <c:v>21913.41716182548</c:v>
                </c:pt>
                <c:pt idx="30">
                  <c:v>23535.533905932763</c:v>
                </c:pt>
                <c:pt idx="31">
                  <c:v>24619.39766255645</c:v>
                </c:pt>
                <c:pt idx="32">
                  <c:v>25000</c:v>
                </c:pt>
                <c:pt idx="33">
                  <c:v>24619.397662556417</c:v>
                </c:pt>
                <c:pt idx="34">
                  <c:v>23535.533905932705</c:v>
                </c:pt>
                <c:pt idx="35">
                  <c:v>21913.417161825404</c:v>
                </c:pt>
                <c:pt idx="36">
                  <c:v>19999.999999999949</c:v>
                </c:pt>
                <c:pt idx="37">
                  <c:v>18086.582838174501</c:v>
                </c:pt>
                <c:pt idx="38">
                  <c:v>16464.466094067226</c:v>
                </c:pt>
                <c:pt idx="39">
                  <c:v>15380.602337443544</c:v>
                </c:pt>
                <c:pt idx="40">
                  <c:v>15000</c:v>
                </c:pt>
                <c:pt idx="41">
                  <c:v>15380.60233744359</c:v>
                </c:pt>
                <c:pt idx="42">
                  <c:v>16464.466094067302</c:v>
                </c:pt>
                <c:pt idx="43">
                  <c:v>18086.582838174596</c:v>
                </c:pt>
                <c:pt idx="44">
                  <c:v>20000.00000000004</c:v>
                </c:pt>
                <c:pt idx="45">
                  <c:v>21913.41716182548</c:v>
                </c:pt>
                <c:pt idx="46">
                  <c:v>23535.533905932756</c:v>
                </c:pt>
                <c:pt idx="47">
                  <c:v>24619.397662556443</c:v>
                </c:pt>
                <c:pt idx="48">
                  <c:v>25000</c:v>
                </c:pt>
                <c:pt idx="49">
                  <c:v>24619.397662556432</c:v>
                </c:pt>
                <c:pt idx="50">
                  <c:v>23535.533905932738</c:v>
                </c:pt>
                <c:pt idx="51">
                  <c:v>21913.417161825455</c:v>
                </c:pt>
                <c:pt idx="52">
                  <c:v>20000.000000000015</c:v>
                </c:pt>
                <c:pt idx="53">
                  <c:v>18086.58283817457</c:v>
                </c:pt>
                <c:pt idx="54">
                  <c:v>16464.46609406728</c:v>
                </c:pt>
                <c:pt idx="55">
                  <c:v>15380.602337443579</c:v>
                </c:pt>
                <c:pt idx="56">
                  <c:v>15000</c:v>
                </c:pt>
                <c:pt idx="57">
                  <c:v>15380.602337443548</c:v>
                </c:pt>
                <c:pt idx="58">
                  <c:v>16464.466094067226</c:v>
                </c:pt>
                <c:pt idx="59">
                  <c:v>18086.582838174494</c:v>
                </c:pt>
                <c:pt idx="60">
                  <c:v>19999.999999999935</c:v>
                </c:pt>
                <c:pt idx="61">
                  <c:v>21913.417161825382</c:v>
                </c:pt>
                <c:pt idx="62">
                  <c:v>23535.53390593268</c:v>
                </c:pt>
                <c:pt idx="63">
                  <c:v>24619.397662556399</c:v>
                </c:pt>
                <c:pt idx="64">
                  <c:v>25000</c:v>
                </c:pt>
                <c:pt idx="65">
                  <c:v>24619.397662556472</c:v>
                </c:pt>
                <c:pt idx="66">
                  <c:v>23535.533905932814</c:v>
                </c:pt>
                <c:pt idx="67">
                  <c:v>21913.417161825553</c:v>
                </c:pt>
                <c:pt idx="68">
                  <c:v>20000.00000000012</c:v>
                </c:pt>
                <c:pt idx="69">
                  <c:v>18086.582838174669</c:v>
                </c:pt>
                <c:pt idx="70">
                  <c:v>16464.466094067357</c:v>
                </c:pt>
                <c:pt idx="71">
                  <c:v>15380.602337443619</c:v>
                </c:pt>
                <c:pt idx="72">
                  <c:v>15000</c:v>
                </c:pt>
                <c:pt idx="73">
                  <c:v>15380.602337443506</c:v>
                </c:pt>
                <c:pt idx="74">
                  <c:v>16464.466094067149</c:v>
                </c:pt>
                <c:pt idx="75">
                  <c:v>18086.582838174396</c:v>
                </c:pt>
                <c:pt idx="76">
                  <c:v>19999.999999999825</c:v>
                </c:pt>
                <c:pt idx="77">
                  <c:v>21913.41716182528</c:v>
                </c:pt>
                <c:pt idx="78">
                  <c:v>23535.533905932603</c:v>
                </c:pt>
                <c:pt idx="79">
                  <c:v>24619.397662556359</c:v>
                </c:pt>
                <c:pt idx="80">
                  <c:v>25000</c:v>
                </c:pt>
                <c:pt idx="81">
                  <c:v>24619.397662556512</c:v>
                </c:pt>
                <c:pt idx="82">
                  <c:v>23535.533905932876</c:v>
                </c:pt>
                <c:pt idx="83">
                  <c:v>21913.417161825637</c:v>
                </c:pt>
                <c:pt idx="84">
                  <c:v>20000.000000000211</c:v>
                </c:pt>
                <c:pt idx="85">
                  <c:v>18086.582838174752</c:v>
                </c:pt>
                <c:pt idx="86">
                  <c:v>16464.466094067422</c:v>
                </c:pt>
                <c:pt idx="87">
                  <c:v>15380.602337443655</c:v>
                </c:pt>
                <c:pt idx="88">
                  <c:v>15000</c:v>
                </c:pt>
                <c:pt idx="89">
                  <c:v>15380.602337443474</c:v>
                </c:pt>
                <c:pt idx="90">
                  <c:v>16464.466094067084</c:v>
                </c:pt>
                <c:pt idx="91">
                  <c:v>18086.582838174312</c:v>
                </c:pt>
                <c:pt idx="92">
                  <c:v>19999.999999999734</c:v>
                </c:pt>
                <c:pt idx="93">
                  <c:v>21913.417161825197</c:v>
                </c:pt>
                <c:pt idx="94">
                  <c:v>23535.533905932542</c:v>
                </c:pt>
                <c:pt idx="95">
                  <c:v>24619.397662556323</c:v>
                </c:pt>
                <c:pt idx="96">
                  <c:v>25000</c:v>
                </c:pt>
                <c:pt idx="97">
                  <c:v>24619.397662556548</c:v>
                </c:pt>
                <c:pt idx="98">
                  <c:v>23535.533905932953</c:v>
                </c:pt>
                <c:pt idx="99">
                  <c:v>21913.417161825739</c:v>
                </c:pt>
                <c:pt idx="100">
                  <c:v>20000.00000000032</c:v>
                </c:pt>
                <c:pt idx="101">
                  <c:v>18086.582838174851</c:v>
                </c:pt>
                <c:pt idx="102">
                  <c:v>16464.466094067498</c:v>
                </c:pt>
                <c:pt idx="103">
                  <c:v>15380.602337443695</c:v>
                </c:pt>
                <c:pt idx="104">
                  <c:v>15000</c:v>
                </c:pt>
                <c:pt idx="105">
                  <c:v>15380.602337443432</c:v>
                </c:pt>
                <c:pt idx="106">
                  <c:v>16464.466094067007</c:v>
                </c:pt>
                <c:pt idx="107">
                  <c:v>18086.582838174214</c:v>
                </c:pt>
                <c:pt idx="108">
                  <c:v>19999.999999999629</c:v>
                </c:pt>
                <c:pt idx="109">
                  <c:v>21913.417161825098</c:v>
                </c:pt>
                <c:pt idx="110">
                  <c:v>23535.533905932465</c:v>
                </c:pt>
                <c:pt idx="111">
                  <c:v>24619.397662556283</c:v>
                </c:pt>
                <c:pt idx="112">
                  <c:v>25000</c:v>
                </c:pt>
              </c:numCache>
            </c:numRef>
          </c:xVal>
          <c:yVal>
            <c:numRef>
              <c:f>'Conditions initiales + chemin'!$AO$10:$AO$122</c:f>
              <c:numCache>
                <c:formatCode>General</c:formatCode>
                <c:ptCount val="113"/>
                <c:pt idx="0">
                  <c:v>7500</c:v>
                </c:pt>
                <c:pt idx="1">
                  <c:v>9413.4171618254495</c:v>
                </c:pt>
                <c:pt idx="2">
                  <c:v>11035.533905932738</c:v>
                </c:pt>
                <c:pt idx="3">
                  <c:v>12119.397662556434</c:v>
                </c:pt>
                <c:pt idx="4">
                  <c:v>12500</c:v>
                </c:pt>
                <c:pt idx="5">
                  <c:v>12119.397662556434</c:v>
                </c:pt>
                <c:pt idx="6">
                  <c:v>11035.533905932738</c:v>
                </c:pt>
                <c:pt idx="7">
                  <c:v>9413.4171618254495</c:v>
                </c:pt>
                <c:pt idx="8">
                  <c:v>7500.0000000000009</c:v>
                </c:pt>
                <c:pt idx="9">
                  <c:v>5586.5828381745514</c:v>
                </c:pt>
                <c:pt idx="10">
                  <c:v>3964.4660940672625</c:v>
                </c:pt>
                <c:pt idx="11">
                  <c:v>2880.6023374435672</c:v>
                </c:pt>
                <c:pt idx="12">
                  <c:v>2500</c:v>
                </c:pt>
                <c:pt idx="13">
                  <c:v>2880.6023374435672</c:v>
                </c:pt>
                <c:pt idx="14">
                  <c:v>3964.4660940672647</c:v>
                </c:pt>
                <c:pt idx="15">
                  <c:v>5586.5828381745559</c:v>
                </c:pt>
                <c:pt idx="16">
                  <c:v>7500.0000000000073</c:v>
                </c:pt>
                <c:pt idx="17">
                  <c:v>9413.4171618254586</c:v>
                </c:pt>
                <c:pt idx="18">
                  <c:v>11035.533905932745</c:v>
                </c:pt>
                <c:pt idx="19">
                  <c:v>12119.397662556439</c:v>
                </c:pt>
                <c:pt idx="20">
                  <c:v>12500</c:v>
                </c:pt>
                <c:pt idx="21">
                  <c:v>12119.397662556426</c:v>
                </c:pt>
                <c:pt idx="22">
                  <c:v>11035.533905932723</c:v>
                </c:pt>
                <c:pt idx="23">
                  <c:v>9413.4171618254277</c:v>
                </c:pt>
                <c:pt idx="24">
                  <c:v>7499.9999999999754</c:v>
                </c:pt>
                <c:pt idx="25">
                  <c:v>5586.5828381745259</c:v>
                </c:pt>
                <c:pt idx="26">
                  <c:v>3964.4660940672416</c:v>
                </c:pt>
                <c:pt idx="27">
                  <c:v>2880.6023374435545</c:v>
                </c:pt>
                <c:pt idx="28">
                  <c:v>2500</c:v>
                </c:pt>
                <c:pt idx="29">
                  <c:v>2880.6023374435799</c:v>
                </c:pt>
                <c:pt idx="30">
                  <c:v>3964.4660940672889</c:v>
                </c:pt>
                <c:pt idx="31">
                  <c:v>5586.5828381745878</c:v>
                </c:pt>
                <c:pt idx="32">
                  <c:v>7500.0000000000418</c:v>
                </c:pt>
                <c:pt idx="33">
                  <c:v>9413.4171618254895</c:v>
                </c:pt>
                <c:pt idx="34">
                  <c:v>11035.533905932771</c:v>
                </c:pt>
                <c:pt idx="35">
                  <c:v>12119.397662556454</c:v>
                </c:pt>
                <c:pt idx="36">
                  <c:v>12500</c:v>
                </c:pt>
                <c:pt idx="37">
                  <c:v>12119.397662556414</c:v>
                </c:pt>
                <c:pt idx="38">
                  <c:v>11035.533905932698</c:v>
                </c:pt>
                <c:pt idx="39">
                  <c:v>9413.4171618253968</c:v>
                </c:pt>
                <c:pt idx="40">
                  <c:v>7499.9999999999409</c:v>
                </c:pt>
                <c:pt idx="41">
                  <c:v>5586.5828381744941</c:v>
                </c:pt>
                <c:pt idx="42">
                  <c:v>3964.4660940672238</c:v>
                </c:pt>
                <c:pt idx="43">
                  <c:v>2880.6023374435481</c:v>
                </c:pt>
                <c:pt idx="44">
                  <c:v>2500</c:v>
                </c:pt>
                <c:pt idx="45">
                  <c:v>2880.602337443579</c:v>
                </c:pt>
                <c:pt idx="46">
                  <c:v>3964.466094067282</c:v>
                </c:pt>
                <c:pt idx="47">
                  <c:v>5586.5828381745705</c:v>
                </c:pt>
                <c:pt idx="48">
                  <c:v>7500.0000000000136</c:v>
                </c:pt>
                <c:pt idx="49">
                  <c:v>9413.417161825455</c:v>
                </c:pt>
                <c:pt idx="50">
                  <c:v>11035.533905932738</c:v>
                </c:pt>
                <c:pt idx="51">
                  <c:v>12119.397662556432</c:v>
                </c:pt>
                <c:pt idx="52">
                  <c:v>12500</c:v>
                </c:pt>
                <c:pt idx="53">
                  <c:v>12119.397662556443</c:v>
                </c:pt>
                <c:pt idx="54">
                  <c:v>11035.533905932756</c:v>
                </c:pt>
                <c:pt idx="55">
                  <c:v>9413.4171618254804</c:v>
                </c:pt>
                <c:pt idx="56">
                  <c:v>7500.00000000004</c:v>
                </c:pt>
                <c:pt idx="57">
                  <c:v>5586.5828381745941</c:v>
                </c:pt>
                <c:pt idx="58">
                  <c:v>3964.4660940672998</c:v>
                </c:pt>
                <c:pt idx="59">
                  <c:v>2880.602337443589</c:v>
                </c:pt>
                <c:pt idx="60">
                  <c:v>2500</c:v>
                </c:pt>
                <c:pt idx="61">
                  <c:v>2880.6023374435381</c:v>
                </c:pt>
                <c:pt idx="62">
                  <c:v>3964.4660940672056</c:v>
                </c:pt>
                <c:pt idx="63">
                  <c:v>5586.5828381744705</c:v>
                </c:pt>
                <c:pt idx="64">
                  <c:v>7499.9999999999063</c:v>
                </c:pt>
                <c:pt idx="65">
                  <c:v>9413.4171618253567</c:v>
                </c:pt>
                <c:pt idx="66">
                  <c:v>11035.533905932662</c:v>
                </c:pt>
                <c:pt idx="67">
                  <c:v>12119.39766255639</c:v>
                </c:pt>
                <c:pt idx="68">
                  <c:v>12500</c:v>
                </c:pt>
                <c:pt idx="69">
                  <c:v>12119.397662556483</c:v>
                </c:pt>
                <c:pt idx="70">
                  <c:v>11035.533905932833</c:v>
                </c:pt>
                <c:pt idx="71">
                  <c:v>9413.4171618255787</c:v>
                </c:pt>
                <c:pt idx="72">
                  <c:v>7500.0000000001473</c:v>
                </c:pt>
                <c:pt idx="73">
                  <c:v>5586.5828381746942</c:v>
                </c:pt>
                <c:pt idx="74">
                  <c:v>3964.4660940673766</c:v>
                </c:pt>
                <c:pt idx="75">
                  <c:v>2880.6023374436309</c:v>
                </c:pt>
                <c:pt idx="76">
                  <c:v>2500</c:v>
                </c:pt>
                <c:pt idx="77">
                  <c:v>2880.6023374434972</c:v>
                </c:pt>
                <c:pt idx="78">
                  <c:v>3964.4660940671297</c:v>
                </c:pt>
                <c:pt idx="79">
                  <c:v>5586.5828381743713</c:v>
                </c:pt>
                <c:pt idx="80">
                  <c:v>7499.9999999997981</c:v>
                </c:pt>
                <c:pt idx="81">
                  <c:v>9413.4171618252567</c:v>
                </c:pt>
                <c:pt idx="82">
                  <c:v>11035.533905932598</c:v>
                </c:pt>
                <c:pt idx="83">
                  <c:v>12119.397662556355</c:v>
                </c:pt>
                <c:pt idx="84">
                  <c:v>12500</c:v>
                </c:pt>
                <c:pt idx="85">
                  <c:v>12119.397662556517</c:v>
                </c:pt>
                <c:pt idx="86">
                  <c:v>11035.533905932896</c:v>
                </c:pt>
                <c:pt idx="87">
                  <c:v>9413.4171618256623</c:v>
                </c:pt>
                <c:pt idx="88">
                  <c:v>7500.0000000002374</c:v>
                </c:pt>
                <c:pt idx="89">
                  <c:v>5586.582838174777</c:v>
                </c:pt>
                <c:pt idx="90">
                  <c:v>3964.4660940674398</c:v>
                </c:pt>
                <c:pt idx="91">
                  <c:v>2880.6023374436654</c:v>
                </c:pt>
                <c:pt idx="92">
                  <c:v>2500</c:v>
                </c:pt>
                <c:pt idx="93">
                  <c:v>2880.6023374434626</c:v>
                </c:pt>
                <c:pt idx="94">
                  <c:v>3964.4660940670656</c:v>
                </c:pt>
                <c:pt idx="95">
                  <c:v>5586.5828381742876</c:v>
                </c:pt>
                <c:pt idx="96">
                  <c:v>7499.9999999997081</c:v>
                </c:pt>
                <c:pt idx="97">
                  <c:v>9413.417161825173</c:v>
                </c:pt>
                <c:pt idx="98">
                  <c:v>11035.533905932522</c:v>
                </c:pt>
                <c:pt idx="99">
                  <c:v>12119.397662556315</c:v>
                </c:pt>
                <c:pt idx="100">
                  <c:v>12500</c:v>
                </c:pt>
                <c:pt idx="101">
                  <c:v>12119.397662556559</c:v>
                </c:pt>
                <c:pt idx="102">
                  <c:v>11035.533905932973</c:v>
                </c:pt>
                <c:pt idx="103">
                  <c:v>9413.4171618257624</c:v>
                </c:pt>
                <c:pt idx="104">
                  <c:v>7500.0000000003456</c:v>
                </c:pt>
                <c:pt idx="105">
                  <c:v>5586.582838174877</c:v>
                </c:pt>
                <c:pt idx="106">
                  <c:v>3964.4660940675162</c:v>
                </c:pt>
                <c:pt idx="107">
                  <c:v>2880.6023374437063</c:v>
                </c:pt>
                <c:pt idx="108">
                  <c:v>2500</c:v>
                </c:pt>
                <c:pt idx="109">
                  <c:v>2880.6023374434208</c:v>
                </c:pt>
                <c:pt idx="110">
                  <c:v>3964.4660940669896</c:v>
                </c:pt>
                <c:pt idx="111">
                  <c:v>5586.5828381741885</c:v>
                </c:pt>
                <c:pt idx="112">
                  <c:v>7499.9999999999918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C9-412D-941E-04448833F7A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chemin'!$AP$10:$AP$122</c:f>
              <c:numCache>
                <c:formatCode>General</c:formatCode>
                <c:ptCount val="113"/>
              </c:numCache>
            </c:numRef>
          </c:xVal>
          <c:yVal>
            <c:numRef>
              <c:f>'Conditions initiales + chemin'!$AQ$10:$AQ$122</c:f>
              <c:numCache>
                <c:formatCode>General</c:formatCode>
                <c:ptCount val="113"/>
                <c:pt idx="0">
                  <c:v>-16500</c:v>
                </c:pt>
                <c:pt idx="1">
                  <c:v>-16766.421636210496</c:v>
                </c:pt>
                <c:pt idx="2">
                  <c:v>-17525.126265847084</c:v>
                </c:pt>
                <c:pt idx="3">
                  <c:v>-18660.607986722185</c:v>
                </c:pt>
                <c:pt idx="4">
                  <c:v>-20000</c:v>
                </c:pt>
                <c:pt idx="5">
                  <c:v>-21339.392013277815</c:v>
                </c:pt>
                <c:pt idx="6">
                  <c:v>-22474.873734152916</c:v>
                </c:pt>
                <c:pt idx="7">
                  <c:v>-23233.578363789504</c:v>
                </c:pt>
                <c:pt idx="8">
                  <c:v>-23500</c:v>
                </c:pt>
                <c:pt idx="9">
                  <c:v>-23233.578363789504</c:v>
                </c:pt>
                <c:pt idx="10">
                  <c:v>-22474.873734152916</c:v>
                </c:pt>
                <c:pt idx="11">
                  <c:v>-21339.392013277815</c:v>
                </c:pt>
                <c:pt idx="12">
                  <c:v>-20000</c:v>
                </c:pt>
                <c:pt idx="13">
                  <c:v>-18660.607986722185</c:v>
                </c:pt>
                <c:pt idx="14">
                  <c:v>-17525.126265847081</c:v>
                </c:pt>
                <c:pt idx="15">
                  <c:v>-16766.421636210496</c:v>
                </c:pt>
                <c:pt idx="16">
                  <c:v>-16500</c:v>
                </c:pt>
                <c:pt idx="17">
                  <c:v>-16766.4216362105</c:v>
                </c:pt>
                <c:pt idx="18">
                  <c:v>-17525.126265847088</c:v>
                </c:pt>
                <c:pt idx="19">
                  <c:v>-18660.607986722196</c:v>
                </c:pt>
                <c:pt idx="20">
                  <c:v>-20000.000000000011</c:v>
                </c:pt>
                <c:pt idx="21">
                  <c:v>-21339.392013277826</c:v>
                </c:pt>
                <c:pt idx="22">
                  <c:v>-22474.873734152927</c:v>
                </c:pt>
                <c:pt idx="23">
                  <c:v>-23233.578363789511</c:v>
                </c:pt>
                <c:pt idx="24">
                  <c:v>-23500</c:v>
                </c:pt>
                <c:pt idx="25">
                  <c:v>-23233.578363789497</c:v>
                </c:pt>
                <c:pt idx="26">
                  <c:v>-22474.873734152901</c:v>
                </c:pt>
                <c:pt idx="27">
                  <c:v>-21339.392013277793</c:v>
                </c:pt>
                <c:pt idx="28">
                  <c:v>-19999.999999999978</c:v>
                </c:pt>
                <c:pt idx="29">
                  <c:v>-18660.607986722163</c:v>
                </c:pt>
                <c:pt idx="30">
                  <c:v>-17525.126265847066</c:v>
                </c:pt>
                <c:pt idx="31">
                  <c:v>-16766.421636210485</c:v>
                </c:pt>
                <c:pt idx="32">
                  <c:v>-16500</c:v>
                </c:pt>
                <c:pt idx="33">
                  <c:v>-16766.421636210507</c:v>
                </c:pt>
                <c:pt idx="34">
                  <c:v>-17525.126265847106</c:v>
                </c:pt>
                <c:pt idx="35">
                  <c:v>-18660.607986722218</c:v>
                </c:pt>
                <c:pt idx="36">
                  <c:v>-20000.000000000036</c:v>
                </c:pt>
                <c:pt idx="37">
                  <c:v>-21339.392013277848</c:v>
                </c:pt>
                <c:pt idx="38">
                  <c:v>-22474.873734152941</c:v>
                </c:pt>
                <c:pt idx="39">
                  <c:v>-23233.578363789518</c:v>
                </c:pt>
                <c:pt idx="40">
                  <c:v>-23500</c:v>
                </c:pt>
                <c:pt idx="41">
                  <c:v>-23233.578363789486</c:v>
                </c:pt>
                <c:pt idx="42">
                  <c:v>-22474.87373415289</c:v>
                </c:pt>
                <c:pt idx="43">
                  <c:v>-21339.392013277782</c:v>
                </c:pt>
                <c:pt idx="44">
                  <c:v>-19999.999999999971</c:v>
                </c:pt>
                <c:pt idx="45">
                  <c:v>-18660.607986722163</c:v>
                </c:pt>
                <c:pt idx="46">
                  <c:v>-17525.12626584707</c:v>
                </c:pt>
                <c:pt idx="47">
                  <c:v>-16766.421636210493</c:v>
                </c:pt>
                <c:pt idx="48">
                  <c:v>-16500</c:v>
                </c:pt>
                <c:pt idx="49">
                  <c:v>-16766.4216362105</c:v>
                </c:pt>
                <c:pt idx="50">
                  <c:v>-17525.126265847084</c:v>
                </c:pt>
                <c:pt idx="51">
                  <c:v>-18660.607986722182</c:v>
                </c:pt>
                <c:pt idx="52">
                  <c:v>-19999.999999999993</c:v>
                </c:pt>
                <c:pt idx="53">
                  <c:v>-21339.3920132778</c:v>
                </c:pt>
                <c:pt idx="54">
                  <c:v>-22474.873734152905</c:v>
                </c:pt>
                <c:pt idx="55">
                  <c:v>-23233.578363789493</c:v>
                </c:pt>
                <c:pt idx="56">
                  <c:v>-23500</c:v>
                </c:pt>
                <c:pt idx="57">
                  <c:v>-23233.578363789515</c:v>
                </c:pt>
                <c:pt idx="58">
                  <c:v>-22474.873734152941</c:v>
                </c:pt>
                <c:pt idx="59">
                  <c:v>-21339.392013277851</c:v>
                </c:pt>
                <c:pt idx="60">
                  <c:v>-20000.000000000047</c:v>
                </c:pt>
                <c:pt idx="61">
                  <c:v>-18660.607986722232</c:v>
                </c:pt>
                <c:pt idx="62">
                  <c:v>-17525.126265847124</c:v>
                </c:pt>
                <c:pt idx="63">
                  <c:v>-16766.421636210522</c:v>
                </c:pt>
                <c:pt idx="64">
                  <c:v>-16500</c:v>
                </c:pt>
                <c:pt idx="65">
                  <c:v>-16766.421636210471</c:v>
                </c:pt>
                <c:pt idx="66">
                  <c:v>-17525.12626584703</c:v>
                </c:pt>
                <c:pt idx="67">
                  <c:v>-18660.607986722112</c:v>
                </c:pt>
                <c:pt idx="68">
                  <c:v>-19999.999999999916</c:v>
                </c:pt>
                <c:pt idx="69">
                  <c:v>-21339.392013277731</c:v>
                </c:pt>
                <c:pt idx="70">
                  <c:v>-22474.87373415285</c:v>
                </c:pt>
                <c:pt idx="71">
                  <c:v>-23233.578363789467</c:v>
                </c:pt>
                <c:pt idx="72">
                  <c:v>-23500</c:v>
                </c:pt>
                <c:pt idx="73">
                  <c:v>-23233.578363789544</c:v>
                </c:pt>
                <c:pt idx="74">
                  <c:v>-22474.873734152996</c:v>
                </c:pt>
                <c:pt idx="75">
                  <c:v>-21339.392013277924</c:v>
                </c:pt>
                <c:pt idx="76">
                  <c:v>-20000.000000000124</c:v>
                </c:pt>
                <c:pt idx="77">
                  <c:v>-18660.607986722302</c:v>
                </c:pt>
                <c:pt idx="78">
                  <c:v>-17525.126265847175</c:v>
                </c:pt>
                <c:pt idx="79">
                  <c:v>-16766.421636210547</c:v>
                </c:pt>
                <c:pt idx="80">
                  <c:v>-16500</c:v>
                </c:pt>
                <c:pt idx="81">
                  <c:v>-16766.421636210442</c:v>
                </c:pt>
                <c:pt idx="82">
                  <c:v>-17525.126265846986</c:v>
                </c:pt>
                <c:pt idx="83">
                  <c:v>-18660.607986722054</c:v>
                </c:pt>
                <c:pt idx="84">
                  <c:v>-19999.999999999851</c:v>
                </c:pt>
                <c:pt idx="85">
                  <c:v>-21339.392013277673</c:v>
                </c:pt>
                <c:pt idx="86">
                  <c:v>-22474.873734152807</c:v>
                </c:pt>
                <c:pt idx="87">
                  <c:v>-23233.578363789442</c:v>
                </c:pt>
                <c:pt idx="88">
                  <c:v>-23500</c:v>
                </c:pt>
                <c:pt idx="89">
                  <c:v>-23233.578363789569</c:v>
                </c:pt>
                <c:pt idx="90">
                  <c:v>-22474.87373415304</c:v>
                </c:pt>
                <c:pt idx="91">
                  <c:v>-21339.392013277982</c:v>
                </c:pt>
                <c:pt idx="92">
                  <c:v>-20000.000000000186</c:v>
                </c:pt>
                <c:pt idx="93">
                  <c:v>-18660.60798672236</c:v>
                </c:pt>
                <c:pt idx="94">
                  <c:v>-17525.126265847222</c:v>
                </c:pt>
                <c:pt idx="95">
                  <c:v>-16766.421636210573</c:v>
                </c:pt>
                <c:pt idx="96">
                  <c:v>-16500</c:v>
                </c:pt>
                <c:pt idx="97">
                  <c:v>-16766.421636210416</c:v>
                </c:pt>
                <c:pt idx="98">
                  <c:v>-17525.126265846931</c:v>
                </c:pt>
                <c:pt idx="99">
                  <c:v>-18660.607986721985</c:v>
                </c:pt>
                <c:pt idx="100">
                  <c:v>-19999.999999999778</c:v>
                </c:pt>
                <c:pt idx="101">
                  <c:v>-21339.392013277604</c:v>
                </c:pt>
                <c:pt idx="102">
                  <c:v>-22474.873734152752</c:v>
                </c:pt>
                <c:pt idx="103">
                  <c:v>-23233.578363789413</c:v>
                </c:pt>
                <c:pt idx="104">
                  <c:v>-23500</c:v>
                </c:pt>
                <c:pt idx="105">
                  <c:v>-23233.578363789598</c:v>
                </c:pt>
                <c:pt idx="106">
                  <c:v>-22474.873734153094</c:v>
                </c:pt>
                <c:pt idx="107">
                  <c:v>-21339.392013278051</c:v>
                </c:pt>
                <c:pt idx="108">
                  <c:v>-20000.000000000262</c:v>
                </c:pt>
                <c:pt idx="109">
                  <c:v>-18660.607986722433</c:v>
                </c:pt>
                <c:pt idx="110">
                  <c:v>-17525.126265847273</c:v>
                </c:pt>
                <c:pt idx="111">
                  <c:v>-16766.421636210602</c:v>
                </c:pt>
                <c:pt idx="112">
                  <c:v>-16500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C9-412D-941E-04448833F7A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chemin'!$AR$10:$AR$122</c:f>
              <c:numCache>
                <c:formatCode>General</c:formatCode>
                <c:ptCount val="113"/>
                <c:pt idx="0">
                  <c:v>10000</c:v>
                </c:pt>
                <c:pt idx="1">
                  <c:v>11339.392013277815</c:v>
                </c:pt>
                <c:pt idx="2">
                  <c:v>12474.873734152916</c:v>
                </c:pt>
                <c:pt idx="3">
                  <c:v>13233.578363789504</c:v>
                </c:pt>
                <c:pt idx="4">
                  <c:v>13500</c:v>
                </c:pt>
                <c:pt idx="5">
                  <c:v>13233.578363789504</c:v>
                </c:pt>
                <c:pt idx="6">
                  <c:v>12474.873734152916</c:v>
                </c:pt>
                <c:pt idx="7">
                  <c:v>11339.392013277815</c:v>
                </c:pt>
                <c:pt idx="8">
                  <c:v>10000</c:v>
                </c:pt>
                <c:pt idx="9">
                  <c:v>8660.6079867221852</c:v>
                </c:pt>
                <c:pt idx="10">
                  <c:v>7525.1262658470841</c:v>
                </c:pt>
                <c:pt idx="11">
                  <c:v>6766.4216362104971</c:v>
                </c:pt>
                <c:pt idx="12">
                  <c:v>6500</c:v>
                </c:pt>
                <c:pt idx="13">
                  <c:v>6766.4216362104962</c:v>
                </c:pt>
                <c:pt idx="14">
                  <c:v>7525.126265847086</c:v>
                </c:pt>
                <c:pt idx="15">
                  <c:v>8660.6079867221888</c:v>
                </c:pt>
                <c:pt idx="16">
                  <c:v>10000.000000000005</c:v>
                </c:pt>
                <c:pt idx="17">
                  <c:v>11339.39201327782</c:v>
                </c:pt>
                <c:pt idx="18">
                  <c:v>12474.873734152923</c:v>
                </c:pt>
                <c:pt idx="19">
                  <c:v>13233.578363789507</c:v>
                </c:pt>
                <c:pt idx="20">
                  <c:v>13500</c:v>
                </c:pt>
                <c:pt idx="21">
                  <c:v>13233.578363789498</c:v>
                </c:pt>
                <c:pt idx="22">
                  <c:v>12474.873734152905</c:v>
                </c:pt>
                <c:pt idx="23">
                  <c:v>11339.3920132778</c:v>
                </c:pt>
                <c:pt idx="24">
                  <c:v>9999.9999999999818</c:v>
                </c:pt>
                <c:pt idx="25">
                  <c:v>8660.6079867221688</c:v>
                </c:pt>
                <c:pt idx="26">
                  <c:v>7525.1262658470696</c:v>
                </c:pt>
                <c:pt idx="27">
                  <c:v>6766.421636210488</c:v>
                </c:pt>
                <c:pt idx="28">
                  <c:v>6500</c:v>
                </c:pt>
                <c:pt idx="29">
                  <c:v>6766.4216362105053</c:v>
                </c:pt>
                <c:pt idx="30">
                  <c:v>7525.1262658471023</c:v>
                </c:pt>
                <c:pt idx="31">
                  <c:v>8660.6079867222106</c:v>
                </c:pt>
                <c:pt idx="32">
                  <c:v>10000.000000000029</c:v>
                </c:pt>
                <c:pt idx="33">
                  <c:v>11339.392013277842</c:v>
                </c:pt>
                <c:pt idx="34">
                  <c:v>12474.87373415294</c:v>
                </c:pt>
                <c:pt idx="35">
                  <c:v>13233.578363789517</c:v>
                </c:pt>
                <c:pt idx="36">
                  <c:v>13500</c:v>
                </c:pt>
                <c:pt idx="37">
                  <c:v>13233.578363789489</c:v>
                </c:pt>
                <c:pt idx="38">
                  <c:v>12474.87373415289</c:v>
                </c:pt>
                <c:pt idx="39">
                  <c:v>11339.392013277777</c:v>
                </c:pt>
                <c:pt idx="40">
                  <c:v>9999.9999999999582</c:v>
                </c:pt>
                <c:pt idx="41">
                  <c:v>8660.6079867221451</c:v>
                </c:pt>
                <c:pt idx="42">
                  <c:v>7525.1262658470569</c:v>
                </c:pt>
                <c:pt idx="43">
                  <c:v>6766.4216362104835</c:v>
                </c:pt>
                <c:pt idx="44">
                  <c:v>6500</c:v>
                </c:pt>
                <c:pt idx="45">
                  <c:v>6766.4216362105053</c:v>
                </c:pt>
                <c:pt idx="46">
                  <c:v>7525.1262658470969</c:v>
                </c:pt>
                <c:pt idx="47">
                  <c:v>8660.6079867221997</c:v>
                </c:pt>
                <c:pt idx="48">
                  <c:v>10000.000000000009</c:v>
                </c:pt>
                <c:pt idx="49">
                  <c:v>11339.392013277818</c:v>
                </c:pt>
                <c:pt idx="50">
                  <c:v>12474.873734152916</c:v>
                </c:pt>
                <c:pt idx="51">
                  <c:v>13233.578363789502</c:v>
                </c:pt>
                <c:pt idx="52">
                  <c:v>13500</c:v>
                </c:pt>
                <c:pt idx="53">
                  <c:v>13233.578363789509</c:v>
                </c:pt>
                <c:pt idx="54">
                  <c:v>12474.87373415293</c:v>
                </c:pt>
                <c:pt idx="55">
                  <c:v>11339.392013277835</c:v>
                </c:pt>
                <c:pt idx="56">
                  <c:v>10000.000000000027</c:v>
                </c:pt>
                <c:pt idx="57">
                  <c:v>8660.6079867222161</c:v>
                </c:pt>
                <c:pt idx="58">
                  <c:v>7525.1262658471096</c:v>
                </c:pt>
                <c:pt idx="59">
                  <c:v>6766.4216362105126</c:v>
                </c:pt>
                <c:pt idx="60">
                  <c:v>6500</c:v>
                </c:pt>
                <c:pt idx="61">
                  <c:v>6766.4216362104762</c:v>
                </c:pt>
                <c:pt idx="62">
                  <c:v>7525.1262658470441</c:v>
                </c:pt>
                <c:pt idx="63">
                  <c:v>8660.6079867221306</c:v>
                </c:pt>
                <c:pt idx="64">
                  <c:v>9999.9999999999345</c:v>
                </c:pt>
                <c:pt idx="65">
                  <c:v>11339.392013277749</c:v>
                </c:pt>
                <c:pt idx="66">
                  <c:v>12474.873734152863</c:v>
                </c:pt>
                <c:pt idx="67">
                  <c:v>13233.578363789473</c:v>
                </c:pt>
                <c:pt idx="68">
                  <c:v>13500</c:v>
                </c:pt>
                <c:pt idx="69">
                  <c:v>13233.578363789538</c:v>
                </c:pt>
                <c:pt idx="70">
                  <c:v>12474.873734152983</c:v>
                </c:pt>
                <c:pt idx="71">
                  <c:v>11339.392013277906</c:v>
                </c:pt>
                <c:pt idx="72">
                  <c:v>10000.000000000104</c:v>
                </c:pt>
                <c:pt idx="73">
                  <c:v>8660.6079867222852</c:v>
                </c:pt>
                <c:pt idx="74">
                  <c:v>7525.1262658471642</c:v>
                </c:pt>
                <c:pt idx="75">
                  <c:v>6766.4216362105417</c:v>
                </c:pt>
                <c:pt idx="76">
                  <c:v>6500</c:v>
                </c:pt>
                <c:pt idx="77">
                  <c:v>6766.421636210448</c:v>
                </c:pt>
                <c:pt idx="78">
                  <c:v>7525.1262658469905</c:v>
                </c:pt>
                <c:pt idx="79">
                  <c:v>8660.6079867220596</c:v>
                </c:pt>
                <c:pt idx="80">
                  <c:v>9999.9999999998581</c:v>
                </c:pt>
                <c:pt idx="81">
                  <c:v>11339.39201327768</c:v>
                </c:pt>
                <c:pt idx="82">
                  <c:v>12474.873734152818</c:v>
                </c:pt>
                <c:pt idx="83">
                  <c:v>13233.578363789449</c:v>
                </c:pt>
                <c:pt idx="84">
                  <c:v>13500</c:v>
                </c:pt>
                <c:pt idx="85">
                  <c:v>13233.578363789562</c:v>
                </c:pt>
                <c:pt idx="86">
                  <c:v>12474.873734153027</c:v>
                </c:pt>
                <c:pt idx="87">
                  <c:v>11339.392013277964</c:v>
                </c:pt>
                <c:pt idx="88">
                  <c:v>10000.000000000166</c:v>
                </c:pt>
                <c:pt idx="89">
                  <c:v>8660.6079867223434</c:v>
                </c:pt>
                <c:pt idx="90">
                  <c:v>7525.1262658472078</c:v>
                </c:pt>
                <c:pt idx="91">
                  <c:v>6766.4216362105653</c:v>
                </c:pt>
                <c:pt idx="92">
                  <c:v>6500</c:v>
                </c:pt>
                <c:pt idx="93">
                  <c:v>6766.4216362104235</c:v>
                </c:pt>
                <c:pt idx="94">
                  <c:v>7525.1262658469459</c:v>
                </c:pt>
                <c:pt idx="95">
                  <c:v>8660.6079867220014</c:v>
                </c:pt>
                <c:pt idx="96">
                  <c:v>9999.9999999997963</c:v>
                </c:pt>
                <c:pt idx="97">
                  <c:v>11339.392013277622</c:v>
                </c:pt>
                <c:pt idx="98">
                  <c:v>12474.873734152765</c:v>
                </c:pt>
                <c:pt idx="99">
                  <c:v>13233.57836378942</c:v>
                </c:pt>
                <c:pt idx="100">
                  <c:v>13500</c:v>
                </c:pt>
                <c:pt idx="101">
                  <c:v>13233.578363789591</c:v>
                </c:pt>
                <c:pt idx="102">
                  <c:v>12474.87373415308</c:v>
                </c:pt>
                <c:pt idx="103">
                  <c:v>11339.392013278033</c:v>
                </c:pt>
                <c:pt idx="104">
                  <c:v>10000.000000000242</c:v>
                </c:pt>
                <c:pt idx="105">
                  <c:v>8660.6079867224144</c:v>
                </c:pt>
                <c:pt idx="106">
                  <c:v>7525.1262658472615</c:v>
                </c:pt>
                <c:pt idx="107">
                  <c:v>6766.4216362105944</c:v>
                </c:pt>
                <c:pt idx="108">
                  <c:v>6500</c:v>
                </c:pt>
                <c:pt idx="109">
                  <c:v>6766.4216362103944</c:v>
                </c:pt>
                <c:pt idx="110">
                  <c:v>7525.1262658468931</c:v>
                </c:pt>
                <c:pt idx="111">
                  <c:v>8660.6079867219323</c:v>
                </c:pt>
                <c:pt idx="112">
                  <c:v>9999.9999999999945</c:v>
                </c:pt>
              </c:numCache>
            </c:numRef>
          </c:xVal>
          <c:yVal>
            <c:numRef>
              <c:f>'Conditions initiales + chemin'!$AS$10:$AS$122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C9-412D-941E-04448833F7A2}"/>
            </c:ext>
          </c:extLst>
        </c:ser>
        <c:ser>
          <c:idx val="4"/>
          <c:order val="4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chemin'!$AT$10:$AT$122</c:f>
              <c:numCache>
                <c:formatCode>General</c:formatCode>
                <c:ptCount val="113"/>
                <c:pt idx="0">
                  <c:v>0</c:v>
                </c:pt>
                <c:pt idx="1">
                  <c:v>-380.60233744356628</c:v>
                </c:pt>
                <c:pt idx="2">
                  <c:v>-1464.466094067262</c:v>
                </c:pt>
                <c:pt idx="3">
                  <c:v>-3086.5828381745505</c:v>
                </c:pt>
                <c:pt idx="4">
                  <c:v>-5000</c:v>
                </c:pt>
                <c:pt idx="5">
                  <c:v>-6913.4171618254486</c:v>
                </c:pt>
                <c:pt idx="6">
                  <c:v>-8535.533905932738</c:v>
                </c:pt>
                <c:pt idx="7">
                  <c:v>-9619.3976625564337</c:v>
                </c:pt>
                <c:pt idx="8">
                  <c:v>-10000</c:v>
                </c:pt>
                <c:pt idx="9">
                  <c:v>-9619.3976625564355</c:v>
                </c:pt>
                <c:pt idx="10">
                  <c:v>-8535.533905932738</c:v>
                </c:pt>
                <c:pt idx="11">
                  <c:v>-6913.4171618254513</c:v>
                </c:pt>
                <c:pt idx="12">
                  <c:v>-5000.0000000000009</c:v>
                </c:pt>
                <c:pt idx="13">
                  <c:v>-3086.58283817455</c:v>
                </c:pt>
                <c:pt idx="14">
                  <c:v>-1464.4660940672597</c:v>
                </c:pt>
                <c:pt idx="15">
                  <c:v>-380.60233744356447</c:v>
                </c:pt>
                <c:pt idx="16">
                  <c:v>0</c:v>
                </c:pt>
                <c:pt idx="17">
                  <c:v>-380.60233744356992</c:v>
                </c:pt>
                <c:pt idx="18">
                  <c:v>-1464.4660940672711</c:v>
                </c:pt>
                <c:pt idx="19">
                  <c:v>-3086.5828381745641</c:v>
                </c:pt>
                <c:pt idx="20">
                  <c:v>-5000.0000000000164</c:v>
                </c:pt>
                <c:pt idx="21">
                  <c:v>-6913.4171618254659</c:v>
                </c:pt>
                <c:pt idx="22">
                  <c:v>-8535.5339059327525</c:v>
                </c:pt>
                <c:pt idx="23">
                  <c:v>-9619.3976625564428</c:v>
                </c:pt>
                <c:pt idx="24">
                  <c:v>-10000</c:v>
                </c:pt>
                <c:pt idx="25">
                  <c:v>-9619.3976625564246</c:v>
                </c:pt>
                <c:pt idx="26">
                  <c:v>-8535.533905932718</c:v>
                </c:pt>
                <c:pt idx="27">
                  <c:v>-6913.4171618254204</c:v>
                </c:pt>
                <c:pt idx="28">
                  <c:v>-4999.9999999999663</c:v>
                </c:pt>
                <c:pt idx="29">
                  <c:v>-3086.5828381745187</c:v>
                </c:pt>
                <c:pt idx="30">
                  <c:v>-1464.4660940672356</c:v>
                </c:pt>
                <c:pt idx="31">
                  <c:v>-380.60233744355082</c:v>
                </c:pt>
                <c:pt idx="32">
                  <c:v>0</c:v>
                </c:pt>
                <c:pt idx="33">
                  <c:v>-380.60233744358266</c:v>
                </c:pt>
                <c:pt idx="34">
                  <c:v>-1464.4660940672948</c:v>
                </c:pt>
                <c:pt idx="35">
                  <c:v>-3086.582838174596</c:v>
                </c:pt>
                <c:pt idx="36">
                  <c:v>-5000.0000000000509</c:v>
                </c:pt>
                <c:pt idx="37">
                  <c:v>-6913.4171618254977</c:v>
                </c:pt>
                <c:pt idx="38">
                  <c:v>-8535.5339059327762</c:v>
                </c:pt>
                <c:pt idx="39">
                  <c:v>-9619.3976625564555</c:v>
                </c:pt>
                <c:pt idx="40">
                  <c:v>-10000</c:v>
                </c:pt>
                <c:pt idx="41">
                  <c:v>-9619.3976625564101</c:v>
                </c:pt>
                <c:pt idx="42">
                  <c:v>-8535.533905932698</c:v>
                </c:pt>
                <c:pt idx="43">
                  <c:v>-6913.4171618254049</c:v>
                </c:pt>
                <c:pt idx="44">
                  <c:v>-4999.9999999999591</c:v>
                </c:pt>
                <c:pt idx="45">
                  <c:v>-3086.5828381745196</c:v>
                </c:pt>
                <c:pt idx="46">
                  <c:v>-1464.4660940672429</c:v>
                </c:pt>
                <c:pt idx="47">
                  <c:v>-380.6023374435581</c:v>
                </c:pt>
                <c:pt idx="48">
                  <c:v>0</c:v>
                </c:pt>
                <c:pt idx="49">
                  <c:v>-380.60233744356901</c:v>
                </c:pt>
                <c:pt idx="50">
                  <c:v>-1464.4660940672625</c:v>
                </c:pt>
                <c:pt idx="51">
                  <c:v>-3086.5828381745455</c:v>
                </c:pt>
                <c:pt idx="52">
                  <c:v>-4999.9999999999873</c:v>
                </c:pt>
                <c:pt idx="53">
                  <c:v>-6913.4171618254313</c:v>
                </c:pt>
                <c:pt idx="54">
                  <c:v>-8535.5339059327198</c:v>
                </c:pt>
                <c:pt idx="55">
                  <c:v>-9619.397662556421</c:v>
                </c:pt>
                <c:pt idx="56">
                  <c:v>-10000</c:v>
                </c:pt>
                <c:pt idx="57">
                  <c:v>-9619.3976625564519</c:v>
                </c:pt>
                <c:pt idx="58">
                  <c:v>-8535.5339059327744</c:v>
                </c:pt>
                <c:pt idx="59">
                  <c:v>-6913.4171618255041</c:v>
                </c:pt>
                <c:pt idx="60">
                  <c:v>-5000.0000000000664</c:v>
                </c:pt>
                <c:pt idx="61">
                  <c:v>-3086.5828381746192</c:v>
                </c:pt>
                <c:pt idx="62">
                  <c:v>-1464.4660940673193</c:v>
                </c:pt>
                <c:pt idx="63">
                  <c:v>-380.60233744359994</c:v>
                </c:pt>
                <c:pt idx="64">
                  <c:v>0</c:v>
                </c:pt>
                <c:pt idx="65">
                  <c:v>-380.60233744352809</c:v>
                </c:pt>
                <c:pt idx="66">
                  <c:v>-1464.4660940671865</c:v>
                </c:pt>
                <c:pt idx="67">
                  <c:v>-3086.5828381744459</c:v>
                </c:pt>
                <c:pt idx="68">
                  <c:v>-4999.999999999879</c:v>
                </c:pt>
                <c:pt idx="69">
                  <c:v>-6913.4171618253313</c:v>
                </c:pt>
                <c:pt idx="70">
                  <c:v>-8535.5339059326434</c:v>
                </c:pt>
                <c:pt idx="71">
                  <c:v>-9619.397662556381</c:v>
                </c:pt>
                <c:pt idx="72">
                  <c:v>-10000</c:v>
                </c:pt>
                <c:pt idx="73">
                  <c:v>-9619.3976625564937</c:v>
                </c:pt>
                <c:pt idx="74">
                  <c:v>-8535.5339059328508</c:v>
                </c:pt>
                <c:pt idx="75">
                  <c:v>-6913.4171618256041</c:v>
                </c:pt>
                <c:pt idx="76">
                  <c:v>-5000.0000000001746</c:v>
                </c:pt>
                <c:pt idx="77">
                  <c:v>-3086.5828381747187</c:v>
                </c:pt>
                <c:pt idx="78">
                  <c:v>-1464.4660940673953</c:v>
                </c:pt>
                <c:pt idx="79">
                  <c:v>-380.60233744364086</c:v>
                </c:pt>
                <c:pt idx="80">
                  <c:v>0</c:v>
                </c:pt>
                <c:pt idx="81">
                  <c:v>-380.60233744348625</c:v>
                </c:pt>
                <c:pt idx="82">
                  <c:v>-1464.4660940671229</c:v>
                </c:pt>
                <c:pt idx="83">
                  <c:v>-3086.5828381743627</c:v>
                </c:pt>
                <c:pt idx="84">
                  <c:v>-4999.999999999789</c:v>
                </c:pt>
                <c:pt idx="85">
                  <c:v>-6913.4171618252476</c:v>
                </c:pt>
                <c:pt idx="86">
                  <c:v>-8535.5339059325797</c:v>
                </c:pt>
                <c:pt idx="87">
                  <c:v>-9619.3976625563446</c:v>
                </c:pt>
                <c:pt idx="88">
                  <c:v>-10000</c:v>
                </c:pt>
                <c:pt idx="89">
                  <c:v>-9619.3976625565265</c:v>
                </c:pt>
                <c:pt idx="90">
                  <c:v>-8535.5339059329144</c:v>
                </c:pt>
                <c:pt idx="91">
                  <c:v>-6913.4171618256869</c:v>
                </c:pt>
                <c:pt idx="92">
                  <c:v>-5000.0000000002647</c:v>
                </c:pt>
                <c:pt idx="93">
                  <c:v>-3086.5828381748015</c:v>
                </c:pt>
                <c:pt idx="94">
                  <c:v>-1464.4660940674594</c:v>
                </c:pt>
                <c:pt idx="95">
                  <c:v>-380.60233744367542</c:v>
                </c:pt>
                <c:pt idx="96">
                  <c:v>0</c:v>
                </c:pt>
                <c:pt idx="97">
                  <c:v>-380.60233744345169</c:v>
                </c:pt>
                <c:pt idx="98">
                  <c:v>-1464.4660940670469</c:v>
                </c:pt>
                <c:pt idx="99">
                  <c:v>-3086.5828381742631</c:v>
                </c:pt>
                <c:pt idx="100">
                  <c:v>-4999.9999999996817</c:v>
                </c:pt>
                <c:pt idx="101">
                  <c:v>-6913.4171618251485</c:v>
                </c:pt>
                <c:pt idx="102">
                  <c:v>-8535.5339059325033</c:v>
                </c:pt>
                <c:pt idx="103">
                  <c:v>-9619.3976625563046</c:v>
                </c:pt>
                <c:pt idx="104">
                  <c:v>-10000</c:v>
                </c:pt>
                <c:pt idx="105">
                  <c:v>-9619.3976625565683</c:v>
                </c:pt>
                <c:pt idx="106">
                  <c:v>-8535.5339059329926</c:v>
                </c:pt>
                <c:pt idx="107">
                  <c:v>-6913.4171618257869</c:v>
                </c:pt>
                <c:pt idx="108">
                  <c:v>-5000.000000000372</c:v>
                </c:pt>
                <c:pt idx="109">
                  <c:v>-3086.5828381749016</c:v>
                </c:pt>
                <c:pt idx="110">
                  <c:v>-1464.4660940675353</c:v>
                </c:pt>
                <c:pt idx="111">
                  <c:v>-380.60233744371635</c:v>
                </c:pt>
                <c:pt idx="112">
                  <c:v>0</c:v>
                </c:pt>
              </c:numCache>
            </c:numRef>
          </c:xVal>
          <c:yVal>
            <c:numRef>
              <c:f>'Conditions initiales + chemin'!$AU$10:$AU$122</c:f>
              <c:numCache>
                <c:formatCode>General</c:formatCode>
                <c:ptCount val="113"/>
                <c:pt idx="0">
                  <c:v>-15000</c:v>
                </c:pt>
                <c:pt idx="1">
                  <c:v>-13086.58283817455</c:v>
                </c:pt>
                <c:pt idx="2">
                  <c:v>-11464.466094067262</c:v>
                </c:pt>
                <c:pt idx="3">
                  <c:v>-10380.602337443566</c:v>
                </c:pt>
                <c:pt idx="4">
                  <c:v>-10000</c:v>
                </c:pt>
                <c:pt idx="5">
                  <c:v>-10380.602337443566</c:v>
                </c:pt>
                <c:pt idx="6">
                  <c:v>-11464.466094067262</c:v>
                </c:pt>
                <c:pt idx="7">
                  <c:v>-13086.58283817455</c:v>
                </c:pt>
                <c:pt idx="8">
                  <c:v>-15000</c:v>
                </c:pt>
                <c:pt idx="9">
                  <c:v>-16913.417161825448</c:v>
                </c:pt>
                <c:pt idx="10">
                  <c:v>-18535.533905932738</c:v>
                </c:pt>
                <c:pt idx="11">
                  <c:v>-19619.397662556432</c:v>
                </c:pt>
                <c:pt idx="12">
                  <c:v>-20000</c:v>
                </c:pt>
                <c:pt idx="13">
                  <c:v>-19619.397662556432</c:v>
                </c:pt>
                <c:pt idx="14">
                  <c:v>-18535.533905932734</c:v>
                </c:pt>
                <c:pt idx="15">
                  <c:v>-16913.417161825444</c:v>
                </c:pt>
                <c:pt idx="16">
                  <c:v>-14999.999999999993</c:v>
                </c:pt>
                <c:pt idx="17">
                  <c:v>-13086.582838174541</c:v>
                </c:pt>
                <c:pt idx="18">
                  <c:v>-11464.466094067255</c:v>
                </c:pt>
                <c:pt idx="19">
                  <c:v>-10380.602337443561</c:v>
                </c:pt>
                <c:pt idx="20">
                  <c:v>-10000</c:v>
                </c:pt>
                <c:pt idx="21">
                  <c:v>-10380.602337443574</c:v>
                </c:pt>
                <c:pt idx="22">
                  <c:v>-11464.466094067277</c:v>
                </c:pt>
                <c:pt idx="23">
                  <c:v>-13086.582838174572</c:v>
                </c:pt>
                <c:pt idx="24">
                  <c:v>-15000.000000000025</c:v>
                </c:pt>
                <c:pt idx="25">
                  <c:v>-16913.417161825473</c:v>
                </c:pt>
                <c:pt idx="26">
                  <c:v>-18535.53390593276</c:v>
                </c:pt>
                <c:pt idx="27">
                  <c:v>-19619.397662556446</c:v>
                </c:pt>
                <c:pt idx="28">
                  <c:v>-20000</c:v>
                </c:pt>
                <c:pt idx="29">
                  <c:v>-19619.397662556421</c:v>
                </c:pt>
                <c:pt idx="30">
                  <c:v>-18535.533905932713</c:v>
                </c:pt>
                <c:pt idx="31">
                  <c:v>-16913.417161825411</c:v>
                </c:pt>
                <c:pt idx="32">
                  <c:v>-14999.999999999958</c:v>
                </c:pt>
                <c:pt idx="33">
                  <c:v>-13086.58283817451</c:v>
                </c:pt>
                <c:pt idx="34">
                  <c:v>-11464.466094067229</c:v>
                </c:pt>
                <c:pt idx="35">
                  <c:v>-10380.602337443546</c:v>
                </c:pt>
                <c:pt idx="36">
                  <c:v>-10000</c:v>
                </c:pt>
                <c:pt idx="37">
                  <c:v>-10380.602337443586</c:v>
                </c:pt>
                <c:pt idx="38">
                  <c:v>-11464.466094067302</c:v>
                </c:pt>
                <c:pt idx="39">
                  <c:v>-13086.582838174603</c:v>
                </c:pt>
                <c:pt idx="40">
                  <c:v>-15000.000000000058</c:v>
                </c:pt>
                <c:pt idx="41">
                  <c:v>-16913.417161825506</c:v>
                </c:pt>
                <c:pt idx="42">
                  <c:v>-18535.533905932774</c:v>
                </c:pt>
                <c:pt idx="43">
                  <c:v>-19619.397662556454</c:v>
                </c:pt>
                <c:pt idx="44">
                  <c:v>-20000</c:v>
                </c:pt>
                <c:pt idx="45">
                  <c:v>-19619.397662556421</c:v>
                </c:pt>
                <c:pt idx="46">
                  <c:v>-18535.533905932716</c:v>
                </c:pt>
                <c:pt idx="47">
                  <c:v>-16913.41716182543</c:v>
                </c:pt>
                <c:pt idx="48">
                  <c:v>-14999.999999999985</c:v>
                </c:pt>
                <c:pt idx="49">
                  <c:v>-13086.582838174545</c:v>
                </c:pt>
                <c:pt idx="50">
                  <c:v>-11464.466094067262</c:v>
                </c:pt>
                <c:pt idx="51">
                  <c:v>-10380.602337443568</c:v>
                </c:pt>
                <c:pt idx="52">
                  <c:v>-10000</c:v>
                </c:pt>
                <c:pt idx="53">
                  <c:v>-10380.602337443557</c:v>
                </c:pt>
                <c:pt idx="54">
                  <c:v>-11464.466094067244</c:v>
                </c:pt>
                <c:pt idx="55">
                  <c:v>-13086.58283817452</c:v>
                </c:pt>
                <c:pt idx="56">
                  <c:v>-14999.99999999996</c:v>
                </c:pt>
                <c:pt idx="57">
                  <c:v>-16913.417161825404</c:v>
                </c:pt>
                <c:pt idx="58">
                  <c:v>-18535.533905932702</c:v>
                </c:pt>
                <c:pt idx="59">
                  <c:v>-19619.39766255641</c:v>
                </c:pt>
                <c:pt idx="60">
                  <c:v>-20000</c:v>
                </c:pt>
                <c:pt idx="61">
                  <c:v>-19619.397662556461</c:v>
                </c:pt>
                <c:pt idx="62">
                  <c:v>-18535.533905932796</c:v>
                </c:pt>
                <c:pt idx="63">
                  <c:v>-16913.417161825528</c:v>
                </c:pt>
                <c:pt idx="64">
                  <c:v>-15000.000000000095</c:v>
                </c:pt>
                <c:pt idx="65">
                  <c:v>-13086.582838174643</c:v>
                </c:pt>
                <c:pt idx="66">
                  <c:v>-11464.466094067338</c:v>
                </c:pt>
                <c:pt idx="67">
                  <c:v>-10380.60233744361</c:v>
                </c:pt>
                <c:pt idx="68">
                  <c:v>-10000</c:v>
                </c:pt>
                <c:pt idx="69">
                  <c:v>-10380.602337443517</c:v>
                </c:pt>
                <c:pt idx="70">
                  <c:v>-11464.466094067167</c:v>
                </c:pt>
                <c:pt idx="71">
                  <c:v>-13086.582838174421</c:v>
                </c:pt>
                <c:pt idx="72">
                  <c:v>-14999.999999999853</c:v>
                </c:pt>
                <c:pt idx="73">
                  <c:v>-16913.417161825306</c:v>
                </c:pt>
                <c:pt idx="74">
                  <c:v>-18535.533905932622</c:v>
                </c:pt>
                <c:pt idx="75">
                  <c:v>-19619.39766255637</c:v>
                </c:pt>
                <c:pt idx="76">
                  <c:v>-20000</c:v>
                </c:pt>
                <c:pt idx="77">
                  <c:v>-19619.397662556505</c:v>
                </c:pt>
                <c:pt idx="78">
                  <c:v>-18535.533905932869</c:v>
                </c:pt>
                <c:pt idx="79">
                  <c:v>-16913.41716182563</c:v>
                </c:pt>
                <c:pt idx="80">
                  <c:v>-15000.000000000202</c:v>
                </c:pt>
                <c:pt idx="81">
                  <c:v>-13086.582838174743</c:v>
                </c:pt>
                <c:pt idx="82">
                  <c:v>-11464.466094067402</c:v>
                </c:pt>
                <c:pt idx="83">
                  <c:v>-10380.602337443645</c:v>
                </c:pt>
                <c:pt idx="84">
                  <c:v>-10000</c:v>
                </c:pt>
                <c:pt idx="85">
                  <c:v>-10380.602337443483</c:v>
                </c:pt>
                <c:pt idx="86">
                  <c:v>-11464.466094067104</c:v>
                </c:pt>
                <c:pt idx="87">
                  <c:v>-13086.582838174338</c:v>
                </c:pt>
                <c:pt idx="88">
                  <c:v>-14999.999999999762</c:v>
                </c:pt>
                <c:pt idx="89">
                  <c:v>-16913.417161825222</c:v>
                </c:pt>
                <c:pt idx="90">
                  <c:v>-18535.53390593256</c:v>
                </c:pt>
                <c:pt idx="91">
                  <c:v>-19619.397662556334</c:v>
                </c:pt>
                <c:pt idx="92">
                  <c:v>-20000</c:v>
                </c:pt>
                <c:pt idx="93">
                  <c:v>-19619.397662556537</c:v>
                </c:pt>
                <c:pt idx="94">
                  <c:v>-18535.533905932934</c:v>
                </c:pt>
                <c:pt idx="95">
                  <c:v>-16913.417161825713</c:v>
                </c:pt>
                <c:pt idx="96">
                  <c:v>-15000.000000000291</c:v>
                </c:pt>
                <c:pt idx="97">
                  <c:v>-13086.582838174827</c:v>
                </c:pt>
                <c:pt idx="98">
                  <c:v>-11464.466094067478</c:v>
                </c:pt>
                <c:pt idx="99">
                  <c:v>-10380.602337443685</c:v>
                </c:pt>
                <c:pt idx="100">
                  <c:v>-10000</c:v>
                </c:pt>
                <c:pt idx="101">
                  <c:v>-10380.602337443441</c:v>
                </c:pt>
                <c:pt idx="102">
                  <c:v>-11464.466094067027</c:v>
                </c:pt>
                <c:pt idx="103">
                  <c:v>-13086.582838174238</c:v>
                </c:pt>
                <c:pt idx="104">
                  <c:v>-14999.999999999654</c:v>
                </c:pt>
                <c:pt idx="105">
                  <c:v>-16913.417161825124</c:v>
                </c:pt>
                <c:pt idx="106">
                  <c:v>-18535.533905932483</c:v>
                </c:pt>
                <c:pt idx="107">
                  <c:v>-19619.397662556294</c:v>
                </c:pt>
                <c:pt idx="108">
                  <c:v>-20000</c:v>
                </c:pt>
                <c:pt idx="109">
                  <c:v>-19619.397662556577</c:v>
                </c:pt>
                <c:pt idx="110">
                  <c:v>-18535.533905933011</c:v>
                </c:pt>
                <c:pt idx="111">
                  <c:v>-16913.417161825811</c:v>
                </c:pt>
                <c:pt idx="112">
                  <c:v>-15000.000000000009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EC9-412D-941E-04448833F7A2}"/>
            </c:ext>
          </c:extLst>
        </c:ser>
        <c:ser>
          <c:idx val="5"/>
          <c:order val="5"/>
          <c:tx>
            <c:v>Corps 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chemin'!$AQ$10:$AQ$122</c:f>
              <c:numCache>
                <c:formatCode>General</c:formatCode>
                <c:ptCount val="113"/>
                <c:pt idx="0">
                  <c:v>-16500</c:v>
                </c:pt>
                <c:pt idx="1">
                  <c:v>-16766.421636210496</c:v>
                </c:pt>
                <c:pt idx="2">
                  <c:v>-17525.126265847084</c:v>
                </c:pt>
                <c:pt idx="3">
                  <c:v>-18660.607986722185</c:v>
                </c:pt>
                <c:pt idx="4">
                  <c:v>-20000</c:v>
                </c:pt>
                <c:pt idx="5">
                  <c:v>-21339.392013277815</c:v>
                </c:pt>
                <c:pt idx="6">
                  <c:v>-22474.873734152916</c:v>
                </c:pt>
                <c:pt idx="7">
                  <c:v>-23233.578363789504</c:v>
                </c:pt>
                <c:pt idx="8">
                  <c:v>-23500</c:v>
                </c:pt>
                <c:pt idx="9">
                  <c:v>-23233.578363789504</c:v>
                </c:pt>
                <c:pt idx="10">
                  <c:v>-22474.873734152916</c:v>
                </c:pt>
                <c:pt idx="11">
                  <c:v>-21339.392013277815</c:v>
                </c:pt>
                <c:pt idx="12">
                  <c:v>-20000</c:v>
                </c:pt>
                <c:pt idx="13">
                  <c:v>-18660.607986722185</c:v>
                </c:pt>
                <c:pt idx="14">
                  <c:v>-17525.126265847081</c:v>
                </c:pt>
                <c:pt idx="15">
                  <c:v>-16766.421636210496</c:v>
                </c:pt>
                <c:pt idx="16">
                  <c:v>-16500</c:v>
                </c:pt>
                <c:pt idx="17">
                  <c:v>-16766.4216362105</c:v>
                </c:pt>
                <c:pt idx="18">
                  <c:v>-17525.126265847088</c:v>
                </c:pt>
                <c:pt idx="19">
                  <c:v>-18660.607986722196</c:v>
                </c:pt>
                <c:pt idx="20">
                  <c:v>-20000.000000000011</c:v>
                </c:pt>
                <c:pt idx="21">
                  <c:v>-21339.392013277826</c:v>
                </c:pt>
                <c:pt idx="22">
                  <c:v>-22474.873734152927</c:v>
                </c:pt>
                <c:pt idx="23">
                  <c:v>-23233.578363789511</c:v>
                </c:pt>
                <c:pt idx="24">
                  <c:v>-23500</c:v>
                </c:pt>
                <c:pt idx="25">
                  <c:v>-23233.578363789497</c:v>
                </c:pt>
                <c:pt idx="26">
                  <c:v>-22474.873734152901</c:v>
                </c:pt>
                <c:pt idx="27">
                  <c:v>-21339.392013277793</c:v>
                </c:pt>
                <c:pt idx="28">
                  <c:v>-19999.999999999978</c:v>
                </c:pt>
                <c:pt idx="29">
                  <c:v>-18660.607986722163</c:v>
                </c:pt>
                <c:pt idx="30">
                  <c:v>-17525.126265847066</c:v>
                </c:pt>
                <c:pt idx="31">
                  <c:v>-16766.421636210485</c:v>
                </c:pt>
                <c:pt idx="32">
                  <c:v>-16500</c:v>
                </c:pt>
                <c:pt idx="33">
                  <c:v>-16766.421636210507</c:v>
                </c:pt>
                <c:pt idx="34">
                  <c:v>-17525.126265847106</c:v>
                </c:pt>
                <c:pt idx="35">
                  <c:v>-18660.607986722218</c:v>
                </c:pt>
                <c:pt idx="36">
                  <c:v>-20000.000000000036</c:v>
                </c:pt>
                <c:pt idx="37">
                  <c:v>-21339.392013277848</c:v>
                </c:pt>
                <c:pt idx="38">
                  <c:v>-22474.873734152941</c:v>
                </c:pt>
                <c:pt idx="39">
                  <c:v>-23233.578363789518</c:v>
                </c:pt>
                <c:pt idx="40">
                  <c:v>-23500</c:v>
                </c:pt>
                <c:pt idx="41">
                  <c:v>-23233.578363789486</c:v>
                </c:pt>
                <c:pt idx="42">
                  <c:v>-22474.87373415289</c:v>
                </c:pt>
                <c:pt idx="43">
                  <c:v>-21339.392013277782</c:v>
                </c:pt>
                <c:pt idx="44">
                  <c:v>-19999.999999999971</c:v>
                </c:pt>
                <c:pt idx="45">
                  <c:v>-18660.607986722163</c:v>
                </c:pt>
                <c:pt idx="46">
                  <c:v>-17525.12626584707</c:v>
                </c:pt>
                <c:pt idx="47">
                  <c:v>-16766.421636210493</c:v>
                </c:pt>
                <c:pt idx="48">
                  <c:v>-16500</c:v>
                </c:pt>
                <c:pt idx="49">
                  <c:v>-16766.4216362105</c:v>
                </c:pt>
                <c:pt idx="50">
                  <c:v>-17525.126265847084</c:v>
                </c:pt>
                <c:pt idx="51">
                  <c:v>-18660.607986722182</c:v>
                </c:pt>
                <c:pt idx="52">
                  <c:v>-19999.999999999993</c:v>
                </c:pt>
                <c:pt idx="53">
                  <c:v>-21339.3920132778</c:v>
                </c:pt>
                <c:pt idx="54">
                  <c:v>-22474.873734152905</c:v>
                </c:pt>
                <c:pt idx="55">
                  <c:v>-23233.578363789493</c:v>
                </c:pt>
                <c:pt idx="56">
                  <c:v>-23500</c:v>
                </c:pt>
                <c:pt idx="57">
                  <c:v>-23233.578363789515</c:v>
                </c:pt>
                <c:pt idx="58">
                  <c:v>-22474.873734152941</c:v>
                </c:pt>
                <c:pt idx="59">
                  <c:v>-21339.392013277851</c:v>
                </c:pt>
                <c:pt idx="60">
                  <c:v>-20000.000000000047</c:v>
                </c:pt>
                <c:pt idx="61">
                  <c:v>-18660.607986722232</c:v>
                </c:pt>
                <c:pt idx="62">
                  <c:v>-17525.126265847124</c:v>
                </c:pt>
                <c:pt idx="63">
                  <c:v>-16766.421636210522</c:v>
                </c:pt>
                <c:pt idx="64">
                  <c:v>-16500</c:v>
                </c:pt>
                <c:pt idx="65">
                  <c:v>-16766.421636210471</c:v>
                </c:pt>
                <c:pt idx="66">
                  <c:v>-17525.12626584703</c:v>
                </c:pt>
                <c:pt idx="67">
                  <c:v>-18660.607986722112</c:v>
                </c:pt>
                <c:pt idx="68">
                  <c:v>-19999.999999999916</c:v>
                </c:pt>
                <c:pt idx="69">
                  <c:v>-21339.392013277731</c:v>
                </c:pt>
                <c:pt idx="70">
                  <c:v>-22474.87373415285</c:v>
                </c:pt>
                <c:pt idx="71">
                  <c:v>-23233.578363789467</c:v>
                </c:pt>
                <c:pt idx="72">
                  <c:v>-23500</c:v>
                </c:pt>
                <c:pt idx="73">
                  <c:v>-23233.578363789544</c:v>
                </c:pt>
                <c:pt idx="74">
                  <c:v>-22474.873734152996</c:v>
                </c:pt>
                <c:pt idx="75">
                  <c:v>-21339.392013277924</c:v>
                </c:pt>
                <c:pt idx="76">
                  <c:v>-20000.000000000124</c:v>
                </c:pt>
                <c:pt idx="77">
                  <c:v>-18660.607986722302</c:v>
                </c:pt>
                <c:pt idx="78">
                  <c:v>-17525.126265847175</c:v>
                </c:pt>
                <c:pt idx="79">
                  <c:v>-16766.421636210547</c:v>
                </c:pt>
                <c:pt idx="80">
                  <c:v>-16500</c:v>
                </c:pt>
                <c:pt idx="81">
                  <c:v>-16766.421636210442</c:v>
                </c:pt>
                <c:pt idx="82">
                  <c:v>-17525.126265846986</c:v>
                </c:pt>
                <c:pt idx="83">
                  <c:v>-18660.607986722054</c:v>
                </c:pt>
                <c:pt idx="84">
                  <c:v>-19999.999999999851</c:v>
                </c:pt>
                <c:pt idx="85">
                  <c:v>-21339.392013277673</c:v>
                </c:pt>
                <c:pt idx="86">
                  <c:v>-22474.873734152807</c:v>
                </c:pt>
                <c:pt idx="87">
                  <c:v>-23233.578363789442</c:v>
                </c:pt>
                <c:pt idx="88">
                  <c:v>-23500</c:v>
                </c:pt>
                <c:pt idx="89">
                  <c:v>-23233.578363789569</c:v>
                </c:pt>
                <c:pt idx="90">
                  <c:v>-22474.87373415304</c:v>
                </c:pt>
                <c:pt idx="91">
                  <c:v>-21339.392013277982</c:v>
                </c:pt>
                <c:pt idx="92">
                  <c:v>-20000.000000000186</c:v>
                </c:pt>
                <c:pt idx="93">
                  <c:v>-18660.60798672236</c:v>
                </c:pt>
                <c:pt idx="94">
                  <c:v>-17525.126265847222</c:v>
                </c:pt>
                <c:pt idx="95">
                  <c:v>-16766.421636210573</c:v>
                </c:pt>
                <c:pt idx="96">
                  <c:v>-16500</c:v>
                </c:pt>
                <c:pt idx="97">
                  <c:v>-16766.421636210416</c:v>
                </c:pt>
                <c:pt idx="98">
                  <c:v>-17525.126265846931</c:v>
                </c:pt>
                <c:pt idx="99">
                  <c:v>-18660.607986721985</c:v>
                </c:pt>
                <c:pt idx="100">
                  <c:v>-19999.999999999778</c:v>
                </c:pt>
                <c:pt idx="101">
                  <c:v>-21339.392013277604</c:v>
                </c:pt>
                <c:pt idx="102">
                  <c:v>-22474.873734152752</c:v>
                </c:pt>
                <c:pt idx="103">
                  <c:v>-23233.578363789413</c:v>
                </c:pt>
                <c:pt idx="104">
                  <c:v>-23500</c:v>
                </c:pt>
                <c:pt idx="105">
                  <c:v>-23233.578363789598</c:v>
                </c:pt>
                <c:pt idx="106">
                  <c:v>-22474.873734153094</c:v>
                </c:pt>
                <c:pt idx="107">
                  <c:v>-21339.392013278051</c:v>
                </c:pt>
                <c:pt idx="108">
                  <c:v>-20000.000000000262</c:v>
                </c:pt>
                <c:pt idx="109">
                  <c:v>-18660.607986722433</c:v>
                </c:pt>
                <c:pt idx="110">
                  <c:v>-17525.126265847273</c:v>
                </c:pt>
                <c:pt idx="111">
                  <c:v>-16766.421636210602</c:v>
                </c:pt>
                <c:pt idx="112">
                  <c:v>-16500</c:v>
                </c:pt>
              </c:numCache>
            </c:numRef>
          </c:xVal>
          <c:yVal>
            <c:numRef>
              <c:f>'Conditions initiales + chemin'!$AR$10:$AR$122</c:f>
              <c:numCache>
                <c:formatCode>General</c:formatCode>
                <c:ptCount val="113"/>
                <c:pt idx="0">
                  <c:v>10000</c:v>
                </c:pt>
                <c:pt idx="1">
                  <c:v>11339.392013277815</c:v>
                </c:pt>
                <c:pt idx="2">
                  <c:v>12474.873734152916</c:v>
                </c:pt>
                <c:pt idx="3">
                  <c:v>13233.578363789504</c:v>
                </c:pt>
                <c:pt idx="4">
                  <c:v>13500</c:v>
                </c:pt>
                <c:pt idx="5">
                  <c:v>13233.578363789504</c:v>
                </c:pt>
                <c:pt idx="6">
                  <c:v>12474.873734152916</c:v>
                </c:pt>
                <c:pt idx="7">
                  <c:v>11339.392013277815</c:v>
                </c:pt>
                <c:pt idx="8">
                  <c:v>10000</c:v>
                </c:pt>
                <c:pt idx="9">
                  <c:v>8660.6079867221852</c:v>
                </c:pt>
                <c:pt idx="10">
                  <c:v>7525.1262658470841</c:v>
                </c:pt>
                <c:pt idx="11">
                  <c:v>6766.4216362104971</c:v>
                </c:pt>
                <c:pt idx="12">
                  <c:v>6500</c:v>
                </c:pt>
                <c:pt idx="13">
                  <c:v>6766.4216362104962</c:v>
                </c:pt>
                <c:pt idx="14">
                  <c:v>7525.126265847086</c:v>
                </c:pt>
                <c:pt idx="15">
                  <c:v>8660.6079867221888</c:v>
                </c:pt>
                <c:pt idx="16">
                  <c:v>10000.000000000005</c:v>
                </c:pt>
                <c:pt idx="17">
                  <c:v>11339.39201327782</c:v>
                </c:pt>
                <c:pt idx="18">
                  <c:v>12474.873734152923</c:v>
                </c:pt>
                <c:pt idx="19">
                  <c:v>13233.578363789507</c:v>
                </c:pt>
                <c:pt idx="20">
                  <c:v>13500</c:v>
                </c:pt>
                <c:pt idx="21">
                  <c:v>13233.578363789498</c:v>
                </c:pt>
                <c:pt idx="22">
                  <c:v>12474.873734152905</c:v>
                </c:pt>
                <c:pt idx="23">
                  <c:v>11339.3920132778</c:v>
                </c:pt>
                <c:pt idx="24">
                  <c:v>9999.9999999999818</c:v>
                </c:pt>
                <c:pt idx="25">
                  <c:v>8660.6079867221688</c:v>
                </c:pt>
                <c:pt idx="26">
                  <c:v>7525.1262658470696</c:v>
                </c:pt>
                <c:pt idx="27">
                  <c:v>6766.421636210488</c:v>
                </c:pt>
                <c:pt idx="28">
                  <c:v>6500</c:v>
                </c:pt>
                <c:pt idx="29">
                  <c:v>6766.4216362105053</c:v>
                </c:pt>
                <c:pt idx="30">
                  <c:v>7525.1262658471023</c:v>
                </c:pt>
                <c:pt idx="31">
                  <c:v>8660.6079867222106</c:v>
                </c:pt>
                <c:pt idx="32">
                  <c:v>10000.000000000029</c:v>
                </c:pt>
                <c:pt idx="33">
                  <c:v>11339.392013277842</c:v>
                </c:pt>
                <c:pt idx="34">
                  <c:v>12474.87373415294</c:v>
                </c:pt>
                <c:pt idx="35">
                  <c:v>13233.578363789517</c:v>
                </c:pt>
                <c:pt idx="36">
                  <c:v>13500</c:v>
                </c:pt>
                <c:pt idx="37">
                  <c:v>13233.578363789489</c:v>
                </c:pt>
                <c:pt idx="38">
                  <c:v>12474.87373415289</c:v>
                </c:pt>
                <c:pt idx="39">
                  <c:v>11339.392013277777</c:v>
                </c:pt>
                <c:pt idx="40">
                  <c:v>9999.9999999999582</c:v>
                </c:pt>
                <c:pt idx="41">
                  <c:v>8660.6079867221451</c:v>
                </c:pt>
                <c:pt idx="42">
                  <c:v>7525.1262658470569</c:v>
                </c:pt>
                <c:pt idx="43">
                  <c:v>6766.4216362104835</c:v>
                </c:pt>
                <c:pt idx="44">
                  <c:v>6500</c:v>
                </c:pt>
                <c:pt idx="45">
                  <c:v>6766.4216362105053</c:v>
                </c:pt>
                <c:pt idx="46">
                  <c:v>7525.1262658470969</c:v>
                </c:pt>
                <c:pt idx="47">
                  <c:v>8660.6079867221997</c:v>
                </c:pt>
                <c:pt idx="48">
                  <c:v>10000.000000000009</c:v>
                </c:pt>
                <c:pt idx="49">
                  <c:v>11339.392013277818</c:v>
                </c:pt>
                <c:pt idx="50">
                  <c:v>12474.873734152916</c:v>
                </c:pt>
                <c:pt idx="51">
                  <c:v>13233.578363789502</c:v>
                </c:pt>
                <c:pt idx="52">
                  <c:v>13500</c:v>
                </c:pt>
                <c:pt idx="53">
                  <c:v>13233.578363789509</c:v>
                </c:pt>
                <c:pt idx="54">
                  <c:v>12474.87373415293</c:v>
                </c:pt>
                <c:pt idx="55">
                  <c:v>11339.392013277835</c:v>
                </c:pt>
                <c:pt idx="56">
                  <c:v>10000.000000000027</c:v>
                </c:pt>
                <c:pt idx="57">
                  <c:v>8660.6079867222161</c:v>
                </c:pt>
                <c:pt idx="58">
                  <c:v>7525.1262658471096</c:v>
                </c:pt>
                <c:pt idx="59">
                  <c:v>6766.4216362105126</c:v>
                </c:pt>
                <c:pt idx="60">
                  <c:v>6500</c:v>
                </c:pt>
                <c:pt idx="61">
                  <c:v>6766.4216362104762</c:v>
                </c:pt>
                <c:pt idx="62">
                  <c:v>7525.1262658470441</c:v>
                </c:pt>
                <c:pt idx="63">
                  <c:v>8660.6079867221306</c:v>
                </c:pt>
                <c:pt idx="64">
                  <c:v>9999.9999999999345</c:v>
                </c:pt>
                <c:pt idx="65">
                  <c:v>11339.392013277749</c:v>
                </c:pt>
                <c:pt idx="66">
                  <c:v>12474.873734152863</c:v>
                </c:pt>
                <c:pt idx="67">
                  <c:v>13233.578363789473</c:v>
                </c:pt>
                <c:pt idx="68">
                  <c:v>13500</c:v>
                </c:pt>
                <c:pt idx="69">
                  <c:v>13233.578363789538</c:v>
                </c:pt>
                <c:pt idx="70">
                  <c:v>12474.873734152983</c:v>
                </c:pt>
                <c:pt idx="71">
                  <c:v>11339.392013277906</c:v>
                </c:pt>
                <c:pt idx="72">
                  <c:v>10000.000000000104</c:v>
                </c:pt>
                <c:pt idx="73">
                  <c:v>8660.6079867222852</c:v>
                </c:pt>
                <c:pt idx="74">
                  <c:v>7525.1262658471642</c:v>
                </c:pt>
                <c:pt idx="75">
                  <c:v>6766.4216362105417</c:v>
                </c:pt>
                <c:pt idx="76">
                  <c:v>6500</c:v>
                </c:pt>
                <c:pt idx="77">
                  <c:v>6766.421636210448</c:v>
                </c:pt>
                <c:pt idx="78">
                  <c:v>7525.1262658469905</c:v>
                </c:pt>
                <c:pt idx="79">
                  <c:v>8660.6079867220596</c:v>
                </c:pt>
                <c:pt idx="80">
                  <c:v>9999.9999999998581</c:v>
                </c:pt>
                <c:pt idx="81">
                  <c:v>11339.39201327768</c:v>
                </c:pt>
                <c:pt idx="82">
                  <c:v>12474.873734152818</c:v>
                </c:pt>
                <c:pt idx="83">
                  <c:v>13233.578363789449</c:v>
                </c:pt>
                <c:pt idx="84">
                  <c:v>13500</c:v>
                </c:pt>
                <c:pt idx="85">
                  <c:v>13233.578363789562</c:v>
                </c:pt>
                <c:pt idx="86">
                  <c:v>12474.873734153027</c:v>
                </c:pt>
                <c:pt idx="87">
                  <c:v>11339.392013277964</c:v>
                </c:pt>
                <c:pt idx="88">
                  <c:v>10000.000000000166</c:v>
                </c:pt>
                <c:pt idx="89">
                  <c:v>8660.6079867223434</c:v>
                </c:pt>
                <c:pt idx="90">
                  <c:v>7525.1262658472078</c:v>
                </c:pt>
                <c:pt idx="91">
                  <c:v>6766.4216362105653</c:v>
                </c:pt>
                <c:pt idx="92">
                  <c:v>6500</c:v>
                </c:pt>
                <c:pt idx="93">
                  <c:v>6766.4216362104235</c:v>
                </c:pt>
                <c:pt idx="94">
                  <c:v>7525.1262658469459</c:v>
                </c:pt>
                <c:pt idx="95">
                  <c:v>8660.6079867220014</c:v>
                </c:pt>
                <c:pt idx="96">
                  <c:v>9999.9999999997963</c:v>
                </c:pt>
                <c:pt idx="97">
                  <c:v>11339.392013277622</c:v>
                </c:pt>
                <c:pt idx="98">
                  <c:v>12474.873734152765</c:v>
                </c:pt>
                <c:pt idx="99">
                  <c:v>13233.57836378942</c:v>
                </c:pt>
                <c:pt idx="100">
                  <c:v>13500</c:v>
                </c:pt>
                <c:pt idx="101">
                  <c:v>13233.578363789591</c:v>
                </c:pt>
                <c:pt idx="102">
                  <c:v>12474.87373415308</c:v>
                </c:pt>
                <c:pt idx="103">
                  <c:v>11339.392013278033</c:v>
                </c:pt>
                <c:pt idx="104">
                  <c:v>10000.000000000242</c:v>
                </c:pt>
                <c:pt idx="105">
                  <c:v>8660.6079867224144</c:v>
                </c:pt>
                <c:pt idx="106">
                  <c:v>7525.1262658472615</c:v>
                </c:pt>
                <c:pt idx="107">
                  <c:v>6766.4216362105944</c:v>
                </c:pt>
                <c:pt idx="108">
                  <c:v>6500</c:v>
                </c:pt>
                <c:pt idx="109">
                  <c:v>6766.4216362103944</c:v>
                </c:pt>
                <c:pt idx="110">
                  <c:v>7525.1262658468931</c:v>
                </c:pt>
                <c:pt idx="111">
                  <c:v>8660.6079867219323</c:v>
                </c:pt>
                <c:pt idx="112">
                  <c:v>9999.9999999999945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EC9-412D-941E-04448833F7A2}"/>
            </c:ext>
          </c:extLst>
        </c:ser>
        <c:ser>
          <c:idx val="6"/>
          <c:order val="6"/>
          <c:tx>
            <c:v>Position Vaisseau</c:v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64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AEE5-4D23-A2C1-FCA19EF93C8E}"/>
              </c:ext>
            </c:extLst>
          </c:dPt>
          <c:xVal>
            <c:numRef>
              <c:f>'Conditions initiales + chemin'!$AZ$10:$AZ$1010</c:f>
              <c:numCache>
                <c:formatCode>General</c:formatCode>
                <c:ptCount val="1001"/>
                <c:pt idx="0">
                  <c:v>0</c:v>
                </c:pt>
                <c:pt idx="1">
                  <c:v>14.896066662928284</c:v>
                </c:pt>
                <c:pt idx="2">
                  <c:v>58.763346006098608</c:v>
                </c:pt>
                <c:pt idx="3">
                  <c:v>128.2240586578348</c:v>
                </c:pt>
                <c:pt idx="4">
                  <c:v>216.13974170265206</c:v>
                </c:pt>
                <c:pt idx="5">
                  <c:v>310.82750076894791</c:v>
                </c:pt>
                <c:pt idx="6">
                  <c:v>394.85512702817806</c:v>
                </c:pt>
                <c:pt idx="7">
                  <c:v>443.40662540911143</c:v>
                </c:pt>
                <c:pt idx="8">
                  <c:v>422.2580799762992</c:v>
                </c:pt>
                <c:pt idx="9">
                  <c:v>285.58924200038052</c:v>
                </c:pt>
                <c:pt idx="10">
                  <c:v>-25.477447829588542</c:v>
                </c:pt>
                <c:pt idx="11">
                  <c:v>-580.59478059598393</c:v>
                </c:pt>
                <c:pt idx="12">
                  <c:v>-1446.1464434888014</c:v>
                </c:pt>
                <c:pt idx="13">
                  <c:v>-2648.2099956923234</c:v>
                </c:pt>
                <c:pt idx="14">
                  <c:v>-4125.8644659824431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-10941.137467635344</c:v>
                </c:pt>
                <c:pt idx="20">
                  <c:v>-11593.405098906624</c:v>
                </c:pt>
                <c:pt idx="21">
                  <c:v>-11896.399138700093</c:v>
                </c:pt>
                <c:pt idx="22">
                  <c:v>-11800.869060891881</c:v>
                </c:pt>
                <c:pt idx="23">
                  <c:v>-11250.644764132247</c:v>
                </c:pt>
                <c:pt idx="24">
                  <c:v>-10192.927132982944</c:v>
                </c:pt>
                <c:pt idx="25">
                  <c:v>-8610.6561923647569</c:v>
                </c:pt>
                <c:pt idx="26">
                  <c:v>-6573.0130698725106</c:v>
                </c:pt>
                <c:pt idx="27">
                  <c:v>-4245.5807942716738</c:v>
                </c:pt>
                <c:pt idx="28">
                  <c:v>-1814.6060313898649</c:v>
                </c:pt>
                <c:pt idx="29">
                  <c:v>597.78138509711937</c:v>
                </c:pt>
                <c:pt idx="30">
                  <c:v>2948.2328775483902</c:v>
                </c:pt>
                <c:pt idx="31">
                  <c:v>5245.4913349528479</c:v>
                </c:pt>
                <c:pt idx="32">
                  <c:v>7525.9718963109817</c:v>
                </c:pt>
                <c:pt idx="33">
                  <c:v>9840.1718597083327</c:v>
                </c:pt>
                <c:pt idx="34">
                  <c:v>12244.943311125386</c:v>
                </c:pt>
                <c:pt idx="35">
                  <c:v>14794.875574956401</c:v>
                </c:pt>
                <c:pt idx="36">
                  <c:v>17522.598329195564</c:v>
                </c:pt>
                <c:pt idx="37">
                  <c:v>20391.642185488956</c:v>
                </c:pt>
                <c:pt idx="38">
                  <c:v>23230.194083354585</c:v>
                </c:pt>
                <c:pt idx="39">
                  <c:v>25761.36134486708</c:v>
                </c:pt>
                <c:pt idx="40">
                  <c:v>27780.405187877077</c:v>
                </c:pt>
                <c:pt idx="41">
                  <c:v>29248.402756937106</c:v>
                </c:pt>
                <c:pt idx="42">
                  <c:v>30215.81270433875</c:v>
                </c:pt>
                <c:pt idx="43">
                  <c:v>30745.101259605617</c:v>
                </c:pt>
                <c:pt idx="44">
                  <c:v>30886.790392534094</c:v>
                </c:pt>
                <c:pt idx="45">
                  <c:v>30677.461320887389</c:v>
                </c:pt>
                <c:pt idx="46">
                  <c:v>30142.303506834975</c:v>
                </c:pt>
                <c:pt idx="47">
                  <c:v>29297.777533785298</c:v>
                </c:pt>
                <c:pt idx="48">
                  <c:v>28153.785104550865</c:v>
                </c:pt>
                <c:pt idx="49">
                  <c:v>26715.716663000017</c:v>
                </c:pt>
                <c:pt idx="50">
                  <c:v>24987.318013590739</c:v>
                </c:pt>
                <c:pt idx="51">
                  <c:v>22976.472539850369</c:v>
                </c:pt>
                <c:pt idx="52">
                  <c:v>20708.650299308556</c:v>
                </c:pt>
                <c:pt idx="53">
                  <c:v>18256.048790721747</c:v>
                </c:pt>
                <c:pt idx="54">
                  <c:v>15777.152184099688</c:v>
                </c:pt>
                <c:pt idx="55">
                  <c:v>13493.520434419981</c:v>
                </c:pt>
                <c:pt idx="56">
                  <c:v>11547.047691312633</c:v>
                </c:pt>
                <c:pt idx="57">
                  <c:v>9910.9609676595592</c:v>
                </c:pt>
                <c:pt idx="58">
                  <c:v>8462.8099801477911</c:v>
                </c:pt>
                <c:pt idx="59">
                  <c:v>7068.3084532837529</c:v>
                </c:pt>
                <c:pt idx="60">
                  <c:v>5601.6989169080825</c:v>
                </c:pt>
                <c:pt idx="61">
                  <c:v>3940.3522252461503</c:v>
                </c:pt>
                <c:pt idx="62">
                  <c:v>1962.7825789155049</c:v>
                </c:pt>
                <c:pt idx="63">
                  <c:v>-425.67914039397073</c:v>
                </c:pt>
                <c:pt idx="64">
                  <c:v>-3217.9260129039176</c:v>
                </c:pt>
                <c:pt idx="65">
                  <c:v>-6247.2286321005122</c:v>
                </c:pt>
                <c:pt idx="66">
                  <c:v>-9274.1001941297163</c:v>
                </c:pt>
                <c:pt idx="67">
                  <c:v>-12128.453483572199</c:v>
                </c:pt>
                <c:pt idx="68">
                  <c:v>-14737.842895389453</c:v>
                </c:pt>
                <c:pt idx="69">
                  <c:v>-17083.8301350978</c:v>
                </c:pt>
                <c:pt idx="70">
                  <c:v>-19168.468262468439</c:v>
                </c:pt>
                <c:pt idx="71">
                  <c:v>-20999.620327114204</c:v>
                </c:pt>
                <c:pt idx="72">
                  <c:v>-22585.524596539028</c:v>
                </c:pt>
                <c:pt idx="73">
                  <c:v>-23932.944997394818</c:v>
                </c:pt>
                <c:pt idx="74">
                  <c:v>-25046.625394282768</c:v>
                </c:pt>
                <c:pt idx="75">
                  <c:v>-25929.19509765644</c:v>
                </c:pt>
                <c:pt idx="76">
                  <c:v>-26581.209700666644</c:v>
                </c:pt>
                <c:pt idx="77">
                  <c:v>-27001.212118284413</c:v>
                </c:pt>
                <c:pt idx="78">
                  <c:v>-27185.77685578552</c:v>
                </c:pt>
                <c:pt idx="79">
                  <c:v>-27129.535015349193</c:v>
                </c:pt>
                <c:pt idx="80">
                  <c:v>-26825.199751947639</c:v>
                </c:pt>
                <c:pt idx="81">
                  <c:v>-26263.637906131622</c:v>
                </c:pt>
                <c:pt idx="82">
                  <c:v>-25434.077422908209</c:v>
                </c:pt>
                <c:pt idx="83">
                  <c:v>-24324.621588823975</c:v>
                </c:pt>
                <c:pt idx="84">
                  <c:v>-22923.391257416231</c:v>
                </c:pt>
                <c:pt idx="85">
                  <c:v>-21220.874935733467</c:v>
                </c:pt>
                <c:pt idx="86">
                  <c:v>-19214.425290645442</c:v>
                </c:pt>
                <c:pt idx="87">
                  <c:v>-16915.943114739261</c:v>
                </c:pt>
                <c:pt idx="88">
                  <c:v>-14361.983954495359</c:v>
                </c:pt>
                <c:pt idx="89">
                  <c:v>-11618.596008085142</c:v>
                </c:pt>
                <c:pt idx="90">
                  <c:v>-8766.2728338619654</c:v>
                </c:pt>
                <c:pt idx="91">
                  <c:v>-5866.9099992255115</c:v>
                </c:pt>
                <c:pt idx="92">
                  <c:v>-2942.0499743314431</c:v>
                </c:pt>
                <c:pt idx="93">
                  <c:v>23.217842275216505</c:v>
                </c:pt>
                <c:pt idx="94">
                  <c:v>3067.3982624692644</c:v>
                </c:pt>
                <c:pt idx="95">
                  <c:v>6244.5152794712922</c:v>
                </c:pt>
                <c:pt idx="96">
                  <c:v>9619.9472014950497</c:v>
                </c:pt>
                <c:pt idx="97">
                  <c:v>13261.688861180904</c:v>
                </c:pt>
                <c:pt idx="98">
                  <c:v>17207.795860301412</c:v>
                </c:pt>
                <c:pt idx="99">
                  <c:v>21382.897160049939</c:v>
                </c:pt>
                <c:pt idx="100">
                  <c:v>25527.780776295236</c:v>
                </c:pt>
                <c:pt idx="101">
                  <c:v>29332.539046253863</c:v>
                </c:pt>
                <c:pt idx="102">
                  <c:v>32647.263301223611</c:v>
                </c:pt>
                <c:pt idx="103">
                  <c:v>35481.327162436552</c:v>
                </c:pt>
                <c:pt idx="104">
                  <c:v>37895.804187629277</c:v>
                </c:pt>
                <c:pt idx="105">
                  <c:v>39951.16129128763</c:v>
                </c:pt>
                <c:pt idx="106">
                  <c:v>41696.165858058484</c:v>
                </c:pt>
                <c:pt idx="107">
                  <c:v>43168.476126795089</c:v>
                </c:pt>
                <c:pt idx="108">
                  <c:v>44397.134301028476</c:v>
                </c:pt>
                <c:pt idx="109">
                  <c:v>45404.779111356998</c:v>
                </c:pt>
                <c:pt idx="110">
                  <c:v>46209.290956353638</c:v>
                </c:pt>
                <c:pt idx="111">
                  <c:v>46824.965117994805</c:v>
                </c:pt>
                <c:pt idx="112">
                  <c:v>47263.34521703756</c:v>
                </c:pt>
                <c:pt idx="113">
                  <c:v>47533.82069221235</c:v>
                </c:pt>
                <c:pt idx="114">
                  <c:v>47644.060809450049</c:v>
                </c:pt>
                <c:pt idx="115">
                  <c:v>47600.334290622995</c:v>
                </c:pt>
                <c:pt idx="116">
                  <c:v>47407.747696505285</c:v>
                </c:pt>
                <c:pt idx="117">
                  <c:v>47070.425113676894</c:v>
                </c:pt>
                <c:pt idx="118">
                  <c:v>46591.644691714835</c:v>
                </c:pt>
                <c:pt idx="119">
                  <c:v>45973.942911833874</c:v>
                </c:pt>
                <c:pt idx="120">
                  <c:v>45219.194329256672</c:v>
                </c:pt>
                <c:pt idx="121">
                  <c:v>44328.67239900594</c:v>
                </c:pt>
                <c:pt idx="122">
                  <c:v>43303.095535655433</c:v>
                </c:pt>
                <c:pt idx="123">
                  <c:v>42142.661555692532</c:v>
                </c:pt>
                <c:pt idx="124">
                  <c:v>40847.072959610443</c:v>
                </c:pt>
                <c:pt idx="125">
                  <c:v>39415.555016027334</c:v>
                </c:pt>
                <c:pt idx="126">
                  <c:v>37846.868195776638</c:v>
                </c:pt>
                <c:pt idx="127">
                  <c:v>36139.316000435167</c:v>
                </c:pt>
                <c:pt idx="128">
                  <c:v>34290.748323710919</c:v>
                </c:pt>
                <c:pt idx="129">
                  <c:v>32298.558541161769</c:v>
                </c:pt>
                <c:pt idx="130">
                  <c:v>30159.668235805028</c:v>
                </c:pt>
                <c:pt idx="131">
                  <c:v>27870.484161496799</c:v>
                </c:pt>
                <c:pt idx="132">
                  <c:v>25426.792396761459</c:v>
                </c:pt>
                <c:pt idx="133">
                  <c:v>22823.51451860696</c:v>
                </c:pt>
                <c:pt idx="134">
                  <c:v>20054.172441460516</c:v>
                </c:pt>
                <c:pt idx="135">
                  <c:v>17109.76790552364</c:v>
                </c:pt>
                <c:pt idx="136">
                  <c:v>13976.569983367724</c:v>
                </c:pt>
                <c:pt idx="137">
                  <c:v>10632.139535994247</c:v>
                </c:pt>
                <c:pt idx="138">
                  <c:v>7039.5393114410945</c:v>
                </c:pt>
                <c:pt idx="139">
                  <c:v>3144.2746556408611</c:v>
                </c:pt>
                <c:pt idx="140">
                  <c:v>-1103.2054927395388</c:v>
                </c:pt>
                <c:pt idx="141">
                  <c:v>-5651.6796163023773</c:v>
                </c:pt>
                <c:pt idx="142">
                  <c:v>-10261.000359270049</c:v>
                </c:pt>
                <c:pt idx="143">
                  <c:v>-14656.030853968152</c:v>
                </c:pt>
                <c:pt idx="144">
                  <c:v>-18722.60105691737</c:v>
                </c:pt>
                <c:pt idx="145">
                  <c:v>-22464.523100088049</c:v>
                </c:pt>
                <c:pt idx="146">
                  <c:v>-25906.865482920122</c:v>
                </c:pt>
                <c:pt idx="147">
                  <c:v>-29069.387473119885</c:v>
                </c:pt>
                <c:pt idx="148">
                  <c:v>-31969.25997903218</c:v>
                </c:pt>
                <c:pt idx="149">
                  <c:v>-34624.614037956148</c:v>
                </c:pt>
                <c:pt idx="150">
                  <c:v>-37054.470478275362</c:v>
                </c:pt>
                <c:pt idx="151">
                  <c:v>-39277.398102827909</c:v>
                </c:pt>
                <c:pt idx="152">
                  <c:v>-41310.485900573884</c:v>
                </c:pt>
                <c:pt idx="153">
                  <c:v>-43168.898096941615</c:v>
                </c:pt>
                <c:pt idx="154">
                  <c:v>-44865.826030512697</c:v>
                </c:pt>
                <c:pt idx="155">
                  <c:v>-46412.6348977159</c:v>
                </c:pt>
                <c:pt idx="156">
                  <c:v>-47819.08025896937</c:v>
                </c:pt>
                <c:pt idx="157">
                  <c:v>-49093.53171171336</c:v>
                </c:pt>
                <c:pt idx="158">
                  <c:v>-50243.177200357313</c:v>
                </c:pt>
                <c:pt idx="159">
                  <c:v>-51274.199432570014</c:v>
                </c:pt>
                <c:pt idx="160">
                  <c:v>-52191.923969737007</c:v>
                </c:pt>
                <c:pt idx="161">
                  <c:v>-53000.941746303091</c:v>
                </c:pt>
                <c:pt idx="162">
                  <c:v>-53705.209683984292</c:v>
                </c:pt>
                <c:pt idx="163">
                  <c:v>-54308.133001649447</c:v>
                </c:pt>
                <c:pt idx="164">
                  <c:v>-54812.632391269792</c:v>
                </c:pt>
                <c:pt idx="165">
                  <c:v>-55221.198708541393</c:v>
                </c:pt>
                <c:pt idx="166">
                  <c:v>-55535.937327036467</c:v>
                </c:pt>
                <c:pt idx="167">
                  <c:v>-55758.603866520338</c:v>
                </c:pt>
                <c:pt idx="168">
                  <c:v>-55890.632636228082</c:v>
                </c:pt>
                <c:pt idx="169">
                  <c:v>-55933.158825954757</c:v>
                </c:pt>
                <c:pt idx="170">
                  <c:v>-55887.035220722144</c:v>
                </c:pt>
                <c:pt idx="171">
                  <c:v>-55752.843996612719</c:v>
                </c:pt>
                <c:pt idx="172">
                  <c:v>-55530.903964618752</c:v>
                </c:pt>
                <c:pt idx="173">
                  <c:v>-55221.273455187584</c:v>
                </c:pt>
                <c:pt idx="174">
                  <c:v>-54823.748867978022</c:v>
                </c:pt>
                <c:pt idx="175">
                  <c:v>-54337.858738188224</c:v>
                </c:pt>
                <c:pt idx="176">
                  <c:v>-53762.852980298012</c:v>
                </c:pt>
                <c:pt idx="177">
                  <c:v>-53097.686747076958</c:v>
                </c:pt>
                <c:pt idx="178">
                  <c:v>-52340.998066484615</c:v>
                </c:pt>
                <c:pt idx="179">
                  <c:v>-51491.078064389621</c:v>
                </c:pt>
                <c:pt idx="180">
                  <c:v>-50545.832107815899</c:v>
                </c:pt>
                <c:pt idx="181">
                  <c:v>-49502.729554077683</c:v>
                </c:pt>
                <c:pt idx="182">
                  <c:v>-48358.738878744174</c:v>
                </c:pt>
                <c:pt idx="183">
                  <c:v>-47110.2436462685</c:v>
                </c:pt>
                <c:pt idx="184">
                  <c:v>-45752.932873101679</c:v>
                </c:pt>
                <c:pt idx="185">
                  <c:v>-44281.656486954911</c:v>
                </c:pt>
                <c:pt idx="186">
                  <c:v>-42690.232294232679</c:v>
                </c:pt>
                <c:pt idx="187">
                  <c:v>-40971.184344465219</c:v>
                </c:pt>
                <c:pt idx="188">
                  <c:v>-39115.38271754689</c:v>
                </c:pt>
                <c:pt idx="189">
                  <c:v>-37111.540408016917</c:v>
                </c:pt>
                <c:pt idx="190">
                  <c:v>-34945.504856972206</c:v>
                </c:pt>
                <c:pt idx="191">
                  <c:v>-32599.271441608129</c:v>
                </c:pt>
                <c:pt idx="192">
                  <c:v>-30049.707072004221</c:v>
                </c:pt>
                <c:pt idx="193">
                  <c:v>-27267.401590486494</c:v>
                </c:pt>
                <c:pt idx="194">
                  <c:v>-24218.212106046034</c:v>
                </c:pt>
                <c:pt idx="195">
                  <c:v>-20879.229067169224</c:v>
                </c:pt>
                <c:pt idx="196">
                  <c:v>-17302.009455564716</c:v>
                </c:pt>
                <c:pt idx="197">
                  <c:v>-13680.662973438371</c:v>
                </c:pt>
                <c:pt idx="198">
                  <c:v>-10198.136658306055</c:v>
                </c:pt>
                <c:pt idx="199">
                  <c:v>-6853.480021462693</c:v>
                </c:pt>
                <c:pt idx="200">
                  <c:v>-3554.319591125633</c:v>
                </c:pt>
                <c:pt idx="201">
                  <c:v>-230.11510165922746</c:v>
                </c:pt>
                <c:pt idx="202">
                  <c:v>3144.6834798928371</c:v>
                </c:pt>
                <c:pt idx="203">
                  <c:v>6547.3655718135542</c:v>
                </c:pt>
                <c:pt idx="204">
                  <c:v>9914.6877992740538</c:v>
                </c:pt>
                <c:pt idx="205">
                  <c:v>13170.42955534188</c:v>
                </c:pt>
                <c:pt idx="206">
                  <c:v>16258.192591732774</c:v>
                </c:pt>
                <c:pt idx="207">
                  <c:v>19154.204773715814</c:v>
                </c:pt>
                <c:pt idx="208">
                  <c:v>21859.322395550887</c:v>
                </c:pt>
                <c:pt idx="209">
                  <c:v>24386.329671334919</c:v>
                </c:pt>
                <c:pt idx="210">
                  <c:v>26751.573464906625</c:v>
                </c:pt>
                <c:pt idx="211">
                  <c:v>28971.09909463043</c:v>
                </c:pt>
                <c:pt idx="212">
                  <c:v>31059.281313900821</c:v>
                </c:pt>
                <c:pt idx="213">
                  <c:v>33028.544222235047</c:v>
                </c:pt>
                <c:pt idx="214">
                  <c:v>34889.487105349632</c:v>
                </c:pt>
                <c:pt idx="215">
                  <c:v>36651.129040375432</c:v>
                </c:pt>
                <c:pt idx="216">
                  <c:v>38321.162308771141</c:v>
                </c:pt>
                <c:pt idx="217">
                  <c:v>39906.177760244245</c:v>
                </c:pt>
                <c:pt idx="218">
                  <c:v>41411.853820698088</c:v>
                </c:pt>
                <c:pt idx="219">
                  <c:v>42843.111138430897</c:v>
                </c:pt>
                <c:pt idx="220">
                  <c:v>44204.237916508173</c:v>
                </c:pt>
                <c:pt idx="221">
                  <c:v>45498.991290987404</c:v>
                </c:pt>
                <c:pt idx="222">
                  <c:v>46730.679500694911</c:v>
                </c:pt>
                <c:pt idx="223">
                  <c:v>47902.228765194748</c:v>
                </c:pt>
                <c:pt idx="224">
                  <c:v>49016.238002478291</c:v>
                </c:pt>
                <c:pt idx="225">
                  <c:v>50075.023854487139</c:v>
                </c:pt>
                <c:pt idx="226">
                  <c:v>51080.657955094044</c:v>
                </c:pt>
                <c:pt idx="227">
                  <c:v>52034.997956108971</c:v>
                </c:pt>
                <c:pt idx="228">
                  <c:v>52939.713501219449</c:v>
                </c:pt>
                <c:pt idx="229">
                  <c:v>53796.308085671357</c:v>
                </c:pt>
                <c:pt idx="230">
                  <c:v>54606.137544310033</c:v>
                </c:pt>
                <c:pt idx="231">
                  <c:v>55370.425759105441</c:v>
                </c:pt>
                <c:pt idx="232">
                  <c:v>56090.278059235185</c:v>
                </c:pt>
                <c:pt idx="233">
                  <c:v>56766.692694366604</c:v>
                </c:pt>
                <c:pt idx="234">
                  <c:v>57400.570689014836</c:v>
                </c:pt>
                <c:pt idx="235">
                  <c:v>57992.724328245058</c:v>
                </c:pt>
                <c:pt idx="236">
                  <c:v>58543.884479105953</c:v>
                </c:pt>
                <c:pt idx="237">
                  <c:v>59054.706915418123</c:v>
                </c:pt>
                <c:pt idx="238">
                  <c:v>59525.777783898942</c:v>
                </c:pt>
                <c:pt idx="239">
                  <c:v>59957.618325551746</c:v>
                </c:pt>
                <c:pt idx="240">
                  <c:v>60350.688946597664</c:v>
                </c:pt>
                <c:pt idx="241">
                  <c:v>60705.392717063747</c:v>
                </c:pt>
                <c:pt idx="242">
                  <c:v>61022.078361742191</c:v>
                </c:pt>
                <c:pt idx="243">
                  <c:v>61301.042797037284</c:v>
                </c:pt>
                <c:pt idx="244">
                  <c:v>61542.533257770374</c:v>
                </c:pt>
                <c:pt idx="245">
                  <c:v>61746.749049961065</c:v>
                </c:pt>
                <c:pt idx="246">
                  <c:v>61913.84295865435</c:v>
                </c:pt>
                <c:pt idx="247">
                  <c:v>62043.922333782655</c:v>
                </c:pt>
                <c:pt idx="248">
                  <c:v>62137.049871642019</c:v>
                </c:pt>
                <c:pt idx="249">
                  <c:v>62193.244104656573</c:v>
                </c:pt>
                <c:pt idx="250">
                  <c:v>62212.479607562171</c:v>
                </c:pt>
                <c:pt idx="251">
                  <c:v>62194.686923829606</c:v>
                </c:pt>
                <c:pt idx="252">
                  <c:v>62139.752211953848</c:v>
                </c:pt>
                <c:pt idx="253">
                  <c:v>62047.516607044607</c:v>
                </c:pt>
                <c:pt idx="254">
                  <c:v>61917.775288854507</c:v>
                </c:pt>
                <c:pt idx="255">
                  <c:v>61750.276242857763</c:v>
                </c:pt>
                <c:pt idx="256">
                  <c:v>61544.71869612005</c:v>
                </c:pt>
                <c:pt idx="257">
                  <c:v>61300.75120434066</c:v>
                </c:pt>
                <c:pt idx="258">
                  <c:v>61017.96936044193</c:v>
                </c:pt>
                <c:pt idx="259">
                  <c:v>60695.91308824224</c:v>
                </c:pt>
                <c:pt idx="260">
                  <c:v>60334.06347685455</c:v>
                </c:pt>
                <c:pt idx="261">
                  <c:v>59931.839102232865</c:v>
                </c:pt>
                <c:pt idx="262">
                  <c:v>59488.591771412488</c:v>
                </c:pt>
                <c:pt idx="263">
                  <c:v>59003.601612045757</c:v>
                </c:pt>
                <c:pt idx="264">
                  <c:v>58476.071414309641</c:v>
                </c:pt>
                <c:pt idx="265">
                  <c:v>57905.120113509671</c:v>
                </c:pt>
                <c:pt idx="266">
                  <c:v>57289.77527890831</c:v>
                </c:pt>
                <c:pt idx="267">
                  <c:v>56628.964446425671</c:v>
                </c:pt>
                <c:pt idx="268">
                  <c:v>55921.505098566486</c:v>
                </c:pt>
                <c:pt idx="269">
                  <c:v>55166.093052514763</c:v>
                </c:pt>
                <c:pt idx="270">
                  <c:v>54361.288964611587</c:v>
                </c:pt>
                <c:pt idx="271">
                  <c:v>53505.502593564357</c:v>
                </c:pt>
                <c:pt idx="272">
                  <c:v>52596.974382082546</c:v>
                </c:pt>
                <c:pt idx="273">
                  <c:v>51633.753812512565</c:v>
                </c:pt>
                <c:pt idx="274">
                  <c:v>50613.673860476752</c:v>
                </c:pt>
                <c:pt idx="275">
                  <c:v>49534.320703990932</c:v>
                </c:pt>
                <c:pt idx="276">
                  <c:v>48392.997634832427</c:v>
                </c:pt>
                <c:pt idx="277">
                  <c:v>47186.681853340197</c:v>
                </c:pt>
                <c:pt idx="278">
                  <c:v>45911.972496187955</c:v>
                </c:pt>
                <c:pt idx="279">
                  <c:v>44565.027840505543</c:v>
                </c:pt>
                <c:pt idx="280">
                  <c:v>43141.489149162611</c:v>
                </c:pt>
                <c:pt idx="281">
                  <c:v>41636.388102520061</c:v>
                </c:pt>
                <c:pt idx="282">
                  <c:v>40044.034305439542</c:v>
                </c:pt>
                <c:pt idx="283">
                  <c:v>38357.879240238704</c:v>
                </c:pt>
                <c:pt idx="284">
                  <c:v>36570.353931708632</c:v>
                </c:pt>
                <c:pt idx="285">
                  <c:v>34672.68110693559</c:v>
                </c:pt>
                <c:pt idx="286">
                  <c:v>32654.672574934692</c:v>
                </c:pt>
                <c:pt idx="287">
                  <c:v>30504.547966305006</c:v>
                </c:pt>
                <c:pt idx="288">
                  <c:v>28208.873543972295</c:v>
                </c:pt>
                <c:pt idx="289">
                  <c:v>25752.871464089563</c:v>
                </c:pt>
                <c:pt idx="290">
                  <c:v>23121.711123848985</c:v>
                </c:pt>
                <c:pt idx="291">
                  <c:v>20304.209142964199</c:v>
                </c:pt>
                <c:pt idx="292">
                  <c:v>17301.882039118427</c:v>
                </c:pt>
                <c:pt idx="293">
                  <c:v>14147.232834402927</c:v>
                </c:pt>
                <c:pt idx="294">
                  <c:v>10926.641999821983</c:v>
                </c:pt>
                <c:pt idx="295">
                  <c:v>7773.0570673342718</c:v>
                </c:pt>
                <c:pt idx="296">
                  <c:v>4797.8578715012018</c:v>
                </c:pt>
                <c:pt idx="297">
                  <c:v>2029.4191830678121</c:v>
                </c:pt>
                <c:pt idx="298">
                  <c:v>-570.29991048901525</c:v>
                </c:pt>
                <c:pt idx="299">
                  <c:v>-3057.185484231542</c:v>
                </c:pt>
                <c:pt idx="300">
                  <c:v>-5477.2334645733899</c:v>
                </c:pt>
                <c:pt idx="301">
                  <c:v>-7857.9912098113919</c:v>
                </c:pt>
                <c:pt idx="302">
                  <c:v>-10209.456845338374</c:v>
                </c:pt>
                <c:pt idx="303">
                  <c:v>-12529.849266530127</c:v>
                </c:pt>
                <c:pt idx="304">
                  <c:v>-14812.31949818855</c:v>
                </c:pt>
                <c:pt idx="305">
                  <c:v>-17049.650880601039</c:v>
                </c:pt>
                <c:pt idx="306">
                  <c:v>-19236.356860319593</c:v>
                </c:pt>
                <c:pt idx="307">
                  <c:v>-21369.06640733319</c:v>
                </c:pt>
                <c:pt idx="308">
                  <c:v>-23446.182401839265</c:v>
                </c:pt>
                <c:pt idx="309">
                  <c:v>-25467.380314076156</c:v>
                </c:pt>
                <c:pt idx="310">
                  <c:v>-27433.169758361746</c:v>
                </c:pt>
                <c:pt idx="311">
                  <c:v>-29344.569860488326</c:v>
                </c:pt>
                <c:pt idx="312">
                  <c:v>-31202.886975430851</c:v>
                </c:pt>
                <c:pt idx="313">
                  <c:v>-33009.56900625753</c:v>
                </c:pt>
                <c:pt idx="314">
                  <c:v>-34766.11272953132</c:v>
                </c:pt>
                <c:pt idx="315">
                  <c:v>-36474.006402609062</c:v>
                </c:pt>
                <c:pt idx="316">
                  <c:v>-38134.695366687592</c:v>
                </c:pt>
                <c:pt idx="317">
                  <c:v>-39749.562445127507</c:v>
                </c:pt>
                <c:pt idx="318">
                  <c:v>-41319.917763614576</c:v>
                </c:pt>
                <c:pt idx="319">
                  <c:v>-42846.994502258145</c:v>
                </c:pt>
                <c:pt idx="320">
                  <c:v>-44331.948322632627</c:v>
                </c:pt>
                <c:pt idx="321">
                  <c:v>-45775.859013743386</c:v>
                </c:pt>
                <c:pt idx="322">
                  <c:v>-47179.733420127151</c:v>
                </c:pt>
                <c:pt idx="323">
                  <c:v>-48544.509052045665</c:v>
                </c:pt>
                <c:pt idx="324">
                  <c:v>-49871.057996461124</c:v>
                </c:pt>
                <c:pt idx="325">
                  <c:v>-51160.190889758953</c:v>
                </c:pt>
                <c:pt idx="326">
                  <c:v>-52412.660805774671</c:v>
                </c:pt>
                <c:pt idx="327">
                  <c:v>-53629.166972861829</c:v>
                </c:pt>
                <c:pt idx="328">
                  <c:v>-54810.358272696649</c:v>
                </c:pt>
                <c:pt idx="329">
                  <c:v>-55956.836498536519</c:v>
                </c:pt>
                <c:pt idx="330">
                  <c:v>-57069.159366498607</c:v>
                </c:pt>
                <c:pt idx="331">
                  <c:v>-58147.843283233742</c:v>
                </c:pt>
                <c:pt idx="332">
                  <c:v>-59193.365879208366</c:v>
                </c:pt>
                <c:pt idx="333">
                  <c:v>-60206.168320044213</c:v>
                </c:pt>
                <c:pt idx="334">
                  <c:v>-61186.657409912754</c:v>
                </c:pt>
                <c:pt idx="335">
                  <c:v>-62135.20750144546</c:v>
                </c:pt>
                <c:pt idx="336">
                  <c:v>-63052.162226405257</c:v>
                </c:pt>
                <c:pt idx="337">
                  <c:v>-63937.836060736481</c:v>
                </c:pt>
                <c:pt idx="338">
                  <c:v>-64792.515736747388</c:v>
                </c:pt>
                <c:pt idx="339">
                  <c:v>-65616.461514195966</c:v>
                </c:pt>
                <c:pt idx="340">
                  <c:v>-66409.908321021416</c:v>
                </c:pt>
                <c:pt idx="341">
                  <c:v>-67173.066773436411</c:v>
                </c:pt>
                <c:pt idx="342">
                  <c:v>-67906.124084098134</c:v>
                </c:pt>
                <c:pt idx="343">
                  <c:v>-68609.244866123947</c:v>
                </c:pt>
                <c:pt idx="344">
                  <c:v>-69282.571839819022</c:v>
                </c:pt>
                <c:pt idx="345">
                  <c:v>-69926.226448139772</c:v>
                </c:pt>
                <c:pt idx="346">
                  <c:v>-70540.309386127614</c:v>
                </c:pt>
                <c:pt idx="347">
                  <c:v>-71124.90104880881</c:v>
                </c:pt>
                <c:pt idx="348">
                  <c:v>-71680.061901362715</c:v>
                </c:pt>
                <c:pt idx="349">
                  <c:v>-72205.832774707567</c:v>
                </c:pt>
                <c:pt idx="350">
                  <c:v>-72702.235089033318</c:v>
                </c:pt>
                <c:pt idx="351">
                  <c:v>-73169.271007218646</c:v>
                </c:pt>
                <c:pt idx="352">
                  <c:v>-73606.923519497359</c:v>
                </c:pt>
                <c:pt idx="353">
                  <c:v>-74015.156460181795</c:v>
                </c:pt>
                <c:pt idx="354">
                  <c:v>-74393.914456700091</c:v>
                </c:pt>
                <c:pt idx="355">
                  <c:v>-74743.122810652989</c:v>
                </c:pt>
                <c:pt idx="356">
                  <c:v>-75062.687310038498</c:v>
                </c:pt>
                <c:pt idx="357">
                  <c:v>-75352.493971218981</c:v>
                </c:pt>
                <c:pt idx="358">
                  <c:v>-75612.408708609611</c:v>
                </c:pt>
                <c:pt idx="359">
                  <c:v>-75842.27692943874</c:v>
                </c:pt>
                <c:pt idx="360">
                  <c:v>-76041.923050260855</c:v>
                </c:pt>
                <c:pt idx="361">
                  <c:v>-76211.149931180727</c:v>
                </c:pt>
                <c:pt idx="362">
                  <c:v>-76349.738222959975</c:v>
                </c:pt>
                <c:pt idx="363">
                  <c:v>-76457.445621312479</c:v>
                </c:pt>
                <c:pt idx="364">
                  <c:v>-76534.006021734953</c:v>
                </c:pt>
                <c:pt idx="365">
                  <c:v>-76579.128567147025</c:v>
                </c:pt>
                <c:pt idx="366">
                  <c:v>-76592.496579408631</c:v>
                </c:pt>
                <c:pt idx="367">
                  <c:v>-76573.766364416952</c:v>
                </c:pt>
                <c:pt idx="368">
                  <c:v>-76522.565878930312</c:v>
                </c:pt>
                <c:pt idx="369">
                  <c:v>-76438.493245487567</c:v>
                </c:pt>
                <c:pt idx="370">
                  <c:v>-76321.11509974541</c:v>
                </c:pt>
                <c:pt idx="371">
                  <c:v>-76169.96475219306</c:v>
                </c:pt>
                <c:pt idx="372">
                  <c:v>-75984.540143462262</c:v>
                </c:pt>
                <c:pt idx="373">
                  <c:v>-75764.301569256713</c:v>
                </c:pt>
                <c:pt idx="374">
                  <c:v>-75508.669147188819</c:v>
                </c:pt>
                <c:pt idx="375">
                  <c:v>-75217.019993424386</c:v>
                </c:pt>
                <c:pt idx="376">
                  <c:v>-74888.685071861735</c:v>
                </c:pt>
                <c:pt idx="377">
                  <c:v>-74522.945672446614</c:v>
                </c:pt>
                <c:pt idx="378">
                  <c:v>-74119.029467943517</c:v>
                </c:pt>
                <c:pt idx="379">
                  <c:v>-73676.106089793728</c:v>
                </c:pt>
                <c:pt idx="380">
                  <c:v>-73193.282153275242</c:v>
                </c:pt>
                <c:pt idx="381">
                  <c:v>-72669.59564964399</c:v>
                </c:pt>
                <c:pt idx="382">
                  <c:v>-72104.009607782602</c:v>
                </c:pt>
                <c:pt idx="383">
                  <c:v>-71495.404909485835</c:v>
                </c:pt>
                <c:pt idx="384">
                  <c:v>-70842.57212007638</c:v>
                </c:pt>
                <c:pt idx="385">
                  <c:v>-70144.202168561489</c:v>
                </c:pt>
                <c:pt idx="386">
                  <c:v>-69398.875677721822</c:v>
                </c:pt>
                <c:pt idx="387">
                  <c:v>-68605.050702721535</c:v>
                </c:pt>
                <c:pt idx="388">
                  <c:v>-67761.048584928998</c:v>
                </c:pt>
                <c:pt idx="389">
                  <c:v>-66865.037562931699</c:v>
                </c:pt>
                <c:pt idx="390">
                  <c:v>-65915.013701738164</c:v>
                </c:pt>
                <c:pt idx="391">
                  <c:v>-64908.778599443765</c:v>
                </c:pt>
                <c:pt idx="392">
                  <c:v>-63843.913202558411</c:v>
                </c:pt>
                <c:pt idx="393">
                  <c:v>-62717.746899703139</c:v>
                </c:pt>
                <c:pt idx="394">
                  <c:v>-61527.320859872416</c:v>
                </c:pt>
                <c:pt idx="395">
                  <c:v>-60269.344325901402</c:v>
                </c:pt>
                <c:pt idx="396">
                  <c:v>-58940.142255514249</c:v>
                </c:pt>
                <c:pt idx="397">
                  <c:v>-57535.592312385408</c:v>
                </c:pt>
                <c:pt idx="398">
                  <c:v>-56051.048746309694</c:v>
                </c:pt>
                <c:pt idx="399">
                  <c:v>-54481.250182854121</c:v>
                </c:pt>
                <c:pt idx="400">
                  <c:v>-52820.207833101071</c:v>
                </c:pt>
                <c:pt idx="401">
                  <c:v>-51061.070299259278</c:v>
                </c:pt>
                <c:pt idx="402">
                  <c:v>-49195.961371454454</c:v>
                </c:pt>
                <c:pt idx="403">
                  <c:v>-47215.788796323075</c:v>
                </c:pt>
                <c:pt idx="404">
                  <c:v>-45110.026594116956</c:v>
                </c:pt>
                <c:pt idx="405">
                  <c:v>-42866.484233267853</c:v>
                </c:pt>
                <c:pt idx="406">
                  <c:v>-40471.098139568901</c:v>
                </c:pt>
                <c:pt idx="407">
                  <c:v>-37907.821403363298</c:v>
                </c:pt>
                <c:pt idx="408">
                  <c:v>-35158.746670247594</c:v>
                </c:pt>
                <c:pt idx="409">
                  <c:v>-32204.638554770761</c:v>
                </c:pt>
                <c:pt idx="410">
                  <c:v>-29025.924301673844</c:v>
                </c:pt>
                <c:pt idx="411">
                  <c:v>-25603.551531509838</c:v>
                </c:pt>
                <c:pt idx="412">
                  <c:v>-21917.732294411591</c:v>
                </c:pt>
                <c:pt idx="413">
                  <c:v>-17941.579979329868</c:v>
                </c:pt>
                <c:pt idx="414">
                  <c:v>-13629.665781579599</c:v>
                </c:pt>
                <c:pt idx="415">
                  <c:v>-8915.9371343537805</c:v>
                </c:pt>
                <c:pt idx="416">
                  <c:v>-3787.6818650226719</c:v>
                </c:pt>
                <c:pt idx="417">
                  <c:v>1494.3199314254055</c:v>
                </c:pt>
                <c:pt idx="418">
                  <c:v>6517.3386449958189</c:v>
                </c:pt>
                <c:pt idx="419">
                  <c:v>11137.282827633835</c:v>
                </c:pt>
                <c:pt idx="420">
                  <c:v>15437.343842396458</c:v>
                </c:pt>
                <c:pt idx="421">
                  <c:v>19498.771696221396</c:v>
                </c:pt>
                <c:pt idx="422">
                  <c:v>23368.08985787155</c:v>
                </c:pt>
                <c:pt idx="423">
                  <c:v>27070.929473583899</c:v>
                </c:pt>
                <c:pt idx="424">
                  <c:v>30622.938837405065</c:v>
                </c:pt>
                <c:pt idx="425">
                  <c:v>34035.341562664617</c:v>
                </c:pt>
                <c:pt idx="426">
                  <c:v>37317.395086717319</c:v>
                </c:pt>
                <c:pt idx="427">
                  <c:v>40477.368539952447</c:v>
                </c:pt>
                <c:pt idx="428">
                  <c:v>43522.887570361621</c:v>
                </c:pt>
                <c:pt idx="429">
                  <c:v>46461.037663473166</c:v>
                </c:pt>
                <c:pt idx="430">
                  <c:v>49298.390514583669</c:v>
                </c:pt>
                <c:pt idx="431">
                  <c:v>52041.015515036415</c:v>
                </c:pt>
                <c:pt idx="432">
                  <c:v>54694.495761769176</c:v>
                </c:pt>
                <c:pt idx="433">
                  <c:v>57263.951897373772</c:v>
                </c:pt>
                <c:pt idx="434">
                  <c:v>59754.071967997632</c:v>
                </c:pt>
                <c:pt idx="435">
                  <c:v>62169.144537129192</c:v>
                </c:pt>
                <c:pt idx="436">
                  <c:v>64513.092707214848</c:v>
                </c:pt>
                <c:pt idx="437">
                  <c:v>66789.507403597614</c:v>
                </c:pt>
                <c:pt idx="438">
                  <c:v>69001.67890490088</c:v>
                </c:pt>
                <c:pt idx="439">
                  <c:v>71152.626074383836</c:v>
                </c:pt>
                <c:pt idx="440">
                  <c:v>73245.123066789354</c:v>
                </c:pt>
                <c:pt idx="441">
                  <c:v>75281.723488649353</c:v>
                </c:pt>
                <c:pt idx="442">
                  <c:v>77264.782110966946</c:v>
                </c:pt>
                <c:pt idx="443">
                  <c:v>79196.474298870206</c:v>
                </c:pt>
                <c:pt idx="444">
                  <c:v>81078.813352956859</c:v>
                </c:pt>
                <c:pt idx="445">
                  <c:v>82913.665965190608</c:v>
                </c:pt>
                <c:pt idx="446">
                  <c:v>84702.765987382241</c:v>
                </c:pt>
                <c:pt idx="447">
                  <c:v>86447.726698322294</c:v>
                </c:pt>
                <c:pt idx="448">
                  <c:v>88150.051740203809</c:v>
                </c:pt>
                <c:pt idx="449">
                  <c:v>89811.144878341001</c:v>
                </c:pt>
                <c:pt idx="450">
                  <c:v>91432.318721683783</c:v>
                </c:pt>
                <c:pt idx="451">
                  <c:v>93014.802525993247</c:v>
                </c:pt>
                <c:pt idx="452">
                  <c:v>94559.749187153415</c:v>
                </c:pt>
                <c:pt idx="453">
                  <c:v>96068.241519098287</c:v>
                </c:pt>
                <c:pt idx="454">
                  <c:v>97541.297899242549</c:v>
                </c:pt>
                <c:pt idx="455">
                  <c:v>98979.877354058845</c:v>
                </c:pt>
                <c:pt idx="456">
                  <c:v>100384.88414844016</c:v>
                </c:pt>
                <c:pt idx="457">
                  <c:v>101757.17193460633</c:v>
                </c:pt>
                <c:pt idx="458">
                  <c:v>103097.54750943556</c:v>
                </c:pt>
                <c:pt idx="459">
                  <c:v>104406.77422310803</c:v>
                </c:pt>
                <c:pt idx="460">
                  <c:v>105685.57507673001</c:v>
                </c:pt>
                <c:pt idx="461">
                  <c:v>106934.635542064</c:v>
                </c:pt>
                <c:pt idx="462">
                  <c:v>108154.60613253601</c:v>
                </c:pt>
                <c:pt idx="463">
                  <c:v>109346.10475124489</c:v>
                </c:pt>
                <c:pt idx="464">
                  <c:v>110509.71883869644</c:v>
                </c:pt>
                <c:pt idx="465">
                  <c:v>111646.00734036276</c:v>
                </c:pt>
                <c:pt idx="466">
                  <c:v>112755.50251187805</c:v>
                </c:pt>
                <c:pt idx="467">
                  <c:v>113838.71157767814</c:v>
                </c:pt>
                <c:pt idx="468">
                  <c:v>114896.11825713651</c:v>
                </c:pt>
                <c:pt idx="469">
                  <c:v>115928.18417070899</c:v>
                </c:pt>
                <c:pt idx="470">
                  <c:v>116935.35013724738</c:v>
                </c:pt>
                <c:pt idx="471">
                  <c:v>117918.03737245071</c:v>
                </c:pt>
                <c:pt idx="472">
                  <c:v>118876.64859737424</c:v>
                </c:pt>
                <c:pt idx="473">
                  <c:v>119811.5690649896</c:v>
                </c:pt>
                <c:pt idx="474">
                  <c:v>120723.16751197071</c:v>
                </c:pt>
                <c:pt idx="475">
                  <c:v>121611.79704215443</c:v>
                </c:pt>
                <c:pt idx="476">
                  <c:v>122477.79594748233</c:v>
                </c:pt>
                <c:pt idx="477">
                  <c:v>123321.48847165762</c:v>
                </c:pt>
                <c:pt idx="478">
                  <c:v>124143.18552124375</c:v>
                </c:pt>
                <c:pt idx="479">
                  <c:v>124943.18532847756</c:v>
                </c:pt>
                <c:pt idx="480">
                  <c:v>125721.77406966567</c:v>
                </c:pt>
                <c:pt idx="481">
                  <c:v>126479.2264426719</c:v>
                </c:pt>
                <c:pt idx="482">
                  <c:v>127215.80620667941</c:v>
                </c:pt>
                <c:pt idx="483">
                  <c:v>127931.76668712198</c:v>
                </c:pt>
                <c:pt idx="484">
                  <c:v>128627.35124841843</c:v>
                </c:pt>
                <c:pt idx="485">
                  <c:v>129302.79373690995</c:v>
                </c:pt>
                <c:pt idx="486">
                  <c:v>129958.31889619028</c:v>
                </c:pt>
                <c:pt idx="487">
                  <c:v>130594.14275682818</c:v>
                </c:pt>
                <c:pt idx="488">
                  <c:v>131210.47300231096</c:v>
                </c:pt>
                <c:pt idx="489">
                  <c:v>131807.50931288264</c:v>
                </c:pt>
                <c:pt idx="490">
                  <c:v>132385.44368881031</c:v>
                </c:pt>
                <c:pt idx="491">
                  <c:v>132944.46075448583</c:v>
                </c:pt>
                <c:pt idx="492">
                  <c:v>133484.73804465387</c:v>
                </c:pt>
                <c:pt idx="493">
                  <c:v>134006.44627395403</c:v>
                </c:pt>
                <c:pt idx="494">
                  <c:v>134509.74959086833</c:v>
                </c:pt>
                <c:pt idx="495">
                  <c:v>134994.80581707988</c:v>
                </c:pt>
                <c:pt idx="496">
                  <c:v>135461.76667316892</c:v>
                </c:pt>
                <c:pt idx="497">
                  <c:v>135910.77799150054</c:v>
                </c:pt>
                <c:pt idx="498">
                  <c:v>136341.9799170928</c:v>
                </c:pt>
                <c:pt idx="499">
                  <c:v>136755.50709719324</c:v>
                </c:pt>
                <c:pt idx="500">
                  <c:v>137151.48886023712</c:v>
                </c:pt>
                <c:pt idx="501">
                  <c:v>137530.0493848098</c:v>
                </c:pt>
                <c:pt idx="502">
                  <c:v>137891.3078591894</c:v>
                </c:pt>
                <c:pt idx="503">
                  <c:v>138235.37863200309</c:v>
                </c:pt>
                <c:pt idx="504">
                  <c:v>138562.37135449116</c:v>
                </c:pt>
                <c:pt idx="505">
                  <c:v>138872.39111483676</c:v>
                </c:pt>
                <c:pt idx="506">
                  <c:v>139165.53856498617</c:v>
                </c:pt>
                <c:pt idx="507">
                  <c:v>139441.91004035273</c:v>
                </c:pt>
                <c:pt idx="508">
                  <c:v>139701.59767277035</c:v>
                </c:pt>
                <c:pt idx="509">
                  <c:v>139944.68949703517</c:v>
                </c:pt>
                <c:pt idx="510">
                  <c:v>140171.2695513496</c:v>
                </c:pt>
                <c:pt idx="511">
                  <c:v>140381.41797196082</c:v>
                </c:pt>
                <c:pt idx="512">
                  <c:v>140575.21108226414</c:v>
                </c:pt>
                <c:pt idx="513">
                  <c:v>140752.72147662219</c:v>
                </c:pt>
                <c:pt idx="514">
                  <c:v>140914.01809913255</c:v>
                </c:pt>
                <c:pt idx="515">
                  <c:v>141059.16631755966</c:v>
                </c:pt>
                <c:pt idx="516">
                  <c:v>141188.22799263007</c:v>
                </c:pt>
                <c:pt idx="517">
                  <c:v>141301.26154287611</c:v>
                </c:pt>
                <c:pt idx="518">
                  <c:v>141398.32200519813</c:v>
                </c:pt>
                <c:pt idx="519">
                  <c:v>141479.46109130286</c:v>
                </c:pt>
                <c:pt idx="520">
                  <c:v>141544.72724016232</c:v>
                </c:pt>
                <c:pt idx="521">
                  <c:v>141594.16566662688</c:v>
                </c:pt>
                <c:pt idx="522">
                  <c:v>141627.81840631383</c:v>
                </c:pt>
                <c:pt idx="523">
                  <c:v>141645.72435688306</c:v>
                </c:pt>
                <c:pt idx="524">
                  <c:v>141647.919315801</c:v>
                </c:pt>
                <c:pt idx="525">
                  <c:v>141634.43601468467</c:v>
                </c:pt>
                <c:pt idx="526">
                  <c:v>141605.30415030778</c:v>
                </c:pt>
                <c:pt idx="527">
                  <c:v>141560.55041234306</c:v>
                </c:pt>
                <c:pt idx="528">
                  <c:v>141500.19850790562</c:v>
                </c:pt>
                <c:pt idx="529">
                  <c:v>141424.26918295433</c:v>
                </c:pt>
                <c:pt idx="530">
                  <c:v>141332.78024060011</c:v>
                </c:pt>
                <c:pt idx="531">
                  <c:v>141225.74655636225</c:v>
                </c:pt>
                <c:pt idx="532">
                  <c:v>141103.18009040647</c:v>
                </c:pt>
                <c:pt idx="533">
                  <c:v>140965.0898967906</c:v>
                </c:pt>
                <c:pt idx="534">
                  <c:v>140811.4821297368</c:v>
                </c:pt>
                <c:pt idx="535">
                  <c:v>140642.36004694187</c:v>
                </c:pt>
                <c:pt idx="536">
                  <c:v>140457.72400992954</c:v>
                </c:pt>
                <c:pt idx="537">
                  <c:v>140257.57148144225</c:v>
                </c:pt>
                <c:pt idx="538">
                  <c:v>140041.89701986164</c:v>
                </c:pt>
                <c:pt idx="539">
                  <c:v>139810.69227064072</c:v>
                </c:pt>
                <c:pt idx="540">
                  <c:v>139563.94595472238</c:v>
                </c:pt>
                <c:pt idx="541">
                  <c:v>139301.64385391204</c:v>
                </c:pt>
                <c:pt idx="542">
                  <c:v>139023.76879316391</c:v>
                </c:pt>
                <c:pt idx="543">
                  <c:v>138730.3006197334</c:v>
                </c:pt>
                <c:pt idx="544">
                  <c:v>138421.21617913916</c:v>
                </c:pt>
                <c:pt idx="545">
                  <c:v>138096.4892878703</c:v>
                </c:pt>
                <c:pt idx="546">
                  <c:v>137756.0907027658</c:v>
                </c:pt>
                <c:pt idx="547">
                  <c:v>137399.988086984</c:v>
                </c:pt>
                <c:pt idx="548">
                  <c:v>137028.14597247014</c:v>
                </c:pt>
                <c:pt idx="549">
                  <c:v>136640.52571882121</c:v>
                </c:pt>
                <c:pt idx="550">
                  <c:v>136237.08546843557</c:v>
                </c:pt>
                <c:pt idx="551">
                  <c:v>135817.78009782522</c:v>
                </c:pt>
                <c:pt idx="552">
                  <c:v>135382.56116495625</c:v>
                </c:pt>
                <c:pt idx="553">
                  <c:v>134931.37685247083</c:v>
                </c:pt>
                <c:pt idx="554">
                  <c:v>134464.17190663196</c:v>
                </c:pt>
                <c:pt idx="555">
                  <c:v>133980.88757181738</c:v>
                </c:pt>
                <c:pt idx="556">
                  <c:v>133481.46152037487</c:v>
                </c:pt>
                <c:pt idx="557">
                  <c:v>132965.82777763598</c:v>
                </c:pt>
                <c:pt idx="558">
                  <c:v>132433.91664186746</c:v>
                </c:pt>
                <c:pt idx="559">
                  <c:v>131885.6545989227</c:v>
                </c:pt>
                <c:pt idx="560">
                  <c:v>131320.96423133559</c:v>
                </c:pt>
                <c:pt idx="561">
                  <c:v>130739.76412157869</c:v>
                </c:pt>
                <c:pt idx="562">
                  <c:v>130141.96874918554</c:v>
                </c:pt>
                <c:pt idx="563">
                  <c:v>129527.48838141255</c:v>
                </c:pt>
                <c:pt idx="564">
                  <c:v>128896.22895709006</c:v>
                </c:pt>
                <c:pt idx="565">
                  <c:v>128248.09196328424</c:v>
                </c:pt>
                <c:pt idx="566">
                  <c:v>127582.97430436091</c:v>
                </c:pt>
                <c:pt idx="567">
                  <c:v>126900.76816300952</c:v>
                </c:pt>
                <c:pt idx="568">
                  <c:v>126201.36085274977</c:v>
                </c:pt>
                <c:pt idx="569">
                  <c:v>125484.63466140439</c:v>
                </c:pt>
                <c:pt idx="570">
                  <c:v>124750.46668497946</c:v>
                </c:pt>
                <c:pt idx="571">
                  <c:v>123998.7286513475</c:v>
                </c:pt>
                <c:pt idx="572">
                  <c:v>123229.28673307816</c:v>
                </c:pt>
                <c:pt idx="573">
                  <c:v>122442.00134870701</c:v>
                </c:pt>
                <c:pt idx="574">
                  <c:v>121636.72695167222</c:v>
                </c:pt>
                <c:pt idx="575">
                  <c:v>120813.31180608388</c:v>
                </c:pt>
                <c:pt idx="576">
                  <c:v>119971.59774841867</c:v>
                </c:pt>
                <c:pt idx="577">
                  <c:v>119111.41993415347</c:v>
                </c:pt>
                <c:pt idx="578">
                  <c:v>118232.60656826526</c:v>
                </c:pt>
                <c:pt idx="579">
                  <c:v>117334.97861842917</c:v>
                </c:pt>
                <c:pt idx="580">
                  <c:v>116418.34950964204</c:v>
                </c:pt>
                <c:pt idx="581">
                  <c:v>115482.52479888289</c:v>
                </c:pt>
                <c:pt idx="582">
                  <c:v>114527.30182829518</c:v>
                </c:pt>
                <c:pt idx="583">
                  <c:v>113552.46935523412</c:v>
                </c:pt>
                <c:pt idx="584">
                  <c:v>112557.80715736758</c:v>
                </c:pt>
                <c:pt idx="585">
                  <c:v>111543.08561084686</c:v>
                </c:pt>
                <c:pt idx="586">
                  <c:v>110508.06523937271</c:v>
                </c:pt>
                <c:pt idx="587">
                  <c:v>109452.49623177089</c:v>
                </c:pt>
                <c:pt idx="588">
                  <c:v>108376.11792545678</c:v>
                </c:pt>
                <c:pt idx="589">
                  <c:v>107278.65825290733</c:v>
                </c:pt>
                <c:pt idx="590">
                  <c:v>106159.83314796898</c:v>
                </c:pt>
                <c:pt idx="591">
                  <c:v>105019.34590850644</c:v>
                </c:pt>
                <c:pt idx="592">
                  <c:v>103856.88651153767</c:v>
                </c:pt>
                <c:pt idx="593">
                  <c:v>102672.13087659824</c:v>
                </c:pt>
                <c:pt idx="594">
                  <c:v>101464.74007263048</c:v>
                </c:pt>
                <c:pt idx="595">
                  <c:v>100234.35946319181</c:v>
                </c:pt>
                <c:pt idx="596">
                  <c:v>98980.617784218062</c:v>
                </c:pt>
                <c:pt idx="597">
                  <c:v>97703.126147952498</c:v>
                </c:pt>
                <c:pt idx="598">
                  <c:v>96401.476965953538</c:v>
                </c:pt>
                <c:pt idx="599">
                  <c:v>95075.242783314825</c:v>
                </c:pt>
                <c:pt idx="600">
                  <c:v>93723.975015361386</c:v>
                </c:pt>
                <c:pt idx="601">
                  <c:v>92347.20257711655</c:v>
                </c:pt>
                <c:pt idx="602">
                  <c:v>90944.430394756317</c:v>
                </c:pt>
                <c:pt idx="603">
                  <c:v>89515.137787071682</c:v>
                </c:pt>
                <c:pt idx="604">
                  <c:v>88058.776703639363</c:v>
                </c:pt>
                <c:pt idx="605">
                  <c:v>86574.769804949581</c:v>
                </c:pt>
                <c:pt idx="606">
                  <c:v>85062.508368158451</c:v>
                </c:pt>
                <c:pt idx="607">
                  <c:v>83521.350000426901</c:v>
                </c:pt>
                <c:pt idx="608">
                  <c:v>81950.616139997714</c:v>
                </c:pt>
                <c:pt idx="609">
                  <c:v>80349.589323284512</c:v>
                </c:pt>
                <c:pt idx="610">
                  <c:v>78717.510194366128</c:v>
                </c:pt>
                <c:pt idx="611">
                  <c:v>77053.57423150618</c:v>
                </c:pt>
                <c:pt idx="612">
                  <c:v>75356.928163824239</c:v>
                </c:pt>
                <c:pt idx="613">
                  <c:v>73626.666050303218</c:v>
                </c:pt>
                <c:pt idx="614">
                  <c:v>71861.824993347502</c:v>
                </c:pt>
                <c:pt idx="615">
                  <c:v>70061.380460751359</c:v>
                </c:pt>
                <c:pt idx="616">
                  <c:v>68224.241194176837</c:v>
                </c:pt>
                <c:pt idx="617">
                  <c:v>66349.243690569798</c:v>
                </c:pt>
                <c:pt idx="618">
                  <c:v>64435.146257637789</c:v>
                </c:pt>
                <c:pt idx="619">
                  <c:v>62480.622669053002</c:v>
                </c:pt>
                <c:pt idx="620">
                  <c:v>60484.255484763809</c:v>
                </c:pt>
                <c:pt idx="621">
                  <c:v>58444.529164923515</c:v>
                </c:pt>
                <c:pt idx="622">
                  <c:v>56359.823205231536</c:v>
                </c:pt>
                <c:pt idx="623">
                  <c:v>54228.405676845323</c:v>
                </c:pt>
                <c:pt idx="624">
                  <c:v>52048.427796783959</c:v>
                </c:pt>
                <c:pt idx="625">
                  <c:v>49817.920534542769</c:v>
                </c:pt>
                <c:pt idx="626">
                  <c:v>47534.794856718821</c:v>
                </c:pt>
                <c:pt idx="627">
                  <c:v>45196.848151188671</c:v>
                </c:pt>
                <c:pt idx="628">
                  <c:v>42801.780861602572</c:v>
                </c:pt>
                <c:pt idx="629">
                  <c:v>40347.229734998953</c:v>
                </c:pt>
                <c:pt idx="630">
                  <c:v>37830.827878411685</c:v>
                </c:pt>
                <c:pt idx="631">
                  <c:v>35250.307892373807</c:v>
                </c:pt>
                <c:pt idx="632">
                  <c:v>32603.674025078402</c:v>
                </c:pt>
                <c:pt idx="633">
                  <c:v>29889.484472969714</c:v>
                </c:pt>
                <c:pt idx="634">
                  <c:v>27107.307908023391</c:v>
                </c:pt>
                <c:pt idx="635">
                  <c:v>24258.45019004506</c:v>
                </c:pt>
                <c:pt idx="636">
                  <c:v>21347.082638314751</c:v>
                </c:pt>
                <c:pt idx="637">
                  <c:v>18381.914476731454</c:v>
                </c:pt>
                <c:pt idx="638">
                  <c:v>15378.452197181989</c:v>
                </c:pt>
                <c:pt idx="639">
                  <c:v>12361.47623328028</c:v>
                </c:pt>
                <c:pt idx="640">
                  <c:v>9366.3579971285544</c:v>
                </c:pt>
                <c:pt idx="641">
                  <c:v>6436.3789257426306</c:v>
                </c:pt>
                <c:pt idx="642">
                  <c:v>3613.0832049205628</c:v>
                </c:pt>
                <c:pt idx="643">
                  <c:v>921.01376709525596</c:v>
                </c:pt>
                <c:pt idx="644">
                  <c:v>-1644.3033883987757</c:v>
                </c:pt>
                <c:pt idx="645">
                  <c:v>-4113.9242888203007</c:v>
                </c:pt>
                <c:pt idx="646">
                  <c:v>-6523.5751044691697</c:v>
                </c:pt>
                <c:pt idx="647">
                  <c:v>-8876.6994237424242</c:v>
                </c:pt>
                <c:pt idx="648">
                  <c:v>-11104.739445447749</c:v>
                </c:pt>
                <c:pt idx="649">
                  <c:v>-13046.74102935128</c:v>
                </c:pt>
                <c:pt idx="650">
                  <c:v>-14524.941645850202</c:v>
                </c:pt>
                <c:pt idx="651">
                  <c:v>-15500.489633323341</c:v>
                </c:pt>
                <c:pt idx="652">
                  <c:v>-16080.667806319121</c:v>
                </c:pt>
                <c:pt idx="653">
                  <c:v>-16392.111709441502</c:v>
                </c:pt>
                <c:pt idx="654">
                  <c:v>-16522.871799258999</c:v>
                </c:pt>
                <c:pt idx="655">
                  <c:v>-16527.664660970877</c:v>
                </c:pt>
                <c:pt idx="656">
                  <c:v>-16440.834258197778</c:v>
                </c:pt>
                <c:pt idx="657">
                  <c:v>-16284.826073730022</c:v>
                </c:pt>
                <c:pt idx="658">
                  <c:v>-16074.960805531075</c:v>
                </c:pt>
                <c:pt idx="659">
                  <c:v>-15822.114208753561</c:v>
                </c:pt>
                <c:pt idx="660">
                  <c:v>-15534.270959061456</c:v>
                </c:pt>
                <c:pt idx="661">
                  <c:v>-15217.462499324422</c:v>
                </c:pt>
                <c:pt idx="662">
                  <c:v>-14876.355801542724</c:v>
                </c:pt>
                <c:pt idx="663">
                  <c:v>-14514.636547402284</c:v>
                </c:pt>
                <c:pt idx="664">
                  <c:v>-14135.266675071824</c:v>
                </c:pt>
                <c:pt idx="665">
                  <c:v>-13740.662493104042</c:v>
                </c:pt>
                <c:pt idx="666">
                  <c:v>-13332.82100569728</c:v>
                </c:pt>
                <c:pt idx="667">
                  <c:v>-12913.411529388235</c:v>
                </c:pt>
                <c:pt idx="668">
                  <c:v>-12483.843466803242</c:v>
                </c:pt>
                <c:pt idx="669">
                  <c:v>-12045.317334994781</c:v>
                </c:pt>
                <c:pt idx="670">
                  <c:v>-11598.86379683664</c:v>
                </c:pt>
                <c:pt idx="671">
                  <c:v>-11145.373941976299</c:v>
                </c:pt>
                <c:pt idx="672">
                  <c:v>-10685.623081041149</c:v>
                </c:pt>
                <c:pt idx="673">
                  <c:v>-10220.289660001685</c:v>
                </c:pt>
                <c:pt idx="674">
                  <c:v>-9749.9704541217707</c:v>
                </c:pt>
                <c:pt idx="675">
                  <c:v>-9275.1928906286175</c:v>
                </c:pt>
                <c:pt idx="676">
                  <c:v>-8796.4251305416892</c:v>
                </c:pt>
                <c:pt idx="677">
                  <c:v>-8314.0843836488657</c:v>
                </c:pt>
                <c:pt idx="678">
                  <c:v>-7828.5438171424785</c:v>
                </c:pt>
                <c:pt idx="679">
                  <c:v>-7340.1383350675069</c:v>
                </c:pt>
                <c:pt idx="680">
                  <c:v>-6849.169443770018</c:v>
                </c:pt>
                <c:pt idx="681">
                  <c:v>-6355.9093719663551</c:v>
                </c:pt>
                <c:pt idx="682">
                  <c:v>-5860.604578698164</c:v>
                </c:pt>
                <c:pt idx="683">
                  <c:v>-5363.4787553390397</c:v>
                </c:pt>
                <c:pt idx="684">
                  <c:v>-4864.7354068619507</c:v>
                </c:pt>
                <c:pt idx="685">
                  <c:v>-4364.5600812349567</c:v>
                </c:pt>
                <c:pt idx="686">
                  <c:v>-3863.1223029700045</c:v>
                </c:pt>
                <c:pt idx="687">
                  <c:v>-3360.5772566823948</c:v>
                </c:pt>
                <c:pt idx="688">
                  <c:v>-2857.0672584137965</c:v>
                </c:pt>
                <c:pt idx="689">
                  <c:v>-2352.7230459689663</c:v>
                </c:pt>
                <c:pt idx="690">
                  <c:v>-1847.664914266893</c:v>
                </c:pt>
                <c:pt idx="691">
                  <c:v>-1342.0037174447295</c:v>
                </c:pt>
                <c:pt idx="692">
                  <c:v>-835.84175597301657</c:v>
                </c:pt>
                <c:pt idx="693">
                  <c:v>-329.27356418484487</c:v>
                </c:pt>
                <c:pt idx="694">
                  <c:v>177.61338873369158</c:v>
                </c:pt>
                <c:pt idx="695">
                  <c:v>684.73807319601588</c:v>
                </c:pt>
                <c:pt idx="696">
                  <c:v>1192.0253396391497</c:v>
                </c:pt>
                <c:pt idx="697">
                  <c:v>1699.4054168056239</c:v>
                </c:pt>
                <c:pt idx="698">
                  <c:v>2206.813460908882</c:v>
                </c:pt>
                <c:pt idx="699">
                  <c:v>2714.1891496677536</c:v>
                </c:pt>
                <c:pt idx="700">
                  <c:v>3221.4763160072571</c:v>
                </c:pt>
                <c:pt idx="701">
                  <c:v>3728.6226169117667</c:v>
                </c:pt>
                <c:pt idx="702">
                  <c:v>4235.5792335030146</c:v>
                </c:pt>
                <c:pt idx="703">
                  <c:v>4742.3005989163485</c:v>
                </c:pt>
                <c:pt idx="704">
                  <c:v>5248.7441509778855</c:v>
                </c:pt>
                <c:pt idx="705">
                  <c:v>5754.8701070540801</c:v>
                </c:pt>
                <c:pt idx="706">
                  <c:v>6260.6412587631457</c:v>
                </c:pt>
                <c:pt idx="707">
                  <c:v>6766.0227845125246</c:v>
                </c:pt>
                <c:pt idx="708">
                  <c:v>7270.9820780646733</c:v>
                </c:pt>
                <c:pt idx="709">
                  <c:v>7775.4885915402665</c:v>
                </c:pt>
                <c:pt idx="710">
                  <c:v>8279.5136914480227</c:v>
                </c:pt>
                <c:pt idx="711">
                  <c:v>8783.0305264875733</c:v>
                </c:pt>
                <c:pt idx="712">
                  <c:v>9286.0139060093734</c:v>
                </c:pt>
                <c:pt idx="713">
                  <c:v>9788.4401881362337</c:v>
                </c:pt>
                <c:pt idx="714">
                  <c:v>10290.287176657041</c:v>
                </c:pt>
                <c:pt idx="715">
                  <c:v>10791.534025896557</c:v>
                </c:pt>
                <c:pt idx="716">
                  <c:v>11292.161152847511</c:v>
                </c:pt>
                <c:pt idx="717">
                  <c:v>11792.150155923939</c:v>
                </c:pt>
                <c:pt idx="718">
                  <c:v>12291.483739759216</c:v>
                </c:pt>
                <c:pt idx="719">
                  <c:v>12790.145645529377</c:v>
                </c:pt>
                <c:pt idx="720">
                  <c:v>13288.120586333096</c:v>
                </c:pt>
                <c:pt idx="721">
                  <c:v>13785.394187205022</c:v>
                </c:pt>
                <c:pt idx="722">
                  <c:v>14281.952929379393</c:v>
                </c:pt>
                <c:pt idx="723">
                  <c:v>14777.784098456956</c:v>
                </c:pt>
                <c:pt idx="724">
                  <c:v>15272.875736160404</c:v>
                </c:pt>
                <c:pt idx="725">
                  <c:v>15767.216595392409</c:v>
                </c:pt>
                <c:pt idx="726">
                  <c:v>16260.796098336255</c:v>
                </c:pt>
                <c:pt idx="727">
                  <c:v>16753.604297362297</c:v>
                </c:pt>
                <c:pt idx="728">
                  <c:v>17245.631838524438</c:v>
                </c:pt>
                <c:pt idx="729">
                  <c:v>17736.869927449658</c:v>
                </c:pt>
                <c:pt idx="730">
                  <c:v>18227.310297440672</c:v>
                </c:pt>
                <c:pt idx="731">
                  <c:v>18716.945179627055</c:v>
                </c:pt>
                <c:pt idx="732">
                  <c:v>19205.76727501423</c:v>
                </c:pt>
                <c:pt idx="733">
                  <c:v>19693.769728292118</c:v>
                </c:pt>
                <c:pt idx="734">
                  <c:v>20180.946103276794</c:v>
                </c:pt>
                <c:pt idx="735">
                  <c:v>20667.290359868741</c:v>
                </c:pt>
                <c:pt idx="736">
                  <c:v>21152.79683242074</c:v>
                </c:pt>
                <c:pt idx="737">
                  <c:v>21637.460209416993</c:v>
                </c:pt>
                <c:pt idx="738">
                  <c:v>22121.275514372843</c:v>
                </c:pt>
                <c:pt idx="739">
                  <c:v>22604.238087871508</c:v>
                </c:pt>
                <c:pt idx="740">
                  <c:v>23086.343570660847</c:v>
                </c:pt>
                <c:pt idx="741">
                  <c:v>23567.587887738904</c:v>
                </c:pt>
                <c:pt idx="742">
                  <c:v>24047.967233362549</c:v>
                </c:pt>
                <c:pt idx="743">
                  <c:v>24527.478056918397</c:v>
                </c:pt>
                <c:pt idx="744">
                  <c:v>25006.117049599699</c:v>
                </c:pt>
                <c:pt idx="745">
                  <c:v>25483.881131837112</c:v>
                </c:pt>
                <c:pt idx="746">
                  <c:v>25960.767441435004</c:v>
                </c:pt>
                <c:pt idx="747">
                  <c:v>26436.773322368499</c:v>
                </c:pt>
                <c:pt idx="748">
                  <c:v>26911.896314199614</c:v>
                </c:pt>
                <c:pt idx="749">
                  <c:v>27386.134142073883</c:v>
                </c:pt>
                <c:pt idx="750">
                  <c:v>27859.484707261527</c:v>
                </c:pt>
                <c:pt idx="751">
                  <c:v>28331.94607820973</c:v>
                </c:pt>
                <c:pt idx="752">
                  <c:v>28803.51648207492</c:v>
                </c:pt>
                <c:pt idx="753">
                  <c:v>29274.194296706108</c:v>
                </c:pt>
                <c:pt idx="754">
                  <c:v>29743.978043052222</c:v>
                </c:pt>
                <c:pt idx="755">
                  <c:v>30212.866377968312</c:v>
                </c:pt>
                <c:pt idx="756">
                  <c:v>30680.858087397079</c:v>
                </c:pt>
                <c:pt idx="757">
                  <c:v>31147.952079903796</c:v>
                </c:pt>
                <c:pt idx="758">
                  <c:v>31614.147380544142</c:v>
                </c:pt>
                <c:pt idx="759">
                  <c:v>32079.443125045731</c:v>
                </c:pt>
                <c:pt idx="760">
                  <c:v>32543.838554285467</c:v>
                </c:pt>
                <c:pt idx="761">
                  <c:v>33007.333009045913</c:v>
                </c:pt>
                <c:pt idx="762">
                  <c:v>33469.925925034964</c:v>
                </c:pt>
                <c:pt idx="763">
                  <c:v>33931.616828154125</c:v>
                </c:pt>
                <c:pt idx="764">
                  <c:v>34392.405330001609</c:v>
                </c:pt>
                <c:pt idx="765">
                  <c:v>34852.291123597264</c:v>
                </c:pt>
                <c:pt idx="766">
                  <c:v>35311.273979317251</c:v>
                </c:pt>
                <c:pt idx="767">
                  <c:v>35769.353741027066</c:v>
                </c:pt>
                <c:pt idx="768">
                  <c:v>36226.530322402126</c:v>
                </c:pt>
                <c:pt idx="769">
                  <c:v>36682.80370342602</c:v>
                </c:pt>
                <c:pt idx="770">
                  <c:v>37138.1739270568</c:v>
                </c:pt>
                <c:pt idx="771">
                  <c:v>37592.641096052517</c:v>
                </c:pt>
                <c:pt idx="772">
                  <c:v>38046.205369947653</c:v>
                </c:pt>
                <c:pt idx="773">
                  <c:v>38498.866962172469</c:v>
                </c:pt>
                <c:pt idx="774">
                  <c:v>38950.626137307954</c:v>
                </c:pt>
                <c:pt idx="775">
                  <c:v>39401.483208469355</c:v>
                </c:pt>
                <c:pt idx="776">
                  <c:v>39851.438534811641</c:v>
                </c:pt>
                <c:pt idx="777">
                  <c:v>40300.492519150815</c:v>
                </c:pt>
                <c:pt idx="778">
                  <c:v>40748.645605695077</c:v>
                </c:pt>
                <c:pt idx="779">
                  <c:v>41195.898277880391</c:v>
                </c:pt>
                <c:pt idx="780">
                  <c:v>41642.251056305227</c:v>
                </c:pt>
                <c:pt idx="781">
                  <c:v>42087.704496759492</c:v>
                </c:pt>
                <c:pt idx="782">
                  <c:v>42532.25918834308</c:v>
                </c:pt>
                <c:pt idx="783">
                  <c:v>42975.915751669563</c:v>
                </c:pt>
                <c:pt idx="784">
                  <c:v>43418.674837150866</c:v>
                </c:pt>
                <c:pt idx="785">
                  <c:v>43860.537123359056</c:v>
                </c:pt>
                <c:pt idx="786">
                  <c:v>44301.503315461421</c:v>
                </c:pt>
                <c:pt idx="787">
                  <c:v>44741.574143725375</c:v>
                </c:pt>
                <c:pt idx="788">
                  <c:v>45180.75036208985</c:v>
                </c:pt>
                <c:pt idx="789">
                  <c:v>45619.032746799967</c:v>
                </c:pt>
                <c:pt idx="790">
                  <c:v>46056.422095102032</c:v>
                </c:pt>
                <c:pt idx="791">
                  <c:v>46492.919223996003</c:v>
                </c:pt>
                <c:pt idx="792">
                  <c:v>46928.524969042715</c:v>
                </c:pt>
                <c:pt idx="793">
                  <c:v>47363.240183223352</c:v>
                </c:pt>
                <c:pt idx="794">
                  <c:v>47797.065735848693</c:v>
                </c:pt>
                <c:pt idx="795">
                  <c:v>48230.002511515864</c:v>
                </c:pt>
                <c:pt idx="796">
                  <c:v>48662.051409110405</c:v>
                </c:pt>
                <c:pt idx="797">
                  <c:v>49093.213340851558</c:v>
                </c:pt>
                <c:pt idx="798">
                  <c:v>49523.489231378873</c:v>
                </c:pt>
                <c:pt idx="799">
                  <c:v>49952.880016878175</c:v>
                </c:pt>
                <c:pt idx="800">
                  <c:v>50381.386644245147</c:v>
                </c:pt>
                <c:pt idx="801">
                  <c:v>50809.010070284872</c:v>
                </c:pt>
                <c:pt idx="802">
                  <c:v>51235.751260945697</c:v>
                </c:pt>
                <c:pt idx="803">
                  <c:v>51661.611190585878</c:v>
                </c:pt>
                <c:pt idx="804">
                  <c:v>52086.590841271565</c:v>
                </c:pt>
                <c:pt idx="805">
                  <c:v>52510.691202104746</c:v>
                </c:pt>
                <c:pt idx="806">
                  <c:v>52933.913268579854</c:v>
                </c:pt>
                <c:pt idx="807">
                  <c:v>53356.258041967703</c:v>
                </c:pt>
                <c:pt idx="808">
                  <c:v>53777.726528725667</c:v>
                </c:pt>
                <c:pt idx="809">
                  <c:v>54198.319739932878</c:v>
                </c:pt>
                <c:pt idx="810">
                  <c:v>54618.038690749388</c:v>
                </c:pt>
                <c:pt idx="811">
                  <c:v>55036.884399898285</c:v>
                </c:pt>
                <c:pt idx="812">
                  <c:v>55454.857889169711</c:v>
                </c:pt>
                <c:pt idx="813">
                  <c:v>55871.960182945928</c:v>
                </c:pt>
                <c:pt idx="814">
                  <c:v>56288.192307746474</c:v>
                </c:pt>
                <c:pt idx="815">
                  <c:v>56703.555291792552</c:v>
                </c:pt>
                <c:pt idx="816">
                  <c:v>57118.050164589877</c:v>
                </c:pt>
                <c:pt idx="817">
                  <c:v>57531.67795652918</c:v>
                </c:pt>
                <c:pt idx="818">
                  <c:v>57944.439698503615</c:v>
                </c:pt>
                <c:pt idx="819">
                  <c:v>58356.336421542364</c:v>
                </c:pt>
                <c:pt idx="820">
                  <c:v>58767.369156459783</c:v>
                </c:pt>
                <c:pt idx="821">
                  <c:v>59177.53893351939</c:v>
                </c:pt>
                <c:pt idx="822">
                  <c:v>59586.846782112181</c:v>
                </c:pt>
                <c:pt idx="823">
                  <c:v>59995.293730448502</c:v>
                </c:pt>
                <c:pt idx="824">
                  <c:v>60402.880805263143</c:v>
                </c:pt>
                <c:pt idx="825">
                  <c:v>60809.609031532877</c:v>
                </c:pt>
                <c:pt idx="826">
                  <c:v>61215.479432206135</c:v>
                </c:pt>
                <c:pt idx="827">
                  <c:v>61620.493027944183</c:v>
                </c:pt>
                <c:pt idx="828">
                  <c:v>62024.650836873348</c:v>
                </c:pt>
                <c:pt idx="829">
                  <c:v>62427.953874347942</c:v>
                </c:pt>
                <c:pt idx="830">
                  <c:v>62830.403152723309</c:v>
                </c:pt>
                <c:pt idx="831">
                  <c:v>63231.999681138659</c:v>
                </c:pt>
                <c:pt idx="832">
                  <c:v>63632.744465309326</c:v>
                </c:pt>
                <c:pt idx="833">
                  <c:v>64032.63850732796</c:v>
                </c:pt>
                <c:pt idx="834">
                  <c:v>64431.682805474396</c:v>
                </c:pt>
                <c:pt idx="835">
                  <c:v>64829.878354033783</c:v>
                </c:pt>
                <c:pt idx="836">
                  <c:v>65227.226143122716</c:v>
                </c:pt>
                <c:pt idx="837">
                  <c:v>65623.727158522932</c:v>
                </c:pt>
                <c:pt idx="838">
                  <c:v>66019.382381522344</c:v>
                </c:pt>
                <c:pt idx="839">
                  <c:v>66414.192788763234</c:v>
                </c:pt>
                <c:pt idx="840">
                  <c:v>66808.159352096962</c:v>
                </c:pt>
                <c:pt idx="841">
                  <c:v>67201.283038445385</c:v>
                </c:pt>
                <c:pt idx="842">
                  <c:v>67593.564809668358</c:v>
                </c:pt>
                <c:pt idx="843">
                  <c:v>67985.005622437267</c:v>
                </c:pt>
                <c:pt idx="844">
                  <c:v>68375.606428114319</c:v>
                </c:pt>
                <c:pt idx="845">
                  <c:v>68765.368172637231</c:v>
                </c:pt>
                <c:pt idx="846">
                  <c:v>69154.291796409394</c:v>
                </c:pt>
                <c:pt idx="847">
                  <c:v>69542.378234194926</c:v>
                </c:pt>
                <c:pt idx="848">
                  <c:v>69929.628415018742</c:v>
                </c:pt>
                <c:pt idx="849">
                  <c:v>70316.043262071224</c:v>
                </c:pt>
                <c:pt idx="850">
                  <c:v>70701.623692617432</c:v>
                </c:pt>
                <c:pt idx="851">
                  <c:v>71086.370617910638</c:v>
                </c:pt>
                <c:pt idx="852">
                  <c:v>71470.284943109975</c:v>
                </c:pt>
                <c:pt idx="853">
                  <c:v>71853.367567202135</c:v>
                </c:pt>
                <c:pt idx="854">
                  <c:v>72235.619382926801</c:v>
                </c:pt>
                <c:pt idx="855">
                  <c:v>72617.041276705815</c:v>
                </c:pt>
                <c:pt idx="856">
                  <c:v>72997.634128575926</c:v>
                </c:pt>
                <c:pt idx="857">
                  <c:v>73377.398812124768</c:v>
                </c:pt>
                <c:pt idx="858">
                  <c:v>73756.336194430289</c:v>
                </c:pt>
                <c:pt idx="859">
                  <c:v>74134.447136003131</c:v>
                </c:pt>
                <c:pt idx="860">
                  <c:v>74511.73249073216</c:v>
                </c:pt>
                <c:pt idx="861">
                  <c:v>74888.193105832746</c:v>
                </c:pt>
                <c:pt idx="862">
                  <c:v>75263.829821797888</c:v>
                </c:pt>
                <c:pt idx="863">
                  <c:v>75638.643472352036</c:v>
                </c:pt>
                <c:pt idx="864">
                  <c:v>76012.634884407307</c:v>
                </c:pt>
                <c:pt idx="865">
                  <c:v>76385.804878022333</c:v>
                </c:pt>
                <c:pt idx="866">
                  <c:v>76758.154266363301</c:v>
                </c:pt>
                <c:pt idx="867">
                  <c:v>77129.683855667419</c:v>
                </c:pt>
                <c:pt idx="868">
                  <c:v>77500.394445208338</c:v>
                </c:pt>
                <c:pt idx="869">
                  <c:v>77870.286827263844</c:v>
                </c:pt>
                <c:pt idx="870">
                  <c:v>78239.36178708545</c:v>
                </c:pt>
                <c:pt idx="871">
                  <c:v>78607.620102869856</c:v>
                </c:pt>
                <c:pt idx="872">
                  <c:v>78975.062545732348</c:v>
                </c:pt>
                <c:pt idx="873">
                  <c:v>79341.689879681915</c:v>
                </c:pt>
                <c:pt idx="874">
                  <c:v>79707.502861598026</c:v>
                </c:pt>
                <c:pt idx="875">
                  <c:v>80072.502241209047</c:v>
                </c:pt>
                <c:pt idx="876">
                  <c:v>80436.688761072204</c:v>
                </c:pt>
                <c:pt idx="877">
                  <c:v>80800.063156555028</c:v>
                </c:pt>
                <c:pt idx="878">
                  <c:v>81162.626155818245</c:v>
                </c:pt>
                <c:pt idx="879">
                  <c:v>81524.378479800012</c:v>
                </c:pt>
                <c:pt idx="880">
                  <c:v>81885.320842201472</c:v>
                </c:pt>
                <c:pt idx="881">
                  <c:v>82245.453949473522</c:v>
                </c:pt>
                <c:pt idx="882">
                  <c:v>82604.778500804852</c:v>
                </c:pt>
                <c:pt idx="883">
                  <c:v>82963.295188111093</c:v>
                </c:pt>
                <c:pt idx="884">
                  <c:v>83321.004696024989</c:v>
                </c:pt>
                <c:pt idx="885">
                  <c:v>83677.907701887802</c:v>
                </c:pt>
                <c:pt idx="886">
                  <c:v>84034.004875741506</c:v>
                </c:pt>
                <c:pt idx="887">
                  <c:v>84389.296880322116</c:v>
                </c:pt>
                <c:pt idx="888">
                  <c:v>84743.784371053815</c:v>
                </c:pt>
                <c:pt idx="889">
                  <c:v>85097.467996044041</c:v>
                </c:pt>
                <c:pt idx="890">
                  <c:v>85450.348396079324</c:v>
                </c:pt>
                <c:pt idx="891">
                  <c:v>85802.426204622054</c:v>
                </c:pt>
                <c:pt idx="892">
                  <c:v>86153.702047807834</c:v>
                </c:pt>
                <c:pt idx="893">
                  <c:v>86504.176544443748</c:v>
                </c:pt>
                <c:pt idx="894">
                  <c:v>86853.850306007138</c:v>
                </c:pt>
                <c:pt idx="895">
                  <c:v>87202.723936645183</c:v>
                </c:pt>
                <c:pt idx="896">
                  <c:v>87550.798033175059</c:v>
                </c:pt>
                <c:pt idx="897">
                  <c:v>87898.07318508462</c:v>
                </c:pt>
                <c:pt idx="898">
                  <c:v>88244.549974533773</c:v>
                </c:pt>
                <c:pt idx="899">
                  <c:v>88590.228976356346</c:v>
                </c:pt>
                <c:pt idx="900">
                  <c:v>88935.110758062394</c:v>
                </c:pt>
                <c:pt idx="901">
                  <c:v>89279.195879841078</c:v>
                </c:pt>
                <c:pt idx="902">
                  <c:v>89622.484894563982</c:v>
                </c:pt>
                <c:pt idx="903">
                  <c:v>89964.978347788856</c:v>
                </c:pt>
                <c:pt idx="904">
                  <c:v>90306.676777763743</c:v>
                </c:pt>
                <c:pt idx="905">
                  <c:v>90647.580715431555</c:v>
                </c:pt>
                <c:pt idx="906">
                  <c:v>90987.690684434943</c:v>
                </c:pt>
                <c:pt idx="907">
                  <c:v>91327.007201121582</c:v>
                </c:pt>
                <c:pt idx="908">
                  <c:v>91665.530774549741</c:v>
                </c:pt>
                <c:pt idx="909">
                  <c:v>92003.261906494139</c:v>
                </c:pt>
                <c:pt idx="910">
                  <c:v>92340.201091452109</c:v>
                </c:pt>
                <c:pt idx="911">
                  <c:v>92676.348816650047</c:v>
                </c:pt>
                <c:pt idx="912">
                  <c:v>93011.705562050091</c:v>
                </c:pt>
                <c:pt idx="913">
                  <c:v>93346.271800357019</c:v>
                </c:pt>
                <c:pt idx="914">
                  <c:v>93680.047997025365</c:v>
                </c:pt>
                <c:pt idx="915">
                  <c:v>94013.034610266754</c:v>
                </c:pt>
                <c:pt idx="916">
                  <c:v>94345.232091057376</c:v>
                </c:pt>
                <c:pt idx="917">
                  <c:v>94676.640883145723</c:v>
                </c:pt>
                <c:pt idx="918">
                  <c:v>95007.261423060321</c:v>
                </c:pt>
                <c:pt idx="919">
                  <c:v>95337.09414011777</c:v>
                </c:pt>
                <c:pt idx="920">
                  <c:v>95666.139456430828</c:v>
                </c:pt>
                <c:pt idx="921">
                  <c:v>95994.397786916568</c:v>
                </c:pt>
                <c:pt idx="922">
                  <c:v>96321.869539304709</c:v>
                </c:pt>
                <c:pt idx="923">
                  <c:v>96648.555114146046</c:v>
                </c:pt>
                <c:pt idx="924">
                  <c:v>96974.454904820857</c:v>
                </c:pt>
                <c:pt idx="925">
                  <c:v>97299.569297547481</c:v>
                </c:pt>
                <c:pt idx="926">
                  <c:v>97623.898671390882</c:v>
                </c:pt>
                <c:pt idx="927">
                  <c:v>97947.443398271309</c:v>
                </c:pt>
                <c:pt idx="928">
                  <c:v>98270.203842972944</c:v>
                </c:pt>
                <c:pt idx="929">
                  <c:v>98592.180363152598</c:v>
                </c:pt>
                <c:pt idx="930">
                  <c:v>98913.373309348419</c:v>
                </c:pt>
                <c:pt idx="931">
                  <c:v>99233.783024988588</c:v>
                </c:pt>
                <c:pt idx="932">
                  <c:v>99553.409846400085</c:v>
                </c:pt>
                <c:pt idx="933">
                  <c:v>99872.254102817329</c:v>
                </c:pt>
                <c:pt idx="934">
                  <c:v>100190.31611639085</c:v>
                </c:pt>
                <c:pt idx="935">
                  <c:v>100507.59620219596</c:v>
                </c:pt>
                <c:pt idx="936">
                  <c:v>100824.09466824138</c:v>
                </c:pt>
                <c:pt idx="937">
                  <c:v>101139.81181547779</c:v>
                </c:pt>
                <c:pt idx="938">
                  <c:v>101454.74793780634</c:v>
                </c:pt>
                <c:pt idx="939">
                  <c:v>101768.90332208714</c:v>
                </c:pt>
                <c:pt idx="940">
                  <c:v>102082.27824814757</c:v>
                </c:pt>
                <c:pt idx="941">
                  <c:v>102394.87298879077</c:v>
                </c:pt>
                <c:pt idx="942">
                  <c:v>102706.68780980371</c:v>
                </c:pt>
                <c:pt idx="943">
                  <c:v>103017.72296996546</c:v>
                </c:pt>
                <c:pt idx="944">
                  <c:v>103327.97872105525</c:v>
                </c:pt>
                <c:pt idx="945">
                  <c:v>103637.45530786042</c:v>
                </c:pt>
                <c:pt idx="946">
                  <c:v>103946.15296818437</c:v>
                </c:pt>
                <c:pt idx="947">
                  <c:v>104254.0719328542</c:v>
                </c:pt>
                <c:pt idx="948">
                  <c:v>104561.21242572855</c:v>
                </c:pt>
                <c:pt idx="949">
                  <c:v>104867.574663705</c:v>
                </c:pt>
                <c:pt idx="950">
                  <c:v>105173.15885672758</c:v>
                </c:pt>
                <c:pt idx="951">
                  <c:v>105477.96520779403</c:v>
                </c:pt>
                <c:pt idx="952">
                  <c:v>105781.99391296301</c:v>
                </c:pt>
                <c:pt idx="953">
                  <c:v>106085.2451613611</c:v>
                </c:pt>
                <c:pt idx="954">
                  <c:v>106387.71913518976</c:v>
                </c:pt>
                <c:pt idx="955">
                  <c:v>106689.416009732</c:v>
                </c:pt>
                <c:pt idx="956">
                  <c:v>106990.33595335906</c:v>
                </c:pt>
                <c:pt idx="957">
                  <c:v>107290.4791275368</c:v>
                </c:pt>
                <c:pt idx="958">
                  <c:v>107589.84568683209</c:v>
                </c:pt>
                <c:pt idx="959">
                  <c:v>107888.43577891892</c:v>
                </c:pt>
                <c:pt idx="960">
                  <c:v>108186.24954458434</c:v>
                </c:pt>
                <c:pt idx="961">
                  <c:v>108483.28711773436</c:v>
                </c:pt>
                <c:pt idx="962">
                  <c:v>108779.54862539955</c:v>
                </c:pt>
                <c:pt idx="963">
                  <c:v>109075.03418774053</c:v>
                </c:pt>
                <c:pt idx="964">
                  <c:v>109369.74391805327</c:v>
                </c:pt>
                <c:pt idx="965">
                  <c:v>109663.67792277427</c:v>
                </c:pt>
                <c:pt idx="966">
                  <c:v>109956.83630148541</c:v>
                </c:pt>
                <c:pt idx="967">
                  <c:v>110249.21914691884</c:v>
                </c:pt>
                <c:pt idx="968">
                  <c:v>110540.82654496141</c:v>
                </c:pt>
                <c:pt idx="969">
                  <c:v>110831.6585746592</c:v>
                </c:pt>
                <c:pt idx="970">
                  <c:v>111121.71530822164</c:v>
                </c:pt>
                <c:pt idx="971">
                  <c:v>111410.99681102551</c:v>
                </c:pt>
                <c:pt idx="972">
                  <c:v>111699.50314161878</c:v>
                </c:pt>
                <c:pt idx="973">
                  <c:v>111987.23435172421</c:v>
                </c:pt>
                <c:pt idx="974">
                  <c:v>112274.19048624273</c:v>
                </c:pt>
                <c:pt idx="975">
                  <c:v>112560.37158325665</c:v>
                </c:pt>
                <c:pt idx="976">
                  <c:v>112845.77767403271</c:v>
                </c:pt>
                <c:pt idx="977">
                  <c:v>113130.40878302477</c:v>
                </c:pt>
                <c:pt idx="978">
                  <c:v>113414.26492787649</c:v>
                </c:pt>
                <c:pt idx="979">
                  <c:v>113697.34611942359</c:v>
                </c:pt>
                <c:pt idx="980">
                  <c:v>113979.65236169606</c:v>
                </c:pt>
                <c:pt idx="981">
                  <c:v>114261.18365192012</c:v>
                </c:pt>
                <c:pt idx="982">
                  <c:v>114541.93998051983</c:v>
                </c:pt>
                <c:pt idx="983">
                  <c:v>114821.92133111872</c:v>
                </c:pt>
                <c:pt idx="984">
                  <c:v>115101.12768054094</c:v>
                </c:pt>
                <c:pt idx="985">
                  <c:v>115379.55899881237</c:v>
                </c:pt>
                <c:pt idx="986">
                  <c:v>115657.2152491614</c:v>
                </c:pt>
                <c:pt idx="987">
                  <c:v>115934.09638801955</c:v>
                </c:pt>
                <c:pt idx="988">
                  <c:v>116210.20236502185</c:v>
                </c:pt>
                <c:pt idx="989">
                  <c:v>116485.5331230069</c:v>
                </c:pt>
                <c:pt idx="990">
                  <c:v>116760.08859801682</c:v>
                </c:pt>
                <c:pt idx="991">
                  <c:v>117033.86871929694</c:v>
                </c:pt>
                <c:pt idx="992">
                  <c:v>117306.87340929511</c:v>
                </c:pt>
                <c:pt idx="993">
                  <c:v>117579.10258366098</c:v>
                </c:pt>
                <c:pt idx="994">
                  <c:v>117850.55615124495</c:v>
                </c:pt>
                <c:pt idx="995">
                  <c:v>118121.23401409683</c:v>
                </c:pt>
                <c:pt idx="996">
                  <c:v>118391.13606746432</c:v>
                </c:pt>
                <c:pt idx="997">
                  <c:v>118660.26219979122</c:v>
                </c:pt>
                <c:pt idx="998">
                  <c:v>118928.61229271538</c:v>
                </c:pt>
                <c:pt idx="999">
                  <c:v>119196.18622106648</c:v>
                </c:pt>
                <c:pt idx="1000">
                  <c:v>119462.98385286344</c:v>
                </c:pt>
              </c:numCache>
            </c:numRef>
          </c:xVal>
          <c:yVal>
            <c:numRef>
              <c:f>'Conditions initiales + chemin'!$BA$10:$BA$1010</c:f>
              <c:numCache>
                <c:formatCode>General</c:formatCode>
                <c:ptCount val="1001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-8071.8575201374579</c:v>
                </c:pt>
                <c:pt idx="10">
                  <c:v>-10087.228798265898</c:v>
                </c:pt>
                <c:pt idx="11">
                  <c:v>-12335.933792409638</c:v>
                </c:pt>
                <c:pt idx="12">
                  <c:v>-14751.379595688099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-11686.793527809148</c:v>
                </c:pt>
                <c:pt idx="26">
                  <c:v>-9285.7153541049265</c:v>
                </c:pt>
                <c:pt idx="27">
                  <c:v>-7163.1148305357328</c:v>
                </c:pt>
                <c:pt idx="28">
                  <c:v>-5405.276643825574</c:v>
                </c:pt>
                <c:pt idx="29">
                  <c:v>-3988.1713399098535</c:v>
                </c:pt>
                <c:pt idx="30">
                  <c:v>-2836.422957448488</c:v>
                </c:pt>
                <c:pt idx="31">
                  <c:v>-1865.7641451009449</c:v>
                </c:pt>
                <c:pt idx="32">
                  <c:v>-995.84077041903572</c:v>
                </c:pt>
                <c:pt idx="33">
                  <c:v>-149.45993862990741</c:v>
                </c:pt>
                <c:pt idx="34">
                  <c:v>752.01156069470392</c:v>
                </c:pt>
                <c:pt idx="35">
                  <c:v>1793.222248023244</c:v>
                </c:pt>
                <c:pt idx="36">
                  <c:v>3064.3548369665714</c:v>
                </c:pt>
                <c:pt idx="37">
                  <c:v>4640.3231022983082</c:v>
                </c:pt>
                <c:pt idx="38">
                  <c:v>6517.110869631384</c:v>
                </c:pt>
                <c:pt idx="39">
                  <c:v>8555.3303777479105</c:v>
                </c:pt>
                <c:pt idx="40">
                  <c:v>10552.989439230751</c:v>
                </c:pt>
                <c:pt idx="41">
                  <c:v>12370.753548935412</c:v>
                </c:pt>
                <c:pt idx="42">
                  <c:v>13951.290731552541</c:v>
                </c:pt>
                <c:pt idx="43">
                  <c:v>15277.624296741053</c:v>
                </c:pt>
                <c:pt idx="44">
                  <c:v>16345.25275982528</c:v>
                </c:pt>
                <c:pt idx="45">
                  <c:v>17150.88766705693</c:v>
                </c:pt>
                <c:pt idx="46">
                  <c:v>17688.14489196573</c:v>
                </c:pt>
                <c:pt idx="47">
                  <c:v>17945.461661525394</c:v>
                </c:pt>
                <c:pt idx="48">
                  <c:v>17904.443116994149</c:v>
                </c:pt>
                <c:pt idx="49">
                  <c:v>17537.921990304272</c:v>
                </c:pt>
                <c:pt idx="50">
                  <c:v>16807.512750085363</c:v>
                </c:pt>
                <c:pt idx="51">
                  <c:v>15661.293878573861</c:v>
                </c:pt>
                <c:pt idx="52">
                  <c:v>14035.274457262505</c:v>
                </c:pt>
                <c:pt idx="53">
                  <c:v>11871.726623805887</c:v>
                </c:pt>
                <c:pt idx="54">
                  <c:v>9180.1518731434244</c:v>
                </c:pt>
                <c:pt idx="55">
                  <c:v>6115.9544614119377</c:v>
                </c:pt>
                <c:pt idx="56">
                  <c:v>2928.9194495982706</c:v>
                </c:pt>
                <c:pt idx="57">
                  <c:v>-203.40622836475819</c:v>
                </c:pt>
                <c:pt idx="58">
                  <c:v>-3233.8735887972898</c:v>
                </c:pt>
                <c:pt idx="59">
                  <c:v>-6187.576713603743</c:v>
                </c:pt>
                <c:pt idx="60">
                  <c:v>-9109.8575666724646</c:v>
                </c:pt>
                <c:pt idx="61">
                  <c:v>-12037.950819069474</c:v>
                </c:pt>
                <c:pt idx="62">
                  <c:v>-14973.64761488088</c:v>
                </c:pt>
                <c:pt idx="63">
                  <c:v>-17841.986679037003</c:v>
                </c:pt>
                <c:pt idx="64">
                  <c:v>-20461.303674818082</c:v>
                </c:pt>
                <c:pt idx="65">
                  <c:v>-22614.23788568702</c:v>
                </c:pt>
                <c:pt idx="66">
                  <c:v>-24193.519811073293</c:v>
                </c:pt>
                <c:pt idx="67">
                  <c:v>-25233.655823418056</c:v>
                </c:pt>
                <c:pt idx="68">
                  <c:v>-25825.203634257068</c:v>
                </c:pt>
                <c:pt idx="69">
                  <c:v>-26053.234388595109</c:v>
                </c:pt>
                <c:pt idx="70">
                  <c:v>-25983.187953881639</c:v>
                </c:pt>
                <c:pt idx="71">
                  <c:v>-25663.36078951809</c:v>
                </c:pt>
                <c:pt idx="72">
                  <c:v>-25129.631419452551</c:v>
                </c:pt>
                <c:pt idx="73">
                  <c:v>-24409.228859563933</c:v>
                </c:pt>
                <c:pt idx="74">
                  <c:v>-23523.352137807797</c:v>
                </c:pt>
                <c:pt idx="75">
                  <c:v>-22488.951393801799</c:v>
                </c:pt>
                <c:pt idx="76">
                  <c:v>-21319.958242700104</c:v>
                </c:pt>
                <c:pt idx="77">
                  <c:v>-20028.165312849429</c:v>
                </c:pt>
                <c:pt idx="78">
                  <c:v>-18623.885856717981</c:v>
                </c:pt>
                <c:pt idx="79">
                  <c:v>-17116.479184939035</c:v>
                </c:pt>
                <c:pt idx="80">
                  <c:v>-15514.798796082037</c:v>
                </c:pt>
                <c:pt idx="81">
                  <c:v>-13827.599542398479</c:v>
                </c:pt>
                <c:pt idx="82">
                  <c:v>-12063.920408815686</c:v>
                </c:pt>
                <c:pt idx="83">
                  <c:v>-10233.431953868547</c:v>
                </c:pt>
                <c:pt idx="84">
                  <c:v>-8346.6940818099647</c:v>
                </c:pt>
                <c:pt idx="85">
                  <c:v>-6415.2201001058247</c:v>
                </c:pt>
                <c:pt idx="86">
                  <c:v>-4451.2873606249577</c:v>
                </c:pt>
                <c:pt idx="87">
                  <c:v>-2467.9440497759401</c:v>
                </c:pt>
                <c:pt idx="88">
                  <c:v>-481.17231754291208</c:v>
                </c:pt>
                <c:pt idx="89">
                  <c:v>1483.2081229243392</c:v>
                </c:pt>
                <c:pt idx="90">
                  <c:v>3382.992426666046</c:v>
                </c:pt>
                <c:pt idx="91">
                  <c:v>5167.6443952447071</c:v>
                </c:pt>
                <c:pt idx="92">
                  <c:v>6798.0595336042225</c:v>
                </c:pt>
                <c:pt idx="93">
                  <c:v>8255.8633784172089</c:v>
                </c:pt>
                <c:pt idx="94">
                  <c:v>9536.3502339157421</c:v>
                </c:pt>
                <c:pt idx="95">
                  <c:v>10635.835458909156</c:v>
                </c:pt>
                <c:pt idx="96">
                  <c:v>11538.955607885611</c:v>
                </c:pt>
                <c:pt idx="97">
                  <c:v>12204.286018096145</c:v>
                </c:pt>
                <c:pt idx="98">
                  <c:v>12548.57757066705</c:v>
                </c:pt>
                <c:pt idx="99">
                  <c:v>12453.293705291053</c:v>
                </c:pt>
                <c:pt idx="100">
                  <c:v>11847.765648575838</c:v>
                </c:pt>
                <c:pt idx="101">
                  <c:v>10803.937300069356</c:v>
                </c:pt>
                <c:pt idx="102">
                  <c:v>9482.5547395786634</c:v>
                </c:pt>
                <c:pt idx="103">
                  <c:v>8017.0772215879506</c:v>
                </c:pt>
                <c:pt idx="104">
                  <c:v>6485.8648801435893</c:v>
                </c:pt>
                <c:pt idx="105">
                  <c:v>4931.6882811092846</c:v>
                </c:pt>
                <c:pt idx="106">
                  <c:v>3378.6501475908226</c:v>
                </c:pt>
                <c:pt idx="107">
                  <c:v>1841.191182408071</c:v>
                </c:pt>
                <c:pt idx="108">
                  <c:v>328.56661446246915</c:v>
                </c:pt>
                <c:pt idx="109">
                  <c:v>-1152.8722885641876</c:v>
                </c:pt>
                <c:pt idx="110">
                  <c:v>-2598.4582754780549</c:v>
                </c:pt>
                <c:pt idx="111">
                  <c:v>-4004.5211441125762</c:v>
                </c:pt>
                <c:pt idx="112">
                  <c:v>-5367.9806791397623</c:v>
                </c:pt>
                <c:pt idx="113">
                  <c:v>-6686.0929623099219</c:v>
                </c:pt>
                <c:pt idx="114">
                  <c:v>-7956.2837947796943</c:v>
                </c:pt>
                <c:pt idx="115">
                  <c:v>-9176.0329303308972</c:v>
                </c:pt>
                <c:pt idx="116">
                  <c:v>-10342.788340019661</c:v>
                </c:pt>
                <c:pt idx="117">
                  <c:v>-11453.898076526117</c:v>
                </c:pt>
                <c:pt idx="118">
                  <c:v>-12506.55194021177</c:v>
                </c:pt>
                <c:pt idx="119">
                  <c:v>-13497.727784781178</c:v>
                </c:pt>
                <c:pt idx="120">
                  <c:v>-14424.138824167341</c:v>
                </c:pt>
                <c:pt idx="121">
                  <c:v>-15282.179190789995</c:v>
                </c:pt>
                <c:pt idx="122">
                  <c:v>-16067.865520869744</c:v>
                </c:pt>
                <c:pt idx="123">
                  <c:v>-16776.772677570603</c:v>
                </c:pt>
                <c:pt idx="124">
                  <c:v>-17403.962001277519</c:v>
                </c:pt>
                <c:pt idx="125">
                  <c:v>-17943.900838059963</c:v>
                </c:pt>
                <c:pt idx="126">
                  <c:v>-18390.372733379631</c:v>
                </c:pt>
                <c:pt idx="127">
                  <c:v>-18736.378892231536</c:v>
                </c:pt>
                <c:pt idx="128">
                  <c:v>-18974.033812004098</c:v>
                </c:pt>
                <c:pt idx="129">
                  <c:v>-19094.462269071042</c:v>
                </c:pt>
                <c:pt idx="130">
                  <c:v>-19087.712582788532</c:v>
                </c:pt>
                <c:pt idx="131">
                  <c:v>-18942.714804661675</c:v>
                </c:pt>
                <c:pt idx="132">
                  <c:v>-18647.336294856854</c:v>
                </c:pt>
                <c:pt idx="133">
                  <c:v>-18188.627561812576</c:v>
                </c:pt>
                <c:pt idx="134">
                  <c:v>-17553.418402052168</c:v>
                </c:pt>
                <c:pt idx="135">
                  <c:v>-16729.535329882034</c:v>
                </c:pt>
                <c:pt idx="136">
                  <c:v>-15708.10361052623</c:v>
                </c:pt>
                <c:pt idx="137">
                  <c:v>-14487.785823812728</c:v>
                </c:pt>
                <c:pt idx="138">
                  <c:v>-13082.765452977554</c:v>
                </c:pt>
                <c:pt idx="139">
                  <c:v>-11538.586873204866</c:v>
                </c:pt>
                <c:pt idx="140">
                  <c:v>-9961.283327292982</c:v>
                </c:pt>
                <c:pt idx="141">
                  <c:v>-8535.9358821291116</c:v>
                </c:pt>
                <c:pt idx="142">
                  <c:v>-7431.3231169227756</c:v>
                </c:pt>
                <c:pt idx="143">
                  <c:v>-6648.5105592290492</c:v>
                </c:pt>
                <c:pt idx="144">
                  <c:v>-6055.2013786956604</c:v>
                </c:pt>
                <c:pt idx="145">
                  <c:v>-5522.6868888774497</c:v>
                </c:pt>
                <c:pt idx="146">
                  <c:v>-4973.5648439949573</c:v>
                </c:pt>
                <c:pt idx="147">
                  <c:v>-4374.8380365863386</c:v>
                </c:pt>
                <c:pt idx="148">
                  <c:v>-3721.1325508030345</c:v>
                </c:pt>
                <c:pt idx="149">
                  <c:v>-3019.8520523212565</c:v>
                </c:pt>
                <c:pt idx="150">
                  <c:v>-2282.034045030985</c:v>
                </c:pt>
                <c:pt idx="151">
                  <c:v>-1518.2399421430607</c:v>
                </c:pt>
                <c:pt idx="152">
                  <c:v>-737.27842005781929</c:v>
                </c:pt>
                <c:pt idx="153">
                  <c:v>53.881036693447868</c:v>
                </c:pt>
                <c:pt idx="154">
                  <c:v>849.81942886798959</c:v>
                </c:pt>
                <c:pt idx="155">
                  <c:v>1646.3248328116763</c:v>
                </c:pt>
                <c:pt idx="156">
                  <c:v>2440.0952127692885</c:v>
                </c:pt>
                <c:pt idx="157">
                  <c:v>3228.5061810661691</c:v>
                </c:pt>
                <c:pt idx="158">
                  <c:v>4009.4365409540646</c:v>
                </c:pt>
                <c:pt idx="159">
                  <c:v>4781.1389877705396</c:v>
                </c:pt>
                <c:pt idx="160">
                  <c:v>5542.1443421241638</c:v>
                </c:pt>
                <c:pt idx="161">
                  <c:v>6291.1901634826836</c:v>
                </c:pt>
                <c:pt idx="162">
                  <c:v>7027.1669593521019</c:v>
                </c:pt>
                <c:pt idx="163">
                  <c:v>7749.0770794095397</c:v>
                </c:pt>
                <c:pt idx="164">
                  <c:v>8456.002765561374</c:v>
                </c:pt>
                <c:pt idx="165">
                  <c:v>9147.080815848698</c:v>
                </c:pt>
                <c:pt idx="166">
                  <c:v>9821.4820151700696</c:v>
                </c:pt>
                <c:pt idx="167">
                  <c:v>10478.393971940719</c:v>
                </c:pt>
                <c:pt idx="168">
                  <c:v>11117.006338086043</c:v>
                </c:pt>
                <c:pt idx="169">
                  <c:v>11736.497623102325</c:v>
                </c:pt>
                <c:pt idx="170">
                  <c:v>12336.022970716953</c:v>
                </c:pt>
                <c:pt idx="171">
                  <c:v>12914.702368602635</c:v>
                </c:pt>
                <c:pt idx="172">
                  <c:v>13471.60882027528</c:v>
                </c:pt>
                <c:pt idx="173">
                  <c:v>14005.756031137716</c:v>
                </c:pt>
                <c:pt idx="174">
                  <c:v>14516.085150858822</c:v>
                </c:pt>
                <c:pt idx="175">
                  <c:v>15001.4500714109</c:v>
                </c:pt>
                <c:pt idx="176">
                  <c:v>15460.600699766912</c:v>
                </c:pt>
                <c:pt idx="177">
                  <c:v>15892.163497452122</c:v>
                </c:pt>
                <c:pt idx="178">
                  <c:v>16294.618390469985</c:v>
                </c:pt>
                <c:pt idx="179">
                  <c:v>16666.270877833416</c:v>
                </c:pt>
                <c:pt idx="180">
                  <c:v>17005.217765710913</c:v>
                </c:pt>
                <c:pt idx="181">
                  <c:v>17309.304364154646</c:v>
                </c:pt>
                <c:pt idx="182">
                  <c:v>17576.070102277772</c:v>
                </c:pt>
                <c:pt idx="183">
                  <c:v>17802.678175679692</c:v>
                </c:pt>
                <c:pt idx="184">
                  <c:v>17985.822747035596</c:v>
                </c:pt>
                <c:pt idx="185">
                  <c:v>18121.603867871978</c:v>
                </c:pt>
                <c:pt idx="186">
                  <c:v>18205.354752577783</c:v>
                </c:pt>
                <c:pt idx="187">
                  <c:v>18231.39657758905</c:v>
                </c:pt>
                <c:pt idx="188">
                  <c:v>18192.67920955196</c:v>
                </c:pt>
                <c:pt idx="189">
                  <c:v>18080.235313880003</c:v>
                </c:pt>
                <c:pt idx="190">
                  <c:v>17882.31573606508</c:v>
                </c:pt>
                <c:pt idx="191">
                  <c:v>17582.95500246622</c:v>
                </c:pt>
                <c:pt idx="192">
                  <c:v>17159.473195456911</c:v>
                </c:pt>
                <c:pt idx="193">
                  <c:v>16577.951921846932</c:v>
                </c:pt>
                <c:pt idx="194">
                  <c:v>15785.152089589326</c:v>
                </c:pt>
                <c:pt idx="195">
                  <c:v>14697.666904232226</c:v>
                </c:pt>
                <c:pt idx="196">
                  <c:v>13213.427474679918</c:v>
                </c:pt>
                <c:pt idx="197">
                  <c:v>11311.634631926194</c:v>
                </c:pt>
                <c:pt idx="198">
                  <c:v>9109.2189747441862</c:v>
                </c:pt>
                <c:pt idx="199">
                  <c:v>6724.0356366762917</c:v>
                </c:pt>
                <c:pt idx="200">
                  <c:v>4183.1020181491995</c:v>
                </c:pt>
                <c:pt idx="201">
                  <c:v>1471.1519262481579</c:v>
                </c:pt>
                <c:pt idx="202">
                  <c:v>-1422.0427005525685</c:v>
                </c:pt>
                <c:pt idx="203">
                  <c:v>-4469.0212837756062</c:v>
                </c:pt>
                <c:pt idx="204">
                  <c:v>-7586.8205361057226</c:v>
                </c:pt>
                <c:pt idx="205">
                  <c:v>-10658.290339719502</c:v>
                </c:pt>
                <c:pt idx="206">
                  <c:v>-13584.183685310922</c:v>
                </c:pt>
                <c:pt idx="207">
                  <c:v>-16314.499180828261</c:v>
                </c:pt>
                <c:pt idx="208">
                  <c:v>-18840.536556469666</c:v>
                </c:pt>
                <c:pt idx="209">
                  <c:v>-21174.25275798604</c:v>
                </c:pt>
                <c:pt idx="210">
                  <c:v>-23334.20716098322</c:v>
                </c:pt>
                <c:pt idx="211">
                  <c:v>-25339.209403189077</c:v>
                </c:pt>
                <c:pt idx="212">
                  <c:v>-27206.124966968644</c:v>
                </c:pt>
                <c:pt idx="213">
                  <c:v>-28949.412857395619</c:v>
                </c:pt>
                <c:pt idx="214">
                  <c:v>-30581.27770646763</c:v>
                </c:pt>
                <c:pt idx="215">
                  <c:v>-32111.991658345327</c:v>
                </c:pt>
                <c:pt idx="216">
                  <c:v>-33550.22522185331</c:v>
                </c:pt>
                <c:pt idx="217">
                  <c:v>-34903.336889082326</c:v>
                </c:pt>
                <c:pt idx="218">
                  <c:v>-36177.612068796887</c:v>
                </c:pt>
                <c:pt idx="219">
                  <c:v>-37378.455562949421</c:v>
                </c:pt>
                <c:pt idx="220">
                  <c:v>-38510.545341539713</c:v>
                </c:pt>
                <c:pt idx="221">
                  <c:v>-39577.955315365747</c:v>
                </c:pt>
                <c:pt idx="222">
                  <c:v>-40584.253674054336</c:v>
                </c:pt>
                <c:pt idx="223">
                  <c:v>-41532.582066026807</c:v>
                </c:pt>
                <c:pt idx="224">
                  <c:v>-42425.719750167933</c:v>
                </c:pt>
                <c:pt idx="225">
                  <c:v>-43266.135916248772</c:v>
                </c:pt>
                <c:pt idx="226">
                  <c:v>-44056.032641552061</c:v>
                </c:pt>
                <c:pt idx="227">
                  <c:v>-44797.380390437553</c:v>
                </c:pt>
                <c:pt idx="228">
                  <c:v>-45491.947535714506</c:v>
                </c:pt>
                <c:pt idx="229">
                  <c:v>-46141.325054617213</c:v>
                </c:pt>
                <c:pt idx="230">
                  <c:v>-46746.947303190485</c:v>
                </c:pt>
                <c:pt idx="231">
                  <c:v>-47310.109582012214</c:v>
                </c:pt>
                <c:pt idx="232">
                  <c:v>-47831.983059100065</c:v>
                </c:pt>
                <c:pt idx="233">
                  <c:v>-48313.627501864205</c:v>
                </c:pt>
                <c:pt idx="234">
                  <c:v>-48756.002181086245</c:v>
                </c:pt>
                <c:pt idx="235">
                  <c:v>-49159.97524015831</c:v>
                </c:pt>
                <c:pt idx="236">
                  <c:v>-49526.33176773219</c:v>
                </c:pt>
                <c:pt idx="237">
                  <c:v>-49855.780768143231</c:v>
                </c:pt>
                <c:pt idx="238">
                  <c:v>-50148.961188941998</c:v>
                </c:pt>
                <c:pt idx="239">
                  <c:v>-50406.447136655268</c:v>
                </c:pt>
                <c:pt idx="240">
                  <c:v>-50628.752389026326</c:v>
                </c:pt>
                <c:pt idx="241">
                  <c:v>-50816.334293314714</c:v>
                </c:pt>
                <c:pt idx="242">
                  <c:v>-50969.597124884989</c:v>
                </c:pt>
                <c:pt idx="243">
                  <c:v>-51088.894967595341</c:v>
                </c:pt>
                <c:pt idx="244">
                  <c:v>-51174.5341668685</c:v>
                </c:pt>
                <c:pt idx="245">
                  <c:v>-51226.775397362326</c:v>
                </c:pt>
                <c:pt idx="246">
                  <c:v>-51245.83537951202</c:v>
                </c:pt>
                <c:pt idx="247">
                  <c:v>-51231.888272614407</c:v>
                </c:pt>
                <c:pt idx="248">
                  <c:v>-51185.066766339973</c:v>
                </c:pt>
                <c:pt idx="249">
                  <c:v>-51105.4628874017</c:v>
                </c:pt>
                <c:pt idx="250">
                  <c:v>-50993.128533420902</c:v>
                </c:pt>
                <c:pt idx="251">
                  <c:v>-50848.075741669258</c:v>
                </c:pt>
                <c:pt idx="252">
                  <c:v>-50670.276696207242</c:v>
                </c:pt>
                <c:pt idx="253">
                  <c:v>-50459.66347286458</c:v>
                </c:pt>
                <c:pt idx="254">
                  <c:v>-50216.127517403795</c:v>
                </c:pt>
                <c:pt idx="255">
                  <c:v>-49939.518847956933</c:v>
                </c:pt>
                <c:pt idx="256">
                  <c:v>-49629.644968305067</c:v>
                </c:pt>
                <c:pt idx="257">
                  <c:v>-49286.269473643537</c:v>
                </c:pt>
                <c:pt idx="258">
                  <c:v>-48909.110324988367</c:v>
                </c:pt>
                <c:pt idx="259">
                  <c:v>-48497.837762147938</c:v>
                </c:pt>
                <c:pt idx="260">
                  <c:v>-48052.071817989374</c:v>
                </c:pt>
                <c:pt idx="261">
                  <c:v>-47571.37938830303</c:v>
                </c:pt>
                <c:pt idx="262">
                  <c:v>-47055.270801576538</c:v>
                </c:pt>
                <c:pt idx="263">
                  <c:v>-46503.19582101125</c:v>
                </c:pt>
                <c:pt idx="264">
                  <c:v>-45914.538996613919</c:v>
                </c:pt>
                <c:pt idx="265">
                  <c:v>-45288.614267485602</c:v>
                </c:pt>
                <c:pt idx="266">
                  <c:v>-44624.658692615762</c:v>
                </c:pt>
                <c:pt idx="267">
                  <c:v>-43921.825161403387</c:v>
                </c:pt>
                <c:pt idx="268">
                  <c:v>-43179.173901225229</c:v>
                </c:pt>
                <c:pt idx="269">
                  <c:v>-42395.66255659968</c:v>
                </c:pt>
                <c:pt idx="270">
                  <c:v>-41570.134560091436</c:v>
                </c:pt>
                <c:pt idx="271">
                  <c:v>-40701.305445322316</c:v>
                </c:pt>
                <c:pt idx="272">
                  <c:v>-39787.746662169222</c:v>
                </c:pt>
                <c:pt idx="273">
                  <c:v>-38827.866336348212</c:v>
                </c:pt>
                <c:pt idx="274">
                  <c:v>-37819.886260191801</c:v>
                </c:pt>
                <c:pt idx="275">
                  <c:v>-36761.814194520739</c:v>
                </c:pt>
                <c:pt idx="276">
                  <c:v>-35651.410283085337</c:v>
                </c:pt>
                <c:pt idx="277">
                  <c:v>-34486.146002198046</c:v>
                </c:pt>
                <c:pt idx="278">
                  <c:v>-33263.153546649301</c:v>
                </c:pt>
                <c:pt idx="279">
                  <c:v>-31979.162826360604</c:v>
                </c:pt>
                <c:pt idx="280">
                  <c:v>-30630.422223292742</c:v>
                </c:pt>
                <c:pt idx="281">
                  <c:v>-29212.59779470136</c:v>
                </c:pt>
                <c:pt idx="282">
                  <c:v>-27720.643495303619</c:v>
                </c:pt>
                <c:pt idx="283">
                  <c:v>-26148.631909656586</c:v>
                </c:pt>
                <c:pt idx="284">
                  <c:v>-24489.530471938106</c:v>
                </c:pt>
                <c:pt idx="285">
                  <c:v>-22734.901569200498</c:v>
                </c:pt>
                <c:pt idx="286">
                  <c:v>-20874.495585246816</c:v>
                </c:pt>
                <c:pt idx="287">
                  <c:v>-18895.693769343208</c:v>
                </c:pt>
                <c:pt idx="288">
                  <c:v>-16782.746095758939</c:v>
                </c:pt>
                <c:pt idx="289">
                  <c:v>-14515.754891103627</c:v>
                </c:pt>
                <c:pt idx="290">
                  <c:v>-12069.44493039766</c:v>
                </c:pt>
                <c:pt idx="291">
                  <c:v>-9412.1758119087717</c:v>
                </c:pt>
                <c:pt idx="292">
                  <c:v>-6507.1581126164965</c:v>
                </c:pt>
                <c:pt idx="293">
                  <c:v>-3322.0735546177784</c:v>
                </c:pt>
                <c:pt idx="294">
                  <c:v>141.41580077241429</c:v>
                </c:pt>
                <c:pt idx="295">
                  <c:v>3804.836855364807</c:v>
                </c:pt>
                <c:pt idx="296">
                  <c:v>7518.1603127453172</c:v>
                </c:pt>
                <c:pt idx="297">
                  <c:v>11137.270225542918</c:v>
                </c:pt>
                <c:pt idx="298">
                  <c:v>14580.933656673391</c:v>
                </c:pt>
                <c:pt idx="299">
                  <c:v>17818.848765080282</c:v>
                </c:pt>
                <c:pt idx="300">
                  <c:v>20841.631153812486</c:v>
                </c:pt>
                <c:pt idx="301">
                  <c:v>23645.983550319863</c:v>
                </c:pt>
                <c:pt idx="302">
                  <c:v>26232.733850113709</c:v>
                </c:pt>
                <c:pt idx="303">
                  <c:v>28608.463614548378</c:v>
                </c:pt>
                <c:pt idx="304">
                  <c:v>30785.454132656068</c:v>
                </c:pt>
                <c:pt idx="305">
                  <c:v>32779.618275681045</c:v>
                </c:pt>
                <c:pt idx="306">
                  <c:v>34608.049221783578</c:v>
                </c:pt>
                <c:pt idx="307">
                  <c:v>36287.267647860019</c:v>
                </c:pt>
                <c:pt idx="308">
                  <c:v>37832.32017659914</c:v>
                </c:pt>
                <c:pt idx="309">
                  <c:v>39256.477385400598</c:v>
                </c:pt>
                <c:pt idx="310">
                  <c:v>40571.257469778655</c:v>
                </c:pt>
                <c:pt idx="311">
                  <c:v>41786.592613992412</c:v>
                </c:pt>
                <c:pt idx="312">
                  <c:v>42911.03879600369</c:v>
                </c:pt>
                <c:pt idx="313">
                  <c:v>43951.982331901243</c:v>
                </c:pt>
                <c:pt idx="314">
                  <c:v>44915.824574852326</c:v>
                </c:pt>
                <c:pt idx="315">
                  <c:v>45808.139751556191</c:v>
                </c:pt>
                <c:pt idx="316">
                  <c:v>46633.806844651735</c:v>
                </c:pt>
                <c:pt idx="317">
                  <c:v>47397.118628227327</c:v>
                </c:pt>
                <c:pt idx="318">
                  <c:v>48101.871461264273</c:v>
                </c:pt>
                <c:pt idx="319">
                  <c:v>48751.439232271994</c:v>
                </c:pt>
                <c:pt idx="320">
                  <c:v>49348.83439138814</c:v>
                </c:pt>
                <c:pt idx="321">
                  <c:v>49896.75850890002</c:v>
                </c:pt>
                <c:pt idx="322">
                  <c:v>50397.644343739725</c:v>
                </c:pt>
                <c:pt idx="323">
                  <c:v>50853.691018064732</c:v>
                </c:pt>
                <c:pt idx="324">
                  <c:v>51266.893576350012</c:v>
                </c:pt>
                <c:pt idx="325">
                  <c:v>51639.067951954363</c:v>
                </c:pt>
                <c:pt idx="326">
                  <c:v>51971.872160754407</c:v>
                </c:pt>
                <c:pt idx="327">
                  <c:v>52266.824380278893</c:v>
                </c:pt>
                <c:pt idx="328">
                  <c:v>52525.31844521228</c:v>
                </c:pt>
                <c:pt idx="329">
                  <c:v>52748.637189067187</c:v>
                </c:pt>
                <c:pt idx="330">
                  <c:v>52937.963981557084</c:v>
                </c:pt>
                <c:pt idx="331">
                  <c:v>53094.392747243641</c:v>
                </c:pt>
                <c:pt idx="332">
                  <c:v>53218.936699876824</c:v>
                </c:pt>
                <c:pt idx="333">
                  <c:v>53312.535985755836</c:v>
                </c:pt>
                <c:pt idx="334">
                  <c:v>53376.064396289323</c:v>
                </c:pt>
                <c:pt idx="335">
                  <c:v>53410.335283068496</c:v>
                </c:pt>
                <c:pt idx="336">
                  <c:v>53416.10678689702</c:v>
                </c:pt>
                <c:pt idx="337">
                  <c:v>53394.086474337513</c:v>
                </c:pt>
                <c:pt idx="338">
                  <c:v>53344.93546064468</c:v>
                </c:pt>
                <c:pt idx="339">
                  <c:v>53269.272085836506</c:v>
                </c:pt>
                <c:pt idx="340">
                  <c:v>53167.675200614562</c:v>
                </c:pt>
                <c:pt idx="341">
                  <c:v>53040.68711049165</c:v>
                </c:pt>
                <c:pt idx="342">
                  <c:v>52888.816219507687</c:v>
                </c:pt>
                <c:pt idx="343">
                  <c:v>52712.539409063676</c:v>
                </c:pt>
                <c:pt idx="344">
                  <c:v>52512.304182478489</c:v>
                </c:pt>
                <c:pt idx="345">
                  <c:v>52288.530601711762</c:v>
                </c:pt>
                <c:pt idx="346">
                  <c:v>52041.613039167925</c:v>
                </c:pt>
                <c:pt idx="347">
                  <c:v>51771.921764494335</c:v>
                </c:pt>
                <c:pt idx="348">
                  <c:v>51479.804383723662</c:v>
                </c:pt>
                <c:pt idx="349">
                  <c:v>51165.587145915764</c:v>
                </c:pt>
                <c:pt idx="350">
                  <c:v>50829.576130568588</c:v>
                </c:pt>
                <c:pt idx="351">
                  <c:v>50472.058327442704</c:v>
                </c:pt>
                <c:pt idx="352">
                  <c:v>50093.302619039991</c:v>
                </c:pt>
                <c:pt idx="353">
                  <c:v>49693.560674760076</c:v>
                </c:pt>
                <c:pt idx="354">
                  <c:v>49273.067764701227</c:v>
                </c:pt>
                <c:pt idx="355">
                  <c:v>48832.043500151776</c:v>
                </c:pt>
                <c:pt idx="356">
                  <c:v>48370.692507015148</c:v>
                </c:pt>
                <c:pt idx="357">
                  <c:v>47889.205037709551</c:v>
                </c:pt>
                <c:pt idx="358">
                  <c:v>47387.757526469104</c:v>
                </c:pt>
                <c:pt idx="359">
                  <c:v>46866.513092435423</c:v>
                </c:pt>
                <c:pt idx="360">
                  <c:v>46325.621994458241</c:v>
                </c:pt>
                <c:pt idx="361">
                  <c:v>45765.222041112676</c:v>
                </c:pt>
                <c:pt idx="362">
                  <c:v>45185.438959083425</c:v>
                </c:pt>
                <c:pt idx="363">
                  <c:v>44586.386722757685</c:v>
                </c:pt>
                <c:pt idx="364">
                  <c:v>43968.167847605509</c:v>
                </c:pt>
                <c:pt idx="365">
                  <c:v>43330.873649706395</c:v>
                </c:pt>
                <c:pt idx="366">
                  <c:v>42674.584473603318</c:v>
                </c:pt>
                <c:pt idx="367">
                  <c:v>41999.369890530776</c:v>
                </c:pt>
                <c:pt idx="368">
                  <c:v>41305.288868973432</c:v>
                </c:pt>
                <c:pt idx="369">
                  <c:v>40592.389919470879</c:v>
                </c:pt>
                <c:pt idx="370">
                  <c:v>39860.711215597454</c:v>
                </c:pt>
                <c:pt idx="371">
                  <c:v>39110.280693122346</c:v>
                </c:pt>
                <c:pt idx="372">
                  <c:v>38341.116129507085</c:v>
                </c:pt>
                <c:pt idx="373">
                  <c:v>37553.225206139679</c:v>
                </c:pt>
                <c:pt idx="374">
                  <c:v>36746.605556059367</c:v>
                </c:pt>
                <c:pt idx="375">
                  <c:v>35921.244800421366</c:v>
                </c:pt>
                <c:pt idx="376">
                  <c:v>35077.120577624315</c:v>
                </c:pt>
                <c:pt idx="377">
                  <c:v>34214.20056992444</c:v>
                </c:pt>
                <c:pt idx="378">
                  <c:v>33332.442533555659</c:v>
                </c:pt>
                <c:pt idx="379">
                  <c:v>32431.794339951735</c:v>
                </c:pt>
                <c:pt idx="380">
                  <c:v>31512.1940377424</c:v>
                </c:pt>
                <c:pt idx="381">
                  <c:v>30573.569947927968</c:v>
                </c:pt>
                <c:pt idx="382">
                  <c:v>29615.84080823863</c:v>
                </c:pt>
                <c:pt idx="383">
                  <c:v>28638.915987443928</c:v>
                </c:pt>
                <c:pt idx="384">
                  <c:v>27642.69579668899</c:v>
                </c:pt>
                <c:pt idx="385">
                  <c:v>26627.071933337891</c:v>
                </c:pt>
                <c:pt idx="386">
                  <c:v>25591.928104050752</c:v>
                </c:pt>
                <c:pt idx="387">
                  <c:v>24537.140888953334</c:v>
                </c:pt>
                <c:pt idx="388">
                  <c:v>23462.580929242729</c:v>
                </c:pt>
                <c:pt idx="389">
                  <c:v>22368.11454848442</c:v>
                </c:pt>
                <c:pt idx="390">
                  <c:v>21253.605956153995</c:v>
                </c:pt>
                <c:pt idx="391">
                  <c:v>20118.92023491548</c:v>
                </c:pt>
                <c:pt idx="392">
                  <c:v>18963.927386874086</c:v>
                </c:pt>
                <c:pt idx="393">
                  <c:v>17788.507817601268</c:v>
                </c:pt>
                <c:pt idx="394">
                  <c:v>16592.559783359007</c:v>
                </c:pt>
                <c:pt idx="395">
                  <c:v>15376.009536277967</c:v>
                </c:pt>
                <c:pt idx="396">
                  <c:v>14138.825203488055</c:v>
                </c:pt>
                <c:pt idx="397">
                  <c:v>12881.035872942368</c:v>
                </c:pt>
                <c:pt idx="398">
                  <c:v>11602.757995787353</c:v>
                </c:pt>
                <c:pt idx="399">
                  <c:v>10304.232148201691</c:v>
                </c:pt>
                <c:pt idx="400">
                  <c:v>8985.8745620964783</c:v>
                </c:pt>
                <c:pt idx="401">
                  <c:v>7648.3498211299147</c:v>
                </c:pt>
                <c:pt idx="402">
                  <c:v>6292.6739503331664</c:v>
                </c:pt>
                <c:pt idx="403">
                  <c:v>4920.360979820116</c:v>
                </c:pt>
                <c:pt idx="404">
                  <c:v>3533.6307590532633</c:v>
                </c:pt>
                <c:pt idx="405">
                  <c:v>2135.6999114681876</c:v>
                </c:pt>
                <c:pt idx="406">
                  <c:v>731.17627986737966</c:v>
                </c:pt>
                <c:pt idx="407">
                  <c:v>-673.44441474990333</c:v>
                </c:pt>
                <c:pt idx="408">
                  <c:v>-2069.2578340545592</c:v>
                </c:pt>
                <c:pt idx="409">
                  <c:v>-3444.6854006012504</c:v>
                </c:pt>
                <c:pt idx="410">
                  <c:v>-4786.1486952658261</c:v>
                </c:pt>
                <c:pt idx="411">
                  <c:v>-6080.8961638186438</c:v>
                </c:pt>
                <c:pt idx="412">
                  <c:v>-7323.216158413813</c:v>
                </c:pt>
                <c:pt idx="413">
                  <c:v>-8523.8380232603467</c:v>
                </c:pt>
                <c:pt idx="414">
                  <c:v>-9720.4160254198869</c:v>
                </c:pt>
                <c:pt idx="415">
                  <c:v>-10987.270226980725</c:v>
                </c:pt>
                <c:pt idx="416">
                  <c:v>-12429.707348747206</c:v>
                </c:pt>
                <c:pt idx="417">
                  <c:v>-14079.300794576589</c:v>
                </c:pt>
                <c:pt idx="418">
                  <c:v>-15787.958180456046</c:v>
                </c:pt>
                <c:pt idx="419">
                  <c:v>-17375.479725222158</c:v>
                </c:pt>
                <c:pt idx="420">
                  <c:v>-18770.46913257198</c:v>
                </c:pt>
                <c:pt idx="421">
                  <c:v>-19961.55082673701</c:v>
                </c:pt>
                <c:pt idx="422">
                  <c:v>-20957.534215981203</c:v>
                </c:pt>
                <c:pt idx="423">
                  <c:v>-21774.927278946572</c:v>
                </c:pt>
                <c:pt idx="424">
                  <c:v>-22432.918017626285</c:v>
                </c:pt>
                <c:pt idx="425">
                  <c:v>-22950.732675556814</c:v>
                </c:pt>
                <c:pt idx="426">
                  <c:v>-23346.250875082937</c:v>
                </c:pt>
                <c:pt idx="427">
                  <c:v>-23635.409126116869</c:v>
                </c:pt>
                <c:pt idx="428">
                  <c:v>-23832.068688092491</c:v>
                </c:pt>
                <c:pt idx="429">
                  <c:v>-23948.124430915566</c:v>
                </c:pt>
                <c:pt idx="430">
                  <c:v>-23993.717303907233</c:v>
                </c:pt>
                <c:pt idx="431">
                  <c:v>-23977.47471918516</c:v>
                </c:pt>
                <c:pt idx="432">
                  <c:v>-23906.74158549268</c:v>
                </c:pt>
                <c:pt idx="433">
                  <c:v>-23787.786381370908</c:v>
                </c:pt>
                <c:pt idx="434">
                  <c:v>-23625.977888727564</c:v>
                </c:pt>
                <c:pt idx="435">
                  <c:v>-23425.933527113455</c:v>
                </c:pt>
                <c:pt idx="436">
                  <c:v>-23191.642406421739</c:v>
                </c:pt>
                <c:pt idx="437">
                  <c:v>-22926.566823206831</c:v>
                </c:pt>
                <c:pt idx="438">
                  <c:v>-22633.725808297382</c:v>
                </c:pt>
                <c:pt idx="439">
                  <c:v>-22315.76392493851</c:v>
                </c:pt>
                <c:pt idx="440">
                  <c:v>-21975.008029463374</c:v>
                </c:pt>
                <c:pt idx="441">
                  <c:v>-21613.514236754898</c:v>
                </c:pt>
                <c:pt idx="442">
                  <c:v>-21233.10691842133</c:v>
                </c:pt>
                <c:pt idx="443">
                  <c:v>-20835.411212441813</c:v>
                </c:pt>
                <c:pt idx="444">
                  <c:v>-20421.880236202218</c:v>
                </c:pt>
                <c:pt idx="445">
                  <c:v>-19993.817962636906</c:v>
                </c:pt>
                <c:pt idx="446">
                  <c:v>-19552.398532752868</c:v>
                </c:pt>
                <c:pt idx="447">
                  <c:v>-19098.682628744129</c:v>
                </c:pt>
                <c:pt idx="448">
                  <c:v>-18633.631412900573</c:v>
                </c:pt>
                <c:pt idx="449">
                  <c:v>-18158.118442491774</c:v>
                </c:pt>
                <c:pt idx="450">
                  <c:v>-17672.939894823045</c:v>
                </c:pt>
                <c:pt idx="451">
                  <c:v>-17178.823375765616</c:v>
                </c:pt>
                <c:pt idx="452">
                  <c:v>-16676.435536122026</c:v>
                </c:pt>
                <c:pt idx="453">
                  <c:v>-16166.38868072874</c:v>
                </c:pt>
                <c:pt idx="454">
                  <c:v>-15649.246523273612</c:v>
                </c:pt>
                <c:pt idx="455">
                  <c:v>-15125.52921388422</c:v>
                </c:pt>
                <c:pt idx="456">
                  <c:v>-14595.7177454175</c:v>
                </c:pt>
                <c:pt idx="457">
                  <c:v>-14060.257827099897</c:v>
                </c:pt>
                <c:pt idx="458">
                  <c:v>-13519.563299977888</c:v>
                </c:pt>
                <c:pt idx="459">
                  <c:v>-12974.019156944882</c:v>
                </c:pt>
                <c:pt idx="460">
                  <c:v>-12423.984220437775</c:v>
                </c:pt>
                <c:pt idx="461">
                  <c:v>-11869.793522866916</c:v>
                </c:pt>
                <c:pt idx="462">
                  <c:v>-11311.760428153942</c:v>
                </c:pt>
                <c:pt idx="463">
                  <c:v>-10750.178527160206</c:v>
                </c:pt>
                <c:pt idx="464">
                  <c:v>-10185.323335098235</c:v>
                </c:pt>
                <c:pt idx="465">
                  <c:v>-9617.453815071829</c:v>
                </c:pt>
                <c:pt idx="466">
                  <c:v>-9046.8137485583175</c:v>
                </c:pt>
                <c:pt idx="467">
                  <c:v>-8473.632970824905</c:v>
                </c:pt>
                <c:pt idx="468">
                  <c:v>-7898.1284868743041</c:v>
                </c:pt>
                <c:pt idx="469">
                  <c:v>-7320.5054814731466</c:v>
                </c:pt>
                <c:pt idx="470">
                  <c:v>-6740.9582350724231</c:v>
                </c:pt>
                <c:pt idx="471">
                  <c:v>-6159.6709559349138</c:v>
                </c:pt>
                <c:pt idx="472">
                  <c:v>-5576.818537501068</c:v>
                </c:pt>
                <c:pt idx="473">
                  <c:v>-4992.5672489193676</c:v>
                </c:pt>
                <c:pt idx="474">
                  <c:v>-4407.075365712838</c:v>
                </c:pt>
                <c:pt idx="475">
                  <c:v>-3820.4937467273398</c:v>
                </c:pt>
                <c:pt idx="476">
                  <c:v>-3232.966362790622</c:v>
                </c:pt>
                <c:pt idx="477">
                  <c:v>-2644.6307818879827</c:v>
                </c:pt>
                <c:pt idx="478">
                  <c:v>-2055.6186151172465</c:v>
                </c:pt>
                <c:pt idx="479">
                  <c:v>-1466.0559272114431</c:v>
                </c:pt>
                <c:pt idx="480">
                  <c:v>-876.06361500236812</c:v>
                </c:pt>
                <c:pt idx="481">
                  <c:v>-285.75775683408784</c:v>
                </c:pt>
                <c:pt idx="482">
                  <c:v>304.75006438456592</c:v>
                </c:pt>
                <c:pt idx="483">
                  <c:v>895.35246208121532</c:v>
                </c:pt>
                <c:pt idx="484">
                  <c:v>1485.9459687161302</c:v>
                </c:pt>
                <c:pt idx="485">
                  <c:v>2076.4307783343111</c:v>
                </c:pt>
                <c:pt idx="486">
                  <c:v>2666.7105072288336</c:v>
                </c:pt>
                <c:pt idx="487">
                  <c:v>3256.6919711432906</c:v>
                </c:pt>
                <c:pt idx="488">
                  <c:v>3846.2849775943337</c:v>
                </c:pt>
                <c:pt idx="489">
                  <c:v>4435.4021320316306</c:v>
                </c:pt>
                <c:pt idx="490">
                  <c:v>5023.9586566739845</c:v>
                </c:pt>
                <c:pt idx="491">
                  <c:v>5611.8722209687594</c:v>
                </c:pt>
                <c:pt idx="492">
                  <c:v>6199.0627827186117</c:v>
                </c:pt>
                <c:pt idx="493">
                  <c:v>6785.4524390062434</c:v>
                </c:pt>
                <c:pt idx="494">
                  <c:v>7370.9652861255618</c:v>
                </c:pt>
                <c:pt idx="495">
                  <c:v>7955.5272877973748</c:v>
                </c:pt>
                <c:pt idx="496">
                  <c:v>8539.0661510103928</c:v>
                </c:pt>
                <c:pt idx="497">
                  <c:v>9121.511208884649</c:v>
                </c:pt>
                <c:pt idx="498">
                  <c:v>9702.793310005216</c:v>
                </c:pt>
                <c:pt idx="499">
                  <c:v>10282.844713719851</c:v>
                </c:pt>
                <c:pt idx="500">
                  <c:v>10861.59899093547</c:v>
                </c:pt>
                <c:pt idx="501">
                  <c:v>11438.990929985703</c:v>
                </c:pt>
                <c:pt idx="502">
                  <c:v>12014.956447175444</c:v>
                </c:pt>
                <c:pt idx="503">
                  <c:v>12589.432501638905</c:v>
                </c:pt>
                <c:pt idx="504">
                  <c:v>13162.357014175224</c:v>
                </c:pt>
                <c:pt idx="505">
                  <c:v>13733.668789750818</c:v>
                </c:pt>
                <c:pt idx="506">
                  <c:v>14303.307443380265</c:v>
                </c:pt>
                <c:pt idx="507">
                  <c:v>14871.213329118204</c:v>
                </c:pt>
                <c:pt idx="508">
                  <c:v>15437.327471913301</c:v>
                </c:pt>
                <c:pt idx="509">
                  <c:v>16001.591502092368</c:v>
                </c:pt>
                <c:pt idx="510">
                  <c:v>16563.947592258046</c:v>
                </c:pt>
                <c:pt idx="511">
                  <c:v>17124.338396397441</c:v>
                </c:pt>
                <c:pt idx="512">
                  <c:v>17682.706991011728</c:v>
                </c:pt>
                <c:pt idx="513">
                  <c:v>18238.996818088195</c:v>
                </c:pt>
                <c:pt idx="514">
                  <c:v>18793.151629746622</c:v>
                </c:pt>
                <c:pt idx="515">
                  <c:v>19345.115434401214</c:v>
                </c:pt>
                <c:pt idx="516">
                  <c:v>19894.832444287771</c:v>
                </c:pt>
                <c:pt idx="517">
                  <c:v>20442.247024213448</c:v>
                </c:pt>
                <c:pt idx="518">
                  <c:v>20987.303641393264</c:v>
                </c:pt>
                <c:pt idx="519">
                  <c:v>21529.946816243617</c:v>
                </c:pt>
                <c:pt idx="520">
                  <c:v>22070.121074008559</c:v>
                </c:pt>
                <c:pt idx="521">
                  <c:v>22607.77089709937</c:v>
                </c:pt>
                <c:pt idx="522">
                  <c:v>23142.840678032182</c:v>
                </c:pt>
                <c:pt idx="523">
                  <c:v>23675.274672852123</c:v>
                </c:pt>
                <c:pt idx="524">
                  <c:v>24205.016954935578</c:v>
                </c:pt>
                <c:pt idx="525">
                  <c:v>24732.0113690648</c:v>
                </c:pt>
                <c:pt idx="526">
                  <c:v>25256.201485671307</c:v>
                </c:pt>
                <c:pt idx="527">
                  <c:v>25777.530555146212</c:v>
                </c:pt>
                <c:pt idx="528">
                  <c:v>26295.94146211688</c:v>
                </c:pt>
                <c:pt idx="529">
                  <c:v>26811.376679590216</c:v>
                </c:pt>
                <c:pt idx="530">
                  <c:v>27323.778222863217</c:v>
                </c:pt>
                <c:pt idx="531">
                  <c:v>27833.087603101518</c:v>
                </c:pt>
                <c:pt idx="532">
                  <c:v>28339.245780486188</c:v>
                </c:pt>
                <c:pt idx="533">
                  <c:v>28842.193116828286</c:v>
                </c:pt>
                <c:pt idx="534">
                  <c:v>29341.869327549332</c:v>
                </c:pt>
                <c:pt idx="535">
                  <c:v>29838.213432924356</c:v>
                </c:pt>
                <c:pt idx="536">
                  <c:v>30331.163708481985</c:v>
                </c:pt>
                <c:pt idx="537">
                  <c:v>30820.657634453528</c:v>
                </c:pt>
                <c:pt idx="538">
                  <c:v>31306.631844160096</c:v>
                </c:pt>
                <c:pt idx="539">
                  <c:v>31789.022071223306</c:v>
                </c:pt>
                <c:pt idx="540">
                  <c:v>32267.763095481208</c:v>
                </c:pt>
                <c:pt idx="541">
                  <c:v>32742.788687486591</c:v>
                </c:pt>
                <c:pt idx="542">
                  <c:v>33214.031551459884</c:v>
                </c:pt>
                <c:pt idx="543">
                  <c:v>33681.423266563266</c:v>
                </c:pt>
                <c:pt idx="544">
                  <c:v>34144.89422635649</c:v>
                </c:pt>
                <c:pt idx="545">
                  <c:v>34604.373576287973</c:v>
                </c:pt>
                <c:pt idx="546">
                  <c:v>35059.789149067401</c:v>
                </c:pt>
                <c:pt idx="547">
                  <c:v>35511.06739775763</c:v>
                </c:pt>
                <c:pt idx="548">
                  <c:v>35958.133326414718</c:v>
                </c:pt>
                <c:pt idx="549">
                  <c:v>36400.910418095045</c:v>
                </c:pt>
                <c:pt idx="550">
                  <c:v>36839.320560037486</c:v>
                </c:pt>
                <c:pt idx="551">
                  <c:v>37273.28396581683</c:v>
                </c:pt>
                <c:pt idx="552">
                  <c:v>37702.71909425169</c:v>
                </c:pt>
                <c:pt idx="553">
                  <c:v>38127.542564835901</c:v>
                </c:pt>
                <c:pt idx="554">
                  <c:v>38547.669069446936</c:v>
                </c:pt>
                <c:pt idx="555">
                  <c:v>38963.011280068073</c:v>
                </c:pt>
                <c:pt idx="556">
                  <c:v>39373.4797522425</c:v>
                </c:pt>
                <c:pt idx="557">
                  <c:v>39778.98282395734</c:v>
                </c:pt>
                <c:pt idx="558">
                  <c:v>40179.426509633631</c:v>
                </c:pt>
                <c:pt idx="559">
                  <c:v>40574.714388874119</c:v>
                </c:pt>
                <c:pt idx="560">
                  <c:v>40964.747489594316</c:v>
                </c:pt>
                <c:pt idx="561">
                  <c:v>41349.424165133467</c:v>
                </c:pt>
                <c:pt idx="562">
                  <c:v>41728.639964910362</c:v>
                </c:pt>
                <c:pt idx="563">
                  <c:v>42102.287498154117</c:v>
                </c:pt>
                <c:pt idx="564">
                  <c:v>42470.256290202226</c:v>
                </c:pt>
                <c:pt idx="565">
                  <c:v>42832.432630815958</c:v>
                </c:pt>
                <c:pt idx="566">
                  <c:v>43188.699413917464</c:v>
                </c:pt>
                <c:pt idx="567">
                  <c:v>43538.935968102145</c:v>
                </c:pt>
                <c:pt idx="568">
                  <c:v>43883.017877224054</c:v>
                </c:pt>
                <c:pt idx="569">
                  <c:v>44220.816790290482</c:v>
                </c:pt>
                <c:pt idx="570">
                  <c:v>44552.200219833991</c:v>
                </c:pt>
                <c:pt idx="571">
                  <c:v>44877.031327854835</c:v>
                </c:pt>
                <c:pt idx="572">
                  <c:v>45195.168698343579</c:v>
                </c:pt>
                <c:pt idx="573">
                  <c:v>45506.466095301374</c:v>
                </c:pt>
                <c:pt idx="574">
                  <c:v>45810.772205073001</c:v>
                </c:pt>
                <c:pt idx="575">
                  <c:v>46107.930361693892</c:v>
                </c:pt>
                <c:pt idx="576">
                  <c:v>46397.778253825643</c:v>
                </c:pt>
                <c:pt idx="577">
                  <c:v>46680.147611713321</c:v>
                </c:pt>
                <c:pt idx="578">
                  <c:v>46954.863872440081</c:v>
                </c:pt>
                <c:pt idx="579">
                  <c:v>47221.745821578275</c:v>
                </c:pt>
                <c:pt idx="580">
                  <c:v>47480.605209138841</c:v>
                </c:pt>
                <c:pt idx="581">
                  <c:v>47731.246337498975</c:v>
                </c:pt>
                <c:pt idx="582">
                  <c:v>47973.46561873937</c:v>
                </c:pt>
                <c:pt idx="583">
                  <c:v>48207.051098541633</c:v>
                </c:pt>
                <c:pt idx="584">
                  <c:v>48431.781943480681</c:v>
                </c:pt>
                <c:pt idx="585">
                  <c:v>48647.427888189341</c:v>
                </c:pt>
                <c:pt idx="586">
                  <c:v>48853.748638468234</c:v>
                </c:pt>
                <c:pt idx="587">
                  <c:v>49050.493225954851</c:v>
                </c:pt>
                <c:pt idx="588">
                  <c:v>49237.399309444401</c:v>
                </c:pt>
                <c:pt idx="589">
                  <c:v>49414.192417360631</c:v>
                </c:pt>
                <c:pt idx="590">
                  <c:v>49580.585125196412</c:v>
                </c:pt>
                <c:pt idx="591">
                  <c:v>49736.276160967587</c:v>
                </c:pt>
                <c:pt idx="592">
                  <c:v>49880.949430833018</c:v>
                </c:pt>
                <c:pt idx="593">
                  <c:v>50014.272956009918</c:v>
                </c:pt>
                <c:pt idx="594">
                  <c:v>50135.897710933205</c:v>
                </c:pt>
                <c:pt idx="595">
                  <c:v>50245.456351243673</c:v>
                </c:pt>
                <c:pt idx="596">
                  <c:v>50342.561818608985</c:v>
                </c:pt>
                <c:pt idx="597">
                  <c:v>50426.805807544719</c:v>
                </c:pt>
                <c:pt idx="598">
                  <c:v>50497.757077261987</c:v>
                </c:pt>
                <c:pt idx="599">
                  <c:v>50554.959589065904</c:v>
                </c:pt>
                <c:pt idx="600">
                  <c:v>50597.930446895407</c:v>
                </c:pt>
                <c:pt idx="601">
                  <c:v>50626.15761514382</c:v>
                </c:pt>
                <c:pt idx="602">
                  <c:v>50639.097383826782</c:v>
                </c:pt>
                <c:pt idx="603">
                  <c:v>50636.171546340971</c:v>
                </c:pt>
                <c:pt idx="604">
                  <c:v>50616.764249324704</c:v>
                </c:pt>
                <c:pt idx="605">
                  <c:v>50580.218467293678</c:v>
                </c:pt>
                <c:pt idx="606">
                  <c:v>50525.832046536882</c:v>
                </c:pt>
                <c:pt idx="607">
                  <c:v>50452.853252913977</c:v>
                </c:pt>
                <c:pt idx="608">
                  <c:v>50360.4757463118</c:v>
                </c:pt>
                <c:pt idx="609">
                  <c:v>50247.832890111153</c:v>
                </c:pt>
                <c:pt idx="610">
                  <c:v>50113.991286472068</c:v>
                </c:pt>
                <c:pt idx="611">
                  <c:v>49957.94340678634</c:v>
                </c:pt>
                <c:pt idx="612">
                  <c:v>49778.599160272141</c:v>
                </c:pt>
                <c:pt idx="613">
                  <c:v>49574.776211113975</c:v>
                </c:pt>
                <c:pt idx="614">
                  <c:v>49345.188814125417</c:v>
                </c:pt>
                <c:pt idx="615">
                  <c:v>49088.434888482348</c:v>
                </c:pt>
                <c:pt idx="616">
                  <c:v>48802.980985838512</c:v>
                </c:pt>
                <c:pt idx="617">
                  <c:v>48487.144729426887</c:v>
                </c:pt>
                <c:pt idx="618">
                  <c:v>48139.074199752613</c:v>
                </c:pt>
                <c:pt idx="619">
                  <c:v>47756.723613853203</c:v>
                </c:pt>
                <c:pt idx="620">
                  <c:v>47337.824480471478</c:v>
                </c:pt>
                <c:pt idx="621">
                  <c:v>46879.85120182352</c:v>
                </c:pt>
                <c:pt idx="622">
                  <c:v>46379.979819449029</c:v>
                </c:pt>
                <c:pt idx="623">
                  <c:v>45835.038248005359</c:v>
                </c:pt>
                <c:pt idx="624">
                  <c:v>45241.445882561238</c:v>
                </c:pt>
                <c:pt idx="625">
                  <c:v>44595.13987176941</c:v>
                </c:pt>
                <c:pt idx="626">
                  <c:v>43891.48458577499</c:v>
                </c:pt>
                <c:pt idx="627">
                  <c:v>43125.159837122294</c:v>
                </c:pt>
                <c:pt idx="628">
                  <c:v>42290.022209444098</c:v>
                </c:pt>
                <c:pt idx="629">
                  <c:v>41378.932428224245</c:v>
                </c:pt>
                <c:pt idx="630">
                  <c:v>40383.540200175688</c:v>
                </c:pt>
                <c:pt idx="631">
                  <c:v>39294.016758961414</c:v>
                </c:pt>
                <c:pt idx="632">
                  <c:v>38098.725523409179</c:v>
                </c:pt>
                <c:pt idx="633">
                  <c:v>36783.825226893103</c:v>
                </c:pt>
                <c:pt idx="634">
                  <c:v>35332.812971448075</c:v>
                </c:pt>
                <c:pt idx="635">
                  <c:v>33726.048094298647</c:v>
                </c:pt>
                <c:pt idx="636">
                  <c:v>31940.373095941348</c:v>
                </c:pt>
                <c:pt idx="637">
                  <c:v>29949.100622685521</c:v>
                </c:pt>
                <c:pt idx="638">
                  <c:v>27722.901867046858</c:v>
                </c:pt>
                <c:pt idx="639">
                  <c:v>25232.468432329377</c:v>
                </c:pt>
                <c:pt idx="640">
                  <c:v>22453.868954097285</c:v>
                </c:pt>
                <c:pt idx="641">
                  <c:v>19376.338080039561</c:v>
                </c:pt>
                <c:pt idx="642">
                  <c:v>16009.034210110489</c:v>
                </c:pt>
                <c:pt idx="643">
                  <c:v>12380.473674417928</c:v>
                </c:pt>
                <c:pt idx="644">
                  <c:v>8527.8266408687341</c:v>
                </c:pt>
                <c:pt idx="645">
                  <c:v>4482.0863649657713</c:v>
                </c:pt>
                <c:pt idx="646">
                  <c:v>256.14217716440464</c:v>
                </c:pt>
                <c:pt idx="647">
                  <c:v>-4166.1736342722597</c:v>
                </c:pt>
                <c:pt idx="648">
                  <c:v>-8829.3669557485173</c:v>
                </c:pt>
                <c:pt idx="649">
                  <c:v>-13738.95686603212</c:v>
                </c:pt>
                <c:pt idx="650">
                  <c:v>-18746.928212942712</c:v>
                </c:pt>
                <c:pt idx="651">
                  <c:v>-23614.264001911812</c:v>
                </c:pt>
                <c:pt idx="652">
                  <c:v>-28200.919702384883</c:v>
                </c:pt>
                <c:pt idx="653">
                  <c:v>-32493.263343781578</c:v>
                </c:pt>
                <c:pt idx="654">
                  <c:v>-36525.226880212504</c:v>
                </c:pt>
                <c:pt idx="655">
                  <c:v>-40335.943664344442</c:v>
                </c:pt>
                <c:pt idx="656">
                  <c:v>-43958.867772804137</c:v>
                </c:pt>
                <c:pt idx="657">
                  <c:v>-47420.764648469863</c:v>
                </c:pt>
                <c:pt idx="658">
                  <c:v>-50742.839925609172</c:v>
                </c:pt>
                <c:pt idx="659">
                  <c:v>-53942.023579190369</c:v>
                </c:pt>
                <c:pt idx="660">
                  <c:v>-57032.00888155985</c:v>
                </c:pt>
                <c:pt idx="661">
                  <c:v>-60024.027926904746</c:v>
                </c:pt>
                <c:pt idx="662">
                  <c:v>-62927.41949040108</c:v>
                </c:pt>
                <c:pt idx="663">
                  <c:v>-65750.045580815873</c:v>
                </c:pt>
                <c:pt idx="664">
                  <c:v>-68498.600039590034</c:v>
                </c:pt>
                <c:pt idx="665">
                  <c:v>-71178.840132597412</c:v>
                </c:pt>
                <c:pt idx="666">
                  <c:v>-73795.762751764865</c:v>
                </c:pt>
                <c:pt idx="667">
                  <c:v>-76353.740302433333</c:v>
                </c:pt>
                <c:pt idx="668">
                  <c:v>-78856.62686367135</c:v>
                </c:pt>
                <c:pt idx="669">
                  <c:v>-81307.842136723411</c:v>
                </c:pt>
                <c:pt idx="670">
                  <c:v>-83710.438582020957</c:v>
                </c:pt>
                <c:pt idx="671">
                  <c:v>-86067.155675150017</c:v>
                </c:pt>
                <c:pt idx="672">
                  <c:v>-88380.464178486945</c:v>
                </c:pt>
                <c:pt idx="673">
                  <c:v>-90652.602589485687</c:v>
                </c:pt>
                <c:pt idx="674">
                  <c:v>-92885.607396528168</c:v>
                </c:pt>
                <c:pt idx="675">
                  <c:v>-95081.338386774616</c:v>
                </c:pt>
                <c:pt idx="676">
                  <c:v>-97241.499965422525</c:v>
                </c:pt>
                <c:pt idx="677">
                  <c:v>-99367.65923326186</c:v>
                </c:pt>
                <c:pt idx="678">
                  <c:v>-101461.26140929786</c:v>
                </c:pt>
                <c:pt idx="679">
                  <c:v>-103523.64306338879</c:v>
                </c:pt>
                <c:pt idx="680">
                  <c:v>-105556.04353028977</c:v>
                </c:pt>
                <c:pt idx="681">
                  <c:v>-107559.61480401333</c:v>
                </c:pt>
                <c:pt idx="682">
                  <c:v>-109535.4301547978</c:v>
                </c:pt>
                <c:pt idx="683">
                  <c:v>-111484.49166639746</c:v>
                </c:pt>
                <c:pt idx="684">
                  <c:v>-113407.73685605293</c:v>
                </c:pt>
                <c:pt idx="685">
                  <c:v>-115306.04451126112</c:v>
                </c:pt>
                <c:pt idx="686">
                  <c:v>-117180.23985476077</c:v>
                </c:pt>
                <c:pt idx="687">
                  <c:v>-119031.09913078119</c:v>
                </c:pt>
                <c:pt idx="688">
                  <c:v>-120859.35369065352</c:v>
                </c:pt>
                <c:pt idx="689">
                  <c:v>-122665.69364364883</c:v>
                </c:pt>
                <c:pt idx="690">
                  <c:v>-124450.7711288415</c:v>
                </c:pt>
                <c:pt idx="691">
                  <c:v>-126215.20325547059</c:v>
                </c:pt>
                <c:pt idx="692">
                  <c:v>-127959.57475235481</c:v>
                </c:pt>
                <c:pt idx="693">
                  <c:v>-129684.44036114072</c:v>
                </c:pt>
                <c:pt idx="694">
                  <c:v>-131390.32700332234</c:v>
                </c:pt>
                <c:pt idx="695">
                  <c:v>-133077.73574689237</c:v>
                </c:pt>
                <c:pt idx="696">
                  <c:v>-134747.14359503938</c:v>
                </c:pt>
                <c:pt idx="697">
                  <c:v>-136399.00511637994</c:v>
                </c:pt>
                <c:pt idx="698">
                  <c:v>-138033.75393372448</c:v>
                </c:pt>
                <c:pt idx="699">
                  <c:v>-139651.80408624667</c:v>
                </c:pt>
                <c:pt idx="700">
                  <c:v>-141253.55127809994</c:v>
                </c:pt>
                <c:pt idx="701">
                  <c:v>-142839.37402495588</c:v>
                </c:pt>
                <c:pt idx="702">
                  <c:v>-144409.63470858254</c:v>
                </c:pt>
                <c:pt idx="703">
                  <c:v>-145964.68054840923</c:v>
                </c:pt>
                <c:pt idx="704">
                  <c:v>-147504.84449800552</c:v>
                </c:pt>
                <c:pt idx="705">
                  <c:v>-149030.44607351694</c:v>
                </c:pt>
                <c:pt idx="706">
                  <c:v>-150541.79212032672</c:v>
                </c:pt>
                <c:pt idx="707">
                  <c:v>-152039.17752353669</c:v>
                </c:pt>
                <c:pt idx="708">
                  <c:v>-153522.88586726726</c:v>
                </c:pt>
                <c:pt idx="709">
                  <c:v>-154993.19004725566</c:v>
                </c:pt>
                <c:pt idx="710">
                  <c:v>-156450.35284077196</c:v>
                </c:pt>
                <c:pt idx="711">
                  <c:v>-157894.62743746751</c:v>
                </c:pt>
                <c:pt idx="712">
                  <c:v>-159326.25793441074</c:v>
                </c:pt>
                <c:pt idx="713">
                  <c:v>-160745.47979824847</c:v>
                </c:pt>
                <c:pt idx="714">
                  <c:v>-162152.52029714745</c:v>
                </c:pt>
                <c:pt idx="715">
                  <c:v>-163547.59890491943</c:v>
                </c:pt>
                <c:pt idx="716">
                  <c:v>-164930.92767950951</c:v>
                </c:pt>
                <c:pt idx="717">
                  <c:v>-166302.71161782625</c:v>
                </c:pt>
                <c:pt idx="718">
                  <c:v>-167663.14898871351</c:v>
                </c:pt>
                <c:pt idx="719">
                  <c:v>-169012.43164570292</c:v>
                </c:pt>
                <c:pt idx="720">
                  <c:v>-170350.74532104167</c:v>
                </c:pt>
                <c:pt idx="721">
                  <c:v>-171678.26990236077</c:v>
                </c:pt>
                <c:pt idx="722">
                  <c:v>-172995.17969323165</c:v>
                </c:pt>
                <c:pt idx="723">
                  <c:v>-174301.64365875412</c:v>
                </c:pt>
                <c:pt idx="724">
                  <c:v>-175597.82565722326</c:v>
                </c:pt>
                <c:pt idx="725">
                  <c:v>-176883.88465883621</c:v>
                </c:pt>
                <c:pt idx="726">
                  <c:v>-178159.97495232281</c:v>
                </c:pt>
                <c:pt idx="727">
                  <c:v>-179426.24634031241</c:v>
                </c:pt>
                <c:pt idx="728">
                  <c:v>-180682.84432418534</c:v>
                </c:pt>
                <c:pt idx="729">
                  <c:v>-181929.91027909869</c:v>
                </c:pt>
                <c:pt idx="730">
                  <c:v>-183167.58161982373</c:v>
                </c:pt>
                <c:pt idx="731">
                  <c:v>-184395.9919579823</c:v>
                </c:pt>
                <c:pt idx="732">
                  <c:v>-185615.27125122689</c:v>
                </c:pt>
                <c:pt idx="733">
                  <c:v>-186825.54594486725</c:v>
                </c:pt>
                <c:pt idx="734">
                  <c:v>-188026.93910641051</c:v>
                </c:pt>
                <c:pt idx="735">
                  <c:v>-189219.57055344697</c:v>
                </c:pt>
                <c:pt idx="736">
                  <c:v>-190403.55697528322</c:v>
                </c:pt>
                <c:pt idx="737">
                  <c:v>-191579.0120486957</c:v>
                </c:pt>
                <c:pt idx="738">
                  <c:v>-192746.04654815144</c:v>
                </c:pt>
                <c:pt idx="739">
                  <c:v>-193904.76845081852</c:v>
                </c:pt>
                <c:pt idx="740">
                  <c:v>-195055.28303666718</c:v>
                </c:pt>
                <c:pt idx="741">
                  <c:v>-196197.6929839417</c:v>
                </c:pt>
                <c:pt idx="742">
                  <c:v>-197332.09846026395</c:v>
                </c:pt>
                <c:pt idx="743">
                  <c:v>-198458.5972096133</c:v>
                </c:pt>
                <c:pt idx="744">
                  <c:v>-199577.28463541032</c:v>
                </c:pt>
                <c:pt idx="745">
                  <c:v>-200688.25387991747</c:v>
                </c:pt>
                <c:pt idx="746">
                  <c:v>-201791.59590015622</c:v>
                </c:pt>
                <c:pt idx="747">
                  <c:v>-202887.3995405274</c:v>
                </c:pt>
                <c:pt idx="748">
                  <c:v>-203975.75160230926</c:v>
                </c:pt>
                <c:pt idx="749">
                  <c:v>-205056.73691019759</c:v>
                </c:pt>
                <c:pt idx="750">
                  <c:v>-206130.43837604162</c:v>
                </c:pt>
                <c:pt idx="751">
                  <c:v>-207196.93705991979</c:v>
                </c:pt>
                <c:pt idx="752">
                  <c:v>-208256.31222869156</c:v>
                </c:pt>
                <c:pt idx="753">
                  <c:v>-209308.64141215224</c:v>
                </c:pt>
                <c:pt idx="754">
                  <c:v>-210354.00045691102</c:v>
                </c:pt>
                <c:pt idx="755">
                  <c:v>-211392.46357810489</c:v>
                </c:pt>
                <c:pt idx="756">
                  <c:v>-212424.10340905481</c:v>
                </c:pt>
                <c:pt idx="757">
                  <c:v>-213448.99104896412</c:v>
                </c:pt>
                <c:pt idx="758">
                  <c:v>-214467.1961087535</c:v>
                </c:pt>
                <c:pt idx="759">
                  <c:v>-215478.78675512163</c:v>
                </c:pt>
                <c:pt idx="760">
                  <c:v>-216483.82975291539</c:v>
                </c:pt>
                <c:pt idx="761">
                  <c:v>-217482.39050588896</c:v>
                </c:pt>
                <c:pt idx="762">
                  <c:v>-218474.53309592669</c:v>
                </c:pt>
                <c:pt idx="763">
                  <c:v>-219460.32032080059</c:v>
                </c:pt>
                <c:pt idx="764">
                  <c:v>-220439.81373052931</c:v>
                </c:pt>
                <c:pt idx="765">
                  <c:v>-221413.07366240205</c:v>
                </c:pt>
                <c:pt idx="766">
                  <c:v>-222380.15927472731</c:v>
                </c:pt>
                <c:pt idx="767">
                  <c:v>-223341.12857936329</c:v>
                </c:pt>
                <c:pt idx="768">
                  <c:v>-224296.03847308355</c:v>
                </c:pt>
                <c:pt idx="769">
                  <c:v>-225244.94476782941</c:v>
                </c:pt>
                <c:pt idx="770">
                  <c:v>-226187.9022198969</c:v>
                </c:pt>
                <c:pt idx="771">
                  <c:v>-227124.96455810452</c:v>
                </c:pt>
                <c:pt idx="772">
                  <c:v>-228056.1845109851</c:v>
                </c:pt>
                <c:pt idx="773">
                  <c:v>-228981.61383304338</c:v>
                </c:pt>
                <c:pt idx="774">
                  <c:v>-229901.30333011842</c:v>
                </c:pt>
                <c:pt idx="775">
                  <c:v>-230815.30288388819</c:v>
                </c:pt>
                <c:pt idx="776">
                  <c:v>-231723.66147555195</c:v>
                </c:pt>
                <c:pt idx="777">
                  <c:v>-232626.42720872414</c:v>
                </c:pt>
                <c:pt idx="778">
                  <c:v>-233523.64733157176</c:v>
                </c:pt>
                <c:pt idx="779">
                  <c:v>-234415.36825822602</c:v>
                </c:pt>
                <c:pt idx="780">
                  <c:v>-235301.63558949737</c:v>
                </c:pt>
                <c:pt idx="781">
                  <c:v>-236182.49413292148</c:v>
                </c:pt>
                <c:pt idx="782">
                  <c:v>-237057.98792216292</c:v>
                </c:pt>
                <c:pt idx="783">
                  <c:v>-237928.1602358013</c:v>
                </c:pt>
                <c:pt idx="784">
                  <c:v>-238793.05361552449</c:v>
                </c:pt>
                <c:pt idx="785">
                  <c:v>-239652.7098837512</c:v>
                </c:pt>
                <c:pt idx="786">
                  <c:v>-240507.17016070537</c:v>
                </c:pt>
                <c:pt idx="787">
                  <c:v>-241356.47488096287</c:v>
                </c:pt>
                <c:pt idx="788">
                  <c:v>-242200.66380949083</c:v>
                </c:pt>
                <c:pt idx="789">
                  <c:v>-243039.77605719827</c:v>
                </c:pt>
                <c:pt idx="790">
                  <c:v>-243873.85009601648</c:v>
                </c:pt>
                <c:pt idx="791">
                  <c:v>-244702.92377352668</c:v>
                </c:pt>
                <c:pt idx="792">
                  <c:v>-245527.03432715117</c:v>
                </c:pt>
                <c:pt idx="793">
                  <c:v>-246346.21839792444</c:v>
                </c:pt>
                <c:pt idx="794">
                  <c:v>-247160.51204385914</c:v>
                </c:pt>
                <c:pt idx="795">
                  <c:v>-247969.95075292143</c:v>
                </c:pt>
                <c:pt idx="796">
                  <c:v>-248774.56945563018</c:v>
                </c:pt>
                <c:pt idx="797">
                  <c:v>-249574.40253729271</c:v>
                </c:pt>
                <c:pt idx="798">
                  <c:v>-250369.48384989047</c:v>
                </c:pt>
                <c:pt idx="799">
                  <c:v>-251159.84672362657</c:v>
                </c:pt>
                <c:pt idx="800">
                  <c:v>-251945.52397814707</c:v>
                </c:pt>
                <c:pt idx="801">
                  <c:v>-252726.54793344735</c:v>
                </c:pt>
                <c:pt idx="802">
                  <c:v>-253502.95042047443</c:v>
                </c:pt>
                <c:pt idx="803">
                  <c:v>-254274.76279143538</c:v>
                </c:pt>
                <c:pt idx="804">
                  <c:v>-255042.01592982202</c:v>
                </c:pt>
                <c:pt idx="805">
                  <c:v>-255804.74026016149</c:v>
                </c:pt>
                <c:pt idx="806">
                  <c:v>-256562.96575750166</c:v>
                </c:pt>
                <c:pt idx="807">
                  <c:v>-257316.72195664054</c:v>
                </c:pt>
                <c:pt idx="808">
                  <c:v>-258066.03796110774</c:v>
                </c:pt>
                <c:pt idx="809">
                  <c:v>-258810.94245190639</c:v>
                </c:pt>
                <c:pt idx="810">
                  <c:v>-259551.46369602354</c:v>
                </c:pt>
                <c:pt idx="811">
                  <c:v>-260287.62955471603</c:v>
                </c:pt>
                <c:pt idx="812">
                  <c:v>-261019.46749157956</c:v>
                </c:pt>
                <c:pt idx="813">
                  <c:v>-261747.00458040761</c:v>
                </c:pt>
                <c:pt idx="814">
                  <c:v>-262470.2675128472</c:v>
                </c:pt>
                <c:pt idx="815">
                  <c:v>-263189.28260585741</c:v>
                </c:pt>
                <c:pt idx="816">
                  <c:v>-263904.07580897777</c:v>
                </c:pt>
                <c:pt idx="817">
                  <c:v>-264614.6727114112</c:v>
                </c:pt>
                <c:pt idx="818">
                  <c:v>-265321.09854892874</c:v>
                </c:pt>
                <c:pt idx="819">
                  <c:v>-266023.37821060017</c:v>
                </c:pt>
                <c:pt idx="820">
                  <c:v>-266721.53624535719</c:v>
                </c:pt>
                <c:pt idx="821">
                  <c:v>-267415.59686839295</c:v>
                </c:pt>
                <c:pt idx="822">
                  <c:v>-268105.58396740415</c:v>
                </c:pt>
                <c:pt idx="823">
                  <c:v>-268791.52110867959</c:v>
                </c:pt>
                <c:pt idx="824">
                  <c:v>-269473.43154304038</c:v>
                </c:pt>
                <c:pt idx="825">
                  <c:v>-270151.33821163548</c:v>
                </c:pt>
                <c:pt idx="826">
                  <c:v>-270825.26375159802</c:v>
                </c:pt>
                <c:pt idx="827">
                  <c:v>-271495.23050156521</c:v>
                </c:pt>
                <c:pt idx="828">
                  <c:v>-272161.26050706703</c:v>
                </c:pt>
                <c:pt idx="829">
                  <c:v>-272823.3755257866</c:v>
                </c:pt>
                <c:pt idx="830">
                  <c:v>-273481.59703269659</c:v>
                </c:pt>
                <c:pt idx="831">
                  <c:v>-274135.94622507499</c:v>
                </c:pt>
                <c:pt idx="832">
                  <c:v>-274786.44402740343</c:v>
                </c:pt>
                <c:pt idx="833">
                  <c:v>-275433.11109615228</c:v>
                </c:pt>
                <c:pt idx="834">
                  <c:v>-276075.96782445483</c:v>
                </c:pt>
                <c:pt idx="835">
                  <c:v>-276715.03434667381</c:v>
                </c:pt>
                <c:pt idx="836">
                  <c:v>-277350.3305428641</c:v>
                </c:pt>
                <c:pt idx="837">
                  <c:v>-277981.8760431335</c:v>
                </c:pt>
                <c:pt idx="838">
                  <c:v>-278609.69023190497</c:v>
                </c:pt>
                <c:pt idx="839">
                  <c:v>-279233.79225208302</c:v>
                </c:pt>
                <c:pt idx="840">
                  <c:v>-279854.20100912655</c:v>
                </c:pt>
                <c:pt idx="841">
                  <c:v>-280470.93517503142</c:v>
                </c:pt>
                <c:pt idx="842">
                  <c:v>-281084.01319222414</c:v>
                </c:pt>
                <c:pt idx="843">
                  <c:v>-281693.45327737025</c:v>
                </c:pt>
                <c:pt idx="844">
                  <c:v>-282299.27342509892</c:v>
                </c:pt>
                <c:pt idx="845">
                  <c:v>-282901.49141164625</c:v>
                </c:pt>
                <c:pt idx="846">
                  <c:v>-283500.12479841925</c:v>
                </c:pt>
                <c:pt idx="847">
                  <c:v>-284095.1909354832</c:v>
                </c:pt>
                <c:pt idx="848">
                  <c:v>-284686.70696497353</c:v>
                </c:pt>
                <c:pt idx="849">
                  <c:v>-285274.68982443528</c:v>
                </c:pt>
                <c:pt idx="850">
                  <c:v>-285859.15625009069</c:v>
                </c:pt>
                <c:pt idx="851">
                  <c:v>-286440.12278003799</c:v>
                </c:pt>
                <c:pt idx="852">
                  <c:v>-287017.60575738287</c:v>
                </c:pt>
                <c:pt idx="853">
                  <c:v>-287591.6213333038</c:v>
                </c:pt>
                <c:pt idx="854">
                  <c:v>-288162.18547005346</c:v>
                </c:pt>
                <c:pt idx="855">
                  <c:v>-288729.3139438979</c:v>
                </c:pt>
                <c:pt idx="856">
                  <c:v>-289293.02234799461</c:v>
                </c:pt>
                <c:pt idx="857">
                  <c:v>-289853.32609521167</c:v>
                </c:pt>
                <c:pt idx="858">
                  <c:v>-290410.24042088876</c:v>
                </c:pt>
                <c:pt idx="859">
                  <c:v>-290963.78038554179</c:v>
                </c:pt>
                <c:pt idx="860">
                  <c:v>-291513.96087751311</c:v>
                </c:pt>
                <c:pt idx="861">
                  <c:v>-292060.79661556741</c:v>
                </c:pt>
                <c:pt idx="862">
                  <c:v>-292604.30215143593</c:v>
                </c:pt>
                <c:pt idx="863">
                  <c:v>-293144.49187230936</c:v>
                </c:pt>
                <c:pt idx="864">
                  <c:v>-293681.38000328117</c:v>
                </c:pt>
                <c:pt idx="865">
                  <c:v>-294214.9806097424</c:v>
                </c:pt>
                <c:pt idx="866">
                  <c:v>-294745.3075997291</c:v>
                </c:pt>
                <c:pt idx="867">
                  <c:v>-295272.37472622341</c:v>
                </c:pt>
                <c:pt idx="868">
                  <c:v>-295796.19558940985</c:v>
                </c:pt>
                <c:pt idx="869">
                  <c:v>-296316.78363888728</c:v>
                </c:pt>
                <c:pt idx="870">
                  <c:v>-296834.15217583813</c:v>
                </c:pt>
                <c:pt idx="871">
                  <c:v>-297348.31435515557</c:v>
                </c:pt>
                <c:pt idx="872">
                  <c:v>-297859.28318752965</c:v>
                </c:pt>
                <c:pt idx="873">
                  <c:v>-298367.07154149347</c:v>
                </c:pt>
                <c:pt idx="874">
                  <c:v>-298871.69214543054</c:v>
                </c:pt>
                <c:pt idx="875">
                  <c:v>-299373.15758954344</c:v>
                </c:pt>
                <c:pt idx="876">
                  <c:v>-299871.48032778577</c:v>
                </c:pt>
                <c:pt idx="877">
                  <c:v>-300366.67267975729</c:v>
                </c:pt>
                <c:pt idx="878">
                  <c:v>-300858.74683256366</c:v>
                </c:pt>
                <c:pt idx="879">
                  <c:v>-301347.7148426412</c:v>
                </c:pt>
                <c:pt idx="880">
                  <c:v>-301833.58863754809</c:v>
                </c:pt>
                <c:pt idx="881">
                  <c:v>-302316.38001772179</c:v>
                </c:pt>
                <c:pt idx="882">
                  <c:v>-302796.10065820452</c:v>
                </c:pt>
                <c:pt idx="883">
                  <c:v>-303272.76211033657</c:v>
                </c:pt>
                <c:pt idx="884">
                  <c:v>-303746.37580341904</c:v>
                </c:pt>
                <c:pt idx="885">
                  <c:v>-304216.95304634573</c:v>
                </c:pt>
                <c:pt idx="886">
                  <c:v>-304684.5050292057</c:v>
                </c:pt>
                <c:pt idx="887">
                  <c:v>-305149.04282485676</c:v>
                </c:pt>
                <c:pt idx="888">
                  <c:v>-305610.57739047066</c:v>
                </c:pt>
                <c:pt idx="889">
                  <c:v>-306069.11956905026</c:v>
                </c:pt>
                <c:pt idx="890">
                  <c:v>-306524.68009091972</c:v>
                </c:pt>
                <c:pt idx="891">
                  <c:v>-306977.26957518817</c:v>
                </c:pt>
                <c:pt idx="892">
                  <c:v>-307426.89853118756</c:v>
                </c:pt>
                <c:pt idx="893">
                  <c:v>-307873.5773598844</c:v>
                </c:pt>
                <c:pt idx="894">
                  <c:v>-308317.31635526754</c:v>
                </c:pt>
                <c:pt idx="895">
                  <c:v>-308758.12570571073</c:v>
                </c:pt>
                <c:pt idx="896">
                  <c:v>-309196.01549531217</c:v>
                </c:pt>
                <c:pt idx="897">
                  <c:v>-309630.99570520991</c:v>
                </c:pt>
                <c:pt idx="898">
                  <c:v>-310063.07621487504</c:v>
                </c:pt>
                <c:pt idx="899">
                  <c:v>-310492.26680338208</c:v>
                </c:pt>
                <c:pt idx="900">
                  <c:v>-310918.57715065789</c:v>
                </c:pt>
                <c:pt idx="901">
                  <c:v>-311342.01683870866</c:v>
                </c:pt>
                <c:pt idx="902">
                  <c:v>-311762.59535282641</c:v>
                </c:pt>
                <c:pt idx="903">
                  <c:v>-312180.32208277448</c:v>
                </c:pt>
                <c:pt idx="904">
                  <c:v>-312595.206323953</c:v>
                </c:pt>
                <c:pt idx="905">
                  <c:v>-313007.25727854489</c:v>
                </c:pt>
                <c:pt idx="906">
                  <c:v>-313416.48405664228</c:v>
                </c:pt>
                <c:pt idx="907">
                  <c:v>-313822.89567735384</c:v>
                </c:pt>
                <c:pt idx="908">
                  <c:v>-314226.50106989394</c:v>
                </c:pt>
                <c:pt idx="909">
                  <c:v>-314627.30907465349</c:v>
                </c:pt>
                <c:pt idx="910">
                  <c:v>-315025.32844425272</c:v>
                </c:pt>
                <c:pt idx="911">
                  <c:v>-315420.56784457684</c:v>
                </c:pt>
                <c:pt idx="912">
                  <c:v>-315813.03585579444</c:v>
                </c:pt>
                <c:pt idx="913">
                  <c:v>-316202.74097335897</c:v>
                </c:pt>
                <c:pt idx="914">
                  <c:v>-316589.69160899398</c:v>
                </c:pt>
                <c:pt idx="915">
                  <c:v>-316973.89609166229</c:v>
                </c:pt>
                <c:pt idx="916">
                  <c:v>-317355.36266851902</c:v>
                </c:pt>
                <c:pt idx="917">
                  <c:v>-317734.09950584959</c:v>
                </c:pt>
                <c:pt idx="918">
                  <c:v>-318110.11468999204</c:v>
                </c:pt>
                <c:pt idx="919">
                  <c:v>-318483.41622824472</c:v>
                </c:pt>
                <c:pt idx="920">
                  <c:v>-318854.01204975939</c:v>
                </c:pt>
                <c:pt idx="921">
                  <c:v>-319221.91000641993</c:v>
                </c:pt>
                <c:pt idx="922">
                  <c:v>-319587.1178737068</c:v>
                </c:pt>
                <c:pt idx="923">
                  <c:v>-319949.643351548</c:v>
                </c:pt>
                <c:pt idx="924">
                  <c:v>-320309.49406515644</c:v>
                </c:pt>
                <c:pt idx="925">
                  <c:v>-320666.67756585364</c:v>
                </c:pt>
                <c:pt idx="926">
                  <c:v>-321021.20133188111</c:v>
                </c:pt>
                <c:pt idx="927">
                  <c:v>-321373.07276919828</c:v>
                </c:pt>
                <c:pt idx="928">
                  <c:v>-321722.2992122682</c:v>
                </c:pt>
                <c:pt idx="929">
                  <c:v>-322068.88792483107</c:v>
                </c:pt>
                <c:pt idx="930">
                  <c:v>-322412.84610066522</c:v>
                </c:pt>
                <c:pt idx="931">
                  <c:v>-322754.18086433661</c:v>
                </c:pt>
                <c:pt idx="932">
                  <c:v>-323092.89927193674</c:v>
                </c:pt>
                <c:pt idx="933">
                  <c:v>-323429.00831180869</c:v>
                </c:pt>
                <c:pt idx="934">
                  <c:v>-323762.51490526239</c:v>
                </c:pt>
                <c:pt idx="935">
                  <c:v>-324093.42590727872</c:v>
                </c:pt>
                <c:pt idx="936">
                  <c:v>-324421.74810720258</c:v>
                </c:pt>
                <c:pt idx="937">
                  <c:v>-324747.48822942574</c:v>
                </c:pt>
                <c:pt idx="938">
                  <c:v>-325070.65293405886</c:v>
                </c:pt>
                <c:pt idx="939">
                  <c:v>-325391.24881759356</c:v>
                </c:pt>
                <c:pt idx="940">
                  <c:v>-325709.28241355432</c:v>
                </c:pt>
                <c:pt idx="941">
                  <c:v>-326024.76019314025</c:v>
                </c:pt>
                <c:pt idx="942">
                  <c:v>-326337.68856585771</c:v>
                </c:pt>
                <c:pt idx="943">
                  <c:v>-326648.07388014277</c:v>
                </c:pt>
                <c:pt idx="944">
                  <c:v>-326955.92242397461</c:v>
                </c:pt>
                <c:pt idx="945">
                  <c:v>-327261.24042547995</c:v>
                </c:pt>
                <c:pt idx="946">
                  <c:v>-327564.03405352781</c:v>
                </c:pt>
                <c:pt idx="947">
                  <c:v>-327864.30941831594</c:v>
                </c:pt>
                <c:pt idx="948">
                  <c:v>-328162.07257194823</c:v>
                </c:pt>
                <c:pt idx="949">
                  <c:v>-328457.32950900355</c:v>
                </c:pt>
                <c:pt idx="950">
                  <c:v>-328750.08616709628</c:v>
                </c:pt>
                <c:pt idx="951">
                  <c:v>-329040.3484274284</c:v>
                </c:pt>
                <c:pt idx="952">
                  <c:v>-329328.12211533351</c:v>
                </c:pt>
                <c:pt idx="953">
                  <c:v>-329613.4130008127</c:v>
                </c:pt>
                <c:pt idx="954">
                  <c:v>-329896.2267990628</c:v>
                </c:pt>
                <c:pt idx="955">
                  <c:v>-330176.56917099666</c:v>
                </c:pt>
                <c:pt idx="956">
                  <c:v>-330454.44572375575</c:v>
                </c:pt>
                <c:pt idx="957">
                  <c:v>-330729.86201121547</c:v>
                </c:pt>
                <c:pt idx="958">
                  <c:v>-331002.82353448303</c:v>
                </c:pt>
                <c:pt idx="959">
                  <c:v>-331273.33574238798</c:v>
                </c:pt>
                <c:pt idx="960">
                  <c:v>-331541.40403196571</c:v>
                </c:pt>
                <c:pt idx="961">
                  <c:v>-331807.03374893387</c:v>
                </c:pt>
                <c:pt idx="962">
                  <c:v>-332070.23018816207</c:v>
                </c:pt>
                <c:pt idx="963">
                  <c:v>-332330.99859413435</c:v>
                </c:pt>
                <c:pt idx="964">
                  <c:v>-332589.34416140569</c:v>
                </c:pt>
                <c:pt idx="965">
                  <c:v>-332845.2720350512</c:v>
                </c:pt>
                <c:pt idx="966">
                  <c:v>-333098.78731110931</c:v>
                </c:pt>
                <c:pt idx="967">
                  <c:v>-333349.89503701864</c:v>
                </c:pt>
                <c:pt idx="968">
                  <c:v>-333598.6002120481</c:v>
                </c:pt>
                <c:pt idx="969">
                  <c:v>-333844.90778772155</c:v>
                </c:pt>
                <c:pt idx="970">
                  <c:v>-334088.82266823581</c:v>
                </c:pt>
                <c:pt idx="971">
                  <c:v>-334330.34971087304</c:v>
                </c:pt>
                <c:pt idx="972">
                  <c:v>-334569.493726407</c:v>
                </c:pt>
                <c:pt idx="973">
                  <c:v>-334806.2594795039</c:v>
                </c:pt>
                <c:pt idx="974">
                  <c:v>-335040.65168911713</c:v>
                </c:pt>
                <c:pt idx="975">
                  <c:v>-335272.67502887669</c:v>
                </c:pt>
                <c:pt idx="976">
                  <c:v>-335502.33412747306</c:v>
                </c:pt>
                <c:pt idx="977">
                  <c:v>-335729.63356903539</c:v>
                </c:pt>
                <c:pt idx="978">
                  <c:v>-335954.57789350481</c:v>
                </c:pt>
                <c:pt idx="979">
                  <c:v>-336177.17159700196</c:v>
                </c:pt>
                <c:pt idx="980">
                  <c:v>-336397.41913218965</c:v>
                </c:pt>
                <c:pt idx="981">
                  <c:v>-336615.32490863046</c:v>
                </c:pt>
                <c:pt idx="982">
                  <c:v>-336830.89329313906</c:v>
                </c:pt>
                <c:pt idx="983">
                  <c:v>-337044.12861012982</c:v>
                </c:pt>
                <c:pt idx="984">
                  <c:v>-337255.03514195926</c:v>
                </c:pt>
                <c:pt idx="985">
                  <c:v>-337463.61712926411</c:v>
                </c:pt>
                <c:pt idx="986">
                  <c:v>-337669.87877129408</c:v>
                </c:pt>
                <c:pt idx="987">
                  <c:v>-337873.82422624051</c:v>
                </c:pt>
                <c:pt idx="988">
                  <c:v>-338075.45761156006</c:v>
                </c:pt>
                <c:pt idx="989">
                  <c:v>-338274.78300429409</c:v>
                </c:pt>
                <c:pt idx="990">
                  <c:v>-338471.80444138334</c:v>
                </c:pt>
                <c:pt idx="991">
                  <c:v>-338666.52591997839</c:v>
                </c:pt>
                <c:pt idx="992">
                  <c:v>-338858.9513977457</c:v>
                </c:pt>
                <c:pt idx="993">
                  <c:v>-339049.08479316946</c:v>
                </c:pt>
                <c:pt idx="994">
                  <c:v>-339236.92998584924</c:v>
                </c:pt>
                <c:pt idx="995">
                  <c:v>-339422.49081679317</c:v>
                </c:pt>
                <c:pt idx="996">
                  <c:v>-339605.77108870749</c:v>
                </c:pt>
                <c:pt idx="997">
                  <c:v>-339786.77456628188</c:v>
                </c:pt>
                <c:pt idx="998">
                  <c:v>-339965.50497647049</c:v>
                </c:pt>
                <c:pt idx="999">
                  <c:v>-340141.96600876958</c:v>
                </c:pt>
                <c:pt idx="1000">
                  <c:v>-340316.16131549096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EE5-4D23-A2C1-FCA19EF93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486432"/>
        <c:axId val="1738488928"/>
      </c:scatterChart>
      <c:valAx>
        <c:axId val="1738486432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8488928"/>
        <c:crosses val="autoZero"/>
        <c:crossBetween val="midCat"/>
      </c:valAx>
      <c:valAx>
        <c:axId val="173848892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848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19051</xdr:colOff>
      <xdr:row>3</xdr:row>
      <xdr:rowOff>28576</xdr:rowOff>
    </xdr:from>
    <xdr:to>
      <xdr:col>32</xdr:col>
      <xdr:colOff>723900</xdr:colOff>
      <xdr:row>39</xdr:row>
      <xdr:rowOff>171451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DF248F1-21A2-4882-8FA0-163D111D72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3D7FB-883A-44C8-9413-934BFA04663C}">
  <sheetPr codeName="Feuil1"/>
  <dimension ref="B1:BV1010"/>
  <sheetViews>
    <sheetView tabSelected="1" topLeftCell="L1" workbookViewId="0">
      <selection activeCell="R20" sqref="R20"/>
    </sheetView>
  </sheetViews>
  <sheetFormatPr baseColWidth="10" defaultRowHeight="15"/>
  <cols>
    <col min="1" max="57" width="11.42578125" style="1"/>
    <col min="58" max="59" width="13.28515625" style="1" bestFit="1" customWidth="1"/>
    <col min="60" max="61" width="11.42578125" style="1"/>
    <col min="62" max="63" width="13.28515625" style="1" bestFit="1" customWidth="1"/>
    <col min="64" max="64" width="19.28515625" style="1" bestFit="1" customWidth="1"/>
    <col min="65" max="66" width="11.42578125" style="1"/>
    <col min="67" max="68" width="13.28515625" style="1" bestFit="1" customWidth="1"/>
    <col min="69" max="69" width="19.28515625" style="1" bestFit="1" customWidth="1"/>
    <col min="70" max="71" width="11.42578125" style="1"/>
    <col min="72" max="73" width="13.28515625" style="1" bestFit="1" customWidth="1"/>
    <col min="74" max="74" width="19.28515625" style="1" bestFit="1" customWidth="1"/>
    <col min="75" max="16384" width="11.42578125" style="1"/>
  </cols>
  <sheetData>
    <row r="1" spans="2:74" ht="15.75" thickBot="1"/>
    <row r="2" spans="2:74" ht="23.25" thickBot="1">
      <c r="B2" s="13" t="s">
        <v>0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5"/>
      <c r="S2" s="13" t="s">
        <v>24</v>
      </c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5"/>
    </row>
    <row r="4" spans="2:74" ht="20.25">
      <c r="C4" s="45" t="s">
        <v>1</v>
      </c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T4" s="16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8"/>
      <c r="BL4" s="11"/>
    </row>
    <row r="5" spans="2:74">
      <c r="D5" s="48" t="s">
        <v>16</v>
      </c>
      <c r="E5" s="34"/>
      <c r="F5" s="34"/>
      <c r="G5" s="34"/>
      <c r="H5" s="34"/>
      <c r="I5" s="34"/>
      <c r="J5" s="34"/>
      <c r="K5" s="34"/>
      <c r="L5" s="49"/>
      <c r="M5" s="46">
        <v>0.5</v>
      </c>
      <c r="N5" s="17"/>
      <c r="O5" s="46" t="s">
        <v>2</v>
      </c>
      <c r="P5" s="47"/>
      <c r="T5" s="19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1"/>
    </row>
    <row r="6" spans="2:74">
      <c r="E6" s="48" t="s">
        <v>17</v>
      </c>
      <c r="F6" s="34"/>
      <c r="G6" s="34"/>
      <c r="H6" s="34"/>
      <c r="I6" s="34"/>
      <c r="J6" s="34"/>
      <c r="K6" s="34"/>
      <c r="L6" s="49"/>
      <c r="M6" s="50">
        <v>0</v>
      </c>
      <c r="N6" s="51"/>
      <c r="O6" s="50" t="s">
        <v>3</v>
      </c>
      <c r="P6" s="52"/>
      <c r="T6" s="19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1"/>
      <c r="AK6" t="s">
        <v>25</v>
      </c>
      <c r="AL6" t="s">
        <v>26</v>
      </c>
      <c r="AM6" t="s">
        <v>27</v>
      </c>
    </row>
    <row r="7" spans="2:74">
      <c r="F7" s="48" t="s">
        <v>18</v>
      </c>
      <c r="G7" s="34"/>
      <c r="H7" s="34"/>
      <c r="I7" s="34"/>
      <c r="J7" s="34"/>
      <c r="K7" s="34"/>
      <c r="L7" s="49"/>
      <c r="M7" s="53">
        <v>2</v>
      </c>
      <c r="N7" s="23"/>
      <c r="O7" s="53" t="s">
        <v>4</v>
      </c>
      <c r="P7" s="54"/>
      <c r="T7" s="19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1"/>
      <c r="AK7" s="1">
        <v>0</v>
      </c>
      <c r="AL7" s="1">
        <f>AM7/112</f>
        <v>0.39269908169872414</v>
      </c>
      <c r="AM7" s="1">
        <f>AL122</f>
        <v>43.982297150257104</v>
      </c>
    </row>
    <row r="8" spans="2:74">
      <c r="T8" s="19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1"/>
    </row>
    <row r="9" spans="2:74">
      <c r="C9" s="45" t="s">
        <v>5</v>
      </c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T9" s="19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1"/>
      <c r="AK9" t="s">
        <v>28</v>
      </c>
      <c r="AL9"/>
      <c r="AN9" s="1" t="s">
        <v>9</v>
      </c>
      <c r="AQ9" s="1" t="s">
        <v>14</v>
      </c>
      <c r="AT9" s="1" t="s">
        <v>15</v>
      </c>
      <c r="AW9" s="12" t="s">
        <v>28</v>
      </c>
      <c r="AX9" s="12"/>
      <c r="AY9" s="12"/>
      <c r="AZ9" s="12" t="s">
        <v>50</v>
      </c>
      <c r="BA9" s="12" t="s">
        <v>51</v>
      </c>
      <c r="BB9" s="12"/>
      <c r="BC9" s="12" t="s">
        <v>52</v>
      </c>
      <c r="BD9" s="12" t="s">
        <v>53</v>
      </c>
      <c r="BE9" s="12"/>
      <c r="BF9" s="12" t="s">
        <v>54</v>
      </c>
      <c r="BG9" s="12" t="s">
        <v>55</v>
      </c>
      <c r="BH9" s="12"/>
      <c r="BI9" s="12" t="s">
        <v>56</v>
      </c>
      <c r="BJ9" s="12" t="s">
        <v>54</v>
      </c>
      <c r="BK9" s="12" t="s">
        <v>55</v>
      </c>
      <c r="BL9" s="12" t="s">
        <v>57</v>
      </c>
      <c r="BM9" s="12"/>
      <c r="BN9" s="12" t="s">
        <v>59</v>
      </c>
      <c r="BO9" s="12" t="s">
        <v>54</v>
      </c>
      <c r="BP9" s="12" t="s">
        <v>55</v>
      </c>
      <c r="BQ9" s="12" t="s">
        <v>57</v>
      </c>
      <c r="BR9" s="12"/>
      <c r="BS9" s="12" t="s">
        <v>58</v>
      </c>
      <c r="BT9" s="12" t="s">
        <v>54</v>
      </c>
      <c r="BU9" s="12" t="s">
        <v>55</v>
      </c>
      <c r="BV9" s="12" t="s">
        <v>57</v>
      </c>
    </row>
    <row r="10" spans="2:74">
      <c r="D10" s="48" t="s">
        <v>19</v>
      </c>
      <c r="E10" s="34"/>
      <c r="F10" s="34"/>
      <c r="G10" s="34"/>
      <c r="H10" s="34"/>
      <c r="I10" s="34"/>
      <c r="J10" s="34"/>
      <c r="K10" s="34"/>
      <c r="L10" s="34"/>
      <c r="M10" s="50">
        <v>1</v>
      </c>
      <c r="N10" s="51"/>
      <c r="O10" s="50" t="s">
        <v>6</v>
      </c>
      <c r="P10" s="52"/>
      <c r="T10" s="19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1"/>
      <c r="AK10">
        <v>0</v>
      </c>
      <c r="AL10">
        <f>AK7</f>
        <v>0</v>
      </c>
      <c r="AN10" s="1">
        <f xml:space="preserve"> COS(AL10) * $M$19 + $M$18</f>
        <v>25000</v>
      </c>
      <c r="AO10" s="1">
        <f xml:space="preserve"> SIN(AL10) * $M$19 + $N$18</f>
        <v>7500</v>
      </c>
      <c r="AQ10" s="1">
        <f xml:space="preserve"> COS(AL10) * $M$27 + $M$26</f>
        <v>-16500</v>
      </c>
      <c r="AR10" s="1">
        <f xml:space="preserve"> SIN(AL10) * $M$27 + $N$26</f>
        <v>10000</v>
      </c>
      <c r="AT10" s="1">
        <f xml:space="preserve"> COS(AL10) * $M$35 + $M$34</f>
        <v>0</v>
      </c>
      <c r="AU10" s="1">
        <f xml:space="preserve"> SIN(AL10) * $M$35 + $N$34</f>
        <v>-15000</v>
      </c>
      <c r="AW10" s="1">
        <v>0</v>
      </c>
      <c r="AX10" s="1">
        <f>AW10</f>
        <v>0</v>
      </c>
      <c r="AZ10" s="1">
        <f>M11</f>
        <v>0</v>
      </c>
      <c r="BA10" s="1">
        <f>N11</f>
        <v>0</v>
      </c>
      <c r="BC10" s="1">
        <f>M12</f>
        <v>0</v>
      </c>
      <c r="BD10" s="1">
        <f>N12</f>
        <v>0</v>
      </c>
      <c r="BF10" s="1">
        <f>BJ10 + BO10 + BT10</f>
        <v>119.16853330342627</v>
      </c>
      <c r="BG10" s="1">
        <f>BK10 + BP10 + BU10</f>
        <v>-760.51678598645651</v>
      </c>
      <c r="BJ10" s="1">
        <f>$M$22*($M$18 - AZ10)/ (SQRT(($M$18 - AZ10)^2 + ($N$18 - BA10)^2 )^2 + $M$23^2)^(3/2)</f>
        <v>798.22179539145645</v>
      </c>
      <c r="BK10" s="1">
        <f>$M$22*($N$18 - BA10)/ (SQRT(($M$18 - AZ10)^2 + ($N$18 - BA10)^2 )^2 + $M$23^2)^(3/2)</f>
        <v>299.33317327179617</v>
      </c>
      <c r="BL10" s="1">
        <f>SQRT(($M$18 - AZ10)^2 + ($N$18 - BA10)^2 )</f>
        <v>21360.00936329383</v>
      </c>
      <c r="BO10" s="1">
        <f>$M$30*($M$26 - AZ10)/ (SQRT(($M$26 - AZ10)^2 + ($N$26 - BA10)^2 )^2 + $M$31^2)^(3/2)</f>
        <v>-279.23137914452508</v>
      </c>
      <c r="BP10" s="1">
        <f>$M$30*($N$26 - BA10)/ (SQRT(($M$26 - AZ10)^2 + ($N$26 - BA10)^2 )^2 + $M$31^2)^(3/2)</f>
        <v>139.61568957226254</v>
      </c>
      <c r="BQ10" s="1">
        <f>SQRT(($M$26 - AZ10)^2 + ($N$26 - BA10)^2)</f>
        <v>22360.679774997898</v>
      </c>
      <c r="BT10" s="1">
        <f>$M$38*($M$34 - AZ10)/ (SQRT(($M$34 - AZ10)^2 + ($N$34 - BA10)^2 )^2 + $M$39^2)^(3/2)</f>
        <v>-399.82188294350505</v>
      </c>
      <c r="BU10" s="1">
        <f>$M$38*($N$34 - BA10)/ (SQRT(($M$34 - AZ10)^2 + ($N$34 - BA10)^2 )^2 + $M$39^2)^(3/2)</f>
        <v>-1199.4656488305152</v>
      </c>
      <c r="BV10" s="1">
        <f>SQRT(($M$34 - AZ10)^2 + ($N$34 - BA10)^2 )</f>
        <v>15811.388300841896</v>
      </c>
    </row>
    <row r="11" spans="2:74">
      <c r="E11" s="48" t="s">
        <v>20</v>
      </c>
      <c r="F11" s="34"/>
      <c r="G11" s="34"/>
      <c r="H11" s="34"/>
      <c r="I11" s="34"/>
      <c r="J11" s="34"/>
      <c r="K11" s="34"/>
      <c r="L11" s="34"/>
      <c r="M11" s="3">
        <v>0</v>
      </c>
      <c r="N11" s="2">
        <v>0</v>
      </c>
      <c r="O11" s="50" t="s">
        <v>7</v>
      </c>
      <c r="P11" s="52"/>
      <c r="T11" s="19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1"/>
      <c r="AK11" s="1">
        <v>1</v>
      </c>
      <c r="AL11" s="1">
        <f>AL10+$AL$7</f>
        <v>0.39269908169872414</v>
      </c>
      <c r="AN11" s="1">
        <f xml:space="preserve"> COS(AL11) * $M$19 + $M$18</f>
        <v>24619.397662556432</v>
      </c>
      <c r="AO11" s="1">
        <f t="shared" ref="AO11:AO74" si="0" xml:space="preserve"> SIN(AL11) * $M$19 + $N$18</f>
        <v>9413.4171618254495</v>
      </c>
      <c r="AQ11" s="1">
        <f t="shared" ref="AQ11:AQ74" si="1" xml:space="preserve"> COS(AL11) * $M$27 + $M$26</f>
        <v>-16766.421636210496</v>
      </c>
      <c r="AR11" s="1">
        <f t="shared" ref="AR11:AR74" si="2" xml:space="preserve"> SIN(AL11) * $M$27 + $N$26</f>
        <v>11339.392013277815</v>
      </c>
      <c r="AT11" s="1">
        <f t="shared" ref="AT11:AT74" si="3" xml:space="preserve"> COS(AL11) * $M$35 + $M$34</f>
        <v>-380.60233744356628</v>
      </c>
      <c r="AU11" s="1">
        <f t="shared" ref="AU11:AU74" si="4" xml:space="preserve"> SIN(AL11) * $M$35 + $N$34</f>
        <v>-13086.58283817455</v>
      </c>
      <c r="AW11" s="1">
        <v>1</v>
      </c>
      <c r="AX11" s="1">
        <f>AX10+$M$5</f>
        <v>0.5</v>
      </c>
      <c r="AZ11" s="1">
        <f>AZ10 + BC10 * $M$5 + 0.5 * BF10 * POWER($M$5, 2)</f>
        <v>14.896066662928284</v>
      </c>
      <c r="BA11" s="1">
        <f>BA10+BD10*$M$5+0.5*BG10* POWER($M$5, 2)</f>
        <v>-95.064598248307064</v>
      </c>
      <c r="BC11" s="1">
        <f>BC10 + BF10 * $M$5</f>
        <v>59.584266651713136</v>
      </c>
      <c r="BD11" s="1">
        <f>BD10+BG10*$M$5</f>
        <v>-380.25839299322826</v>
      </c>
      <c r="BF11" s="1">
        <f t="shared" ref="BF11:BF74" si="5">BJ11 + BO11 + BT11</f>
        <v>112.60116813851005</v>
      </c>
      <c r="BG11" s="1">
        <f t="shared" ref="BG11:BG74" si="6">BK11 + BP11 + BU11</f>
        <v>-763.33122122422583</v>
      </c>
      <c r="BJ11" s="1">
        <f>$M$22*($M$18 - AZ11)/ (SQRT(($M$18 - AZ11)^2 + ($N$18 - BA11)^2 )^2 + $M$23^2)^(3/2)</f>
        <v>795.82523824226018</v>
      </c>
      <c r="BK11" s="1">
        <f t="shared" ref="BK11:BK74" si="7">$M$22*($N$18 - BA11)/ (SQRT(($M$18 - AZ11)^2 + ($N$18 - BA11)^2 )^2 + $M$23^2)^(3/2)</f>
        <v>302.44246482420186</v>
      </c>
      <c r="BO11" s="1">
        <f t="shared" ref="BO11:BO74" si="8">$M$30*($M$26 - AZ11)/ (SQRT(($M$26 - AZ11)^2 + ($N$26 - BA11)^2 )^2 + $M$31^2)^(3/2)</f>
        <v>-277.53659386448641</v>
      </c>
      <c r="BP11" s="1">
        <f t="shared" ref="BP11:BP74" si="9">$M$30*($N$26 - BA11)/ (SQRT(($M$26 - AZ11)^2 + ($N$26 - BA11)^2 )^2 + $M$31^2)^(3/2)</f>
        <v>139.983232194067</v>
      </c>
      <c r="BT11" s="1">
        <f t="shared" ref="BT11:BT74" si="10">$M$38*($M$34 - AZ11)/ (SQRT(($M$34 - AZ11)^2 + ($N$34 - BA11)^2 )^2 + $M$39^2)^(3/2)</f>
        <v>-405.68747623926379</v>
      </c>
      <c r="BU11" s="1">
        <f t="shared" ref="BU11:BU74" si="11">$M$38*($N$34 - BA11)/ (SQRT(($M$34 - AZ11)^2 + ($N$34 - BA11)^2 )^2 + $M$39^2)^(3/2)</f>
        <v>-1205.7569182424947</v>
      </c>
    </row>
    <row r="12" spans="2:74">
      <c r="F12" s="48" t="s">
        <v>21</v>
      </c>
      <c r="G12" s="34"/>
      <c r="H12" s="34"/>
      <c r="I12" s="34"/>
      <c r="J12" s="34"/>
      <c r="K12" s="34"/>
      <c r="L12" s="34"/>
      <c r="M12" s="3">
        <v>0</v>
      </c>
      <c r="N12" s="2">
        <v>0</v>
      </c>
      <c r="O12" s="50" t="s">
        <v>3</v>
      </c>
      <c r="P12" s="52"/>
      <c r="T12" s="19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1"/>
      <c r="AK12" s="1">
        <v>2</v>
      </c>
      <c r="AL12" s="1">
        <f>AL11+$AL$7</f>
        <v>0.78539816339744828</v>
      </c>
      <c r="AN12" s="1">
        <f t="shared" ref="AN12:AN75" si="12" xml:space="preserve"> COS(AL12) * $M$19 + $M$18</f>
        <v>23535.533905932738</v>
      </c>
      <c r="AO12" s="1">
        <f t="shared" si="0"/>
        <v>11035.533905932738</v>
      </c>
      <c r="AQ12" s="1">
        <f t="shared" si="1"/>
        <v>-17525.126265847084</v>
      </c>
      <c r="AR12" s="1">
        <f t="shared" si="2"/>
        <v>12474.873734152916</v>
      </c>
      <c r="AT12" s="1">
        <f t="shared" si="3"/>
        <v>-1464.466094067262</v>
      </c>
      <c r="AU12" s="1">
        <f t="shared" si="4"/>
        <v>-11464.466094067262</v>
      </c>
      <c r="AW12" s="1">
        <v>2</v>
      </c>
      <c r="AX12" s="1">
        <f t="shared" ref="AX12:AX75" si="13">AX11+$M$5</f>
        <v>1</v>
      </c>
      <c r="AZ12" s="1">
        <f t="shared" ref="AZ12:AZ75" si="14">AZ11 + BC11 * $M$5 + 0.5 * BF11 * POWER($M$5, 2)</f>
        <v>58.763346006098608</v>
      </c>
      <c r="BA12" s="1">
        <f t="shared" ref="BA12:BA75" si="15">BA11+BD11*$M$5+0.5*BG11* POWER($M$5, 2)</f>
        <v>-380.61019739794943</v>
      </c>
      <c r="BC12" s="1">
        <f t="shared" ref="BC12:BC75" si="16">BC11 + BF11 * $M$5</f>
        <v>115.88485072096816</v>
      </c>
      <c r="BD12" s="1">
        <f t="shared" ref="BD12:BD75" si="17">BD11+BG11*$M$5</f>
        <v>-761.92400360534111</v>
      </c>
      <c r="BF12" s="1">
        <f t="shared" si="5"/>
        <v>92.146298330016805</v>
      </c>
      <c r="BG12" s="1">
        <f t="shared" si="6"/>
        <v>-772.07890139735071</v>
      </c>
      <c r="BJ12" s="1">
        <f t="shared" ref="BJ11:BJ74" si="18">$M$22*($M$18 - AZ12)/ (SQRT(($M$18 - AZ12)^2 + ($N$18 - BA12)^2 )^2 + $M$23^2)^(3/2)</f>
        <v>788.40883777648992</v>
      </c>
      <c r="BK12" s="1">
        <f t="shared" si="7"/>
        <v>311.57258872687225</v>
      </c>
      <c r="BO12" s="1">
        <f t="shared" si="8"/>
        <v>-272.4895036118682</v>
      </c>
      <c r="BP12" s="1">
        <f t="shared" si="9"/>
        <v>141.01603728429595</v>
      </c>
      <c r="BT12" s="1">
        <f t="shared" si="10"/>
        <v>-423.77303583460485</v>
      </c>
      <c r="BU12" s="1">
        <f t="shared" si="11"/>
        <v>-1224.6675274085189</v>
      </c>
    </row>
    <row r="13" spans="2:74" ht="17.25">
      <c r="G13" s="48" t="s">
        <v>22</v>
      </c>
      <c r="H13" s="34"/>
      <c r="I13" s="34"/>
      <c r="J13" s="34"/>
      <c r="K13" s="34"/>
      <c r="L13" s="34"/>
      <c r="M13" s="3">
        <v>0</v>
      </c>
      <c r="N13" s="2">
        <v>0</v>
      </c>
      <c r="O13" s="50" t="s">
        <v>10</v>
      </c>
      <c r="P13" s="52"/>
      <c r="T13" s="19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1"/>
      <c r="AK13" s="1">
        <v>3</v>
      </c>
      <c r="AL13" s="1">
        <f t="shared" ref="AL13:AL76" si="19">AL12+$AL$7</f>
        <v>1.1780972450961724</v>
      </c>
      <c r="AN13" s="1">
        <f t="shared" si="12"/>
        <v>21913.417161825448</v>
      </c>
      <c r="AO13" s="1">
        <f t="shared" si="0"/>
        <v>12119.397662556434</v>
      </c>
      <c r="AQ13" s="1">
        <f t="shared" si="1"/>
        <v>-18660.607986722185</v>
      </c>
      <c r="AR13" s="1">
        <f t="shared" si="2"/>
        <v>13233.578363789504</v>
      </c>
      <c r="AT13" s="1">
        <f t="shared" si="3"/>
        <v>-3086.5828381745505</v>
      </c>
      <c r="AU13" s="1">
        <f t="shared" si="4"/>
        <v>-10380.602337443566</v>
      </c>
      <c r="AW13" s="1">
        <v>3</v>
      </c>
      <c r="AX13" s="1">
        <f t="shared" si="13"/>
        <v>1.5</v>
      </c>
      <c r="AZ13" s="1">
        <f t="shared" si="14"/>
        <v>128.2240586578348</v>
      </c>
      <c r="BA13" s="1">
        <f t="shared" si="15"/>
        <v>-858.08206187528879</v>
      </c>
      <c r="BC13" s="1">
        <f t="shared" si="16"/>
        <v>161.95799988597656</v>
      </c>
      <c r="BD13" s="1">
        <f t="shared" si="17"/>
        <v>-1147.9634543040165</v>
      </c>
      <c r="BF13" s="1">
        <f t="shared" si="5"/>
        <v>55.493464814631807</v>
      </c>
      <c r="BG13" s="1">
        <f t="shared" si="6"/>
        <v>-787.69775044318101</v>
      </c>
      <c r="BJ13" s="1">
        <f t="shared" si="18"/>
        <v>775.27663424571824</v>
      </c>
      <c r="BK13" s="1">
        <f t="shared" si="7"/>
        <v>326.0818634835378</v>
      </c>
      <c r="BO13" s="1">
        <f t="shared" si="8"/>
        <v>-264.21336898309431</v>
      </c>
      <c r="BP13" s="1">
        <f t="shared" si="9"/>
        <v>142.52874142808358</v>
      </c>
      <c r="BT13" s="1">
        <f t="shared" si="10"/>
        <v>-455.56980044799212</v>
      </c>
      <c r="BU13" s="1">
        <f t="shared" si="11"/>
        <v>-1256.3083553548024</v>
      </c>
    </row>
    <row r="14" spans="2:74">
      <c r="H14" s="48" t="s">
        <v>23</v>
      </c>
      <c r="I14" s="34"/>
      <c r="J14" s="34"/>
      <c r="K14" s="34"/>
      <c r="L14" s="34"/>
      <c r="M14" s="50">
        <v>2500</v>
      </c>
      <c r="N14" s="51"/>
      <c r="O14" s="50" t="s">
        <v>7</v>
      </c>
      <c r="P14" s="52"/>
      <c r="T14" s="19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1"/>
      <c r="AK14" s="1">
        <v>4</v>
      </c>
      <c r="AL14" s="1">
        <f t="shared" si="19"/>
        <v>1.5707963267948966</v>
      </c>
      <c r="AN14" s="1">
        <f t="shared" si="12"/>
        <v>20000</v>
      </c>
      <c r="AO14" s="1">
        <f t="shared" si="0"/>
        <v>12500</v>
      </c>
      <c r="AQ14" s="1">
        <f t="shared" si="1"/>
        <v>-20000</v>
      </c>
      <c r="AR14" s="1">
        <f t="shared" si="2"/>
        <v>13500</v>
      </c>
      <c r="AT14" s="1">
        <f t="shared" si="3"/>
        <v>-5000</v>
      </c>
      <c r="AU14" s="1">
        <f t="shared" si="4"/>
        <v>-10000</v>
      </c>
      <c r="AW14" s="1">
        <v>4</v>
      </c>
      <c r="AX14" s="1">
        <f t="shared" si="13"/>
        <v>2</v>
      </c>
      <c r="AZ14" s="1">
        <f t="shared" si="14"/>
        <v>216.13974170265206</v>
      </c>
      <c r="BA14" s="1">
        <f t="shared" si="15"/>
        <v>-1530.5260078326946</v>
      </c>
      <c r="BC14" s="1">
        <f t="shared" si="16"/>
        <v>189.70473229329247</v>
      </c>
      <c r="BD14" s="1">
        <f t="shared" si="17"/>
        <v>-1541.8123295256071</v>
      </c>
      <c r="BF14" s="1">
        <f t="shared" si="5"/>
        <v>-1.316856642802918</v>
      </c>
      <c r="BG14" s="1">
        <f t="shared" si="6"/>
        <v>-811.67785049592158</v>
      </c>
      <c r="BJ14" s="1">
        <f t="shared" si="18"/>
        <v>755.32322118471382</v>
      </c>
      <c r="BK14" s="1">
        <f t="shared" si="7"/>
        <v>344.77427075273715</v>
      </c>
      <c r="BO14" s="1">
        <f t="shared" si="8"/>
        <v>-252.93026836046505</v>
      </c>
      <c r="BP14" s="1">
        <f t="shared" si="9"/>
        <v>144.26191522026039</v>
      </c>
      <c r="BT14" s="1">
        <f t="shared" si="10"/>
        <v>-503.70980946705168</v>
      </c>
      <c r="BU14" s="1">
        <f t="shared" si="11"/>
        <v>-1300.7140364689192</v>
      </c>
    </row>
    <row r="15" spans="2:74">
      <c r="T15" s="19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1"/>
      <c r="AK15">
        <v>5</v>
      </c>
      <c r="AL15" s="1">
        <f t="shared" si="19"/>
        <v>1.9634954084936207</v>
      </c>
      <c r="AN15" s="1">
        <f t="shared" si="12"/>
        <v>18086.582838174552</v>
      </c>
      <c r="AO15" s="1">
        <f t="shared" si="0"/>
        <v>12119.397662556434</v>
      </c>
      <c r="AQ15" s="1">
        <f t="shared" si="1"/>
        <v>-21339.392013277815</v>
      </c>
      <c r="AR15" s="1">
        <f t="shared" si="2"/>
        <v>13233.578363789504</v>
      </c>
      <c r="AT15" s="1">
        <f t="shared" si="3"/>
        <v>-6913.4171618254486</v>
      </c>
      <c r="AU15" s="1">
        <f t="shared" si="4"/>
        <v>-10380.602337443566</v>
      </c>
      <c r="AW15" s="1">
        <v>5</v>
      </c>
      <c r="AX15" s="1">
        <f t="shared" si="13"/>
        <v>2.5</v>
      </c>
      <c r="AZ15" s="1">
        <f t="shared" si="14"/>
        <v>310.82750076894791</v>
      </c>
      <c r="BA15" s="1">
        <f t="shared" si="15"/>
        <v>-2402.8919039074885</v>
      </c>
      <c r="BC15" s="1">
        <f t="shared" si="16"/>
        <v>189.04630397189101</v>
      </c>
      <c r="BD15" s="1">
        <f t="shared" si="17"/>
        <v>-1947.6512547735679</v>
      </c>
      <c r="BF15" s="1">
        <f t="shared" si="5"/>
        <v>-83.964205813722913</v>
      </c>
      <c r="BG15" s="1">
        <f t="shared" si="6"/>
        <v>-845.65329638356138</v>
      </c>
      <c r="BJ15" s="1">
        <f t="shared" si="18"/>
        <v>727.24210333376709</v>
      </c>
      <c r="BK15" s="1">
        <f t="shared" si="7"/>
        <v>365.77463768809361</v>
      </c>
      <c r="BO15" s="1">
        <f t="shared" si="8"/>
        <v>-238.95985187350044</v>
      </c>
      <c r="BP15" s="1">
        <f t="shared" si="9"/>
        <v>145.9218346494531</v>
      </c>
      <c r="BT15" s="1">
        <f t="shared" si="10"/>
        <v>-572.24645727398956</v>
      </c>
      <c r="BU15" s="1">
        <f t="shared" si="11"/>
        <v>-1357.3497687211081</v>
      </c>
    </row>
    <row r="16" spans="2:74" ht="20.25">
      <c r="C16" s="45" t="s">
        <v>8</v>
      </c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T16" s="19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1"/>
      <c r="AK16" s="1">
        <v>6</v>
      </c>
      <c r="AL16" s="1">
        <f t="shared" si="19"/>
        <v>2.3561944901923448</v>
      </c>
      <c r="AN16" s="1">
        <f t="shared" si="12"/>
        <v>16464.466094067262</v>
      </c>
      <c r="AO16" s="1">
        <f t="shared" si="0"/>
        <v>11035.533905932738</v>
      </c>
      <c r="AQ16" s="1">
        <f t="shared" si="1"/>
        <v>-22474.873734152916</v>
      </c>
      <c r="AR16" s="1">
        <f t="shared" si="2"/>
        <v>12474.873734152916</v>
      </c>
      <c r="AT16" s="1">
        <f t="shared" si="3"/>
        <v>-8535.533905932738</v>
      </c>
      <c r="AU16" s="1">
        <f t="shared" si="4"/>
        <v>-11464.466094067262</v>
      </c>
      <c r="AW16" s="1">
        <v>6</v>
      </c>
      <c r="AX16" s="1">
        <f t="shared" si="13"/>
        <v>3</v>
      </c>
      <c r="AZ16" s="1">
        <f t="shared" si="14"/>
        <v>394.85512702817806</v>
      </c>
      <c r="BA16" s="1">
        <f t="shared" si="15"/>
        <v>-3482.4241933422177</v>
      </c>
      <c r="BC16" s="1">
        <f t="shared" si="16"/>
        <v>147.06420106502955</v>
      </c>
      <c r="BD16" s="1">
        <f t="shared" si="17"/>
        <v>-2370.4779029653487</v>
      </c>
      <c r="BF16" s="1">
        <f t="shared" si="5"/>
        <v>-199.84481721265126</v>
      </c>
      <c r="BG16" s="1">
        <f t="shared" si="6"/>
        <v>-890.31902387599314</v>
      </c>
      <c r="BJ16" s="1">
        <f t="shared" si="18"/>
        <v>689.86190376956461</v>
      </c>
      <c r="BK16" s="1">
        <f t="shared" si="7"/>
        <v>386.4473387528472</v>
      </c>
      <c r="BL16" s="11"/>
      <c r="BO16" s="1">
        <f t="shared" si="8"/>
        <v>-222.70655944156962</v>
      </c>
      <c r="BP16" s="1">
        <f t="shared" si="9"/>
        <v>147.22459592526414</v>
      </c>
      <c r="BT16" s="1">
        <f t="shared" si="10"/>
        <v>-667.00016154064622</v>
      </c>
      <c r="BU16" s="1">
        <f t="shared" si="11"/>
        <v>-1423.9909585541045</v>
      </c>
    </row>
    <row r="17" spans="3:73">
      <c r="C17" s="55" t="s">
        <v>9</v>
      </c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T17" s="19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1"/>
      <c r="AK17" s="1">
        <v>7</v>
      </c>
      <c r="AL17" s="1">
        <f t="shared" si="19"/>
        <v>2.748893571891069</v>
      </c>
      <c r="AN17" s="1">
        <f t="shared" si="12"/>
        <v>15380.602337443566</v>
      </c>
      <c r="AO17" s="1">
        <f t="shared" si="0"/>
        <v>9413.4171618254495</v>
      </c>
      <c r="AQ17" s="1">
        <f t="shared" si="1"/>
        <v>-23233.578363789504</v>
      </c>
      <c r="AR17" s="1">
        <f t="shared" si="2"/>
        <v>11339.392013277815</v>
      </c>
      <c r="AT17" s="1">
        <f t="shared" si="3"/>
        <v>-9619.3976625564337</v>
      </c>
      <c r="AU17" s="1">
        <f t="shared" si="4"/>
        <v>-13086.58283817455</v>
      </c>
      <c r="AW17" s="1">
        <v>7</v>
      </c>
      <c r="AX17" s="1">
        <f t="shared" si="13"/>
        <v>3.5</v>
      </c>
      <c r="AZ17" s="1">
        <f t="shared" si="14"/>
        <v>443.40662540911143</v>
      </c>
      <c r="BA17" s="1">
        <f t="shared" si="15"/>
        <v>-4778.9530228093909</v>
      </c>
      <c r="BC17" s="1">
        <f t="shared" si="16"/>
        <v>47.141792458703918</v>
      </c>
      <c r="BD17" s="1">
        <f t="shared" si="17"/>
        <v>-2815.6374149033454</v>
      </c>
      <c r="BF17" s="1">
        <f t="shared" si="5"/>
        <v>-357.75553329731315</v>
      </c>
      <c r="BG17" s="1">
        <f t="shared" si="6"/>
        <v>-942.73052379080036</v>
      </c>
      <c r="BJ17" s="1">
        <f t="shared" si="18"/>
        <v>642.60853053385199</v>
      </c>
      <c r="BK17" s="1">
        <f t="shared" si="7"/>
        <v>403.47313089475165</v>
      </c>
      <c r="BO17" s="1">
        <f t="shared" si="8"/>
        <v>-204.63366046169691</v>
      </c>
      <c r="BP17" s="1">
        <f t="shared" si="9"/>
        <v>147.93382092640465</v>
      </c>
      <c r="BT17" s="1">
        <f t="shared" si="10"/>
        <v>-795.73040336946826</v>
      </c>
      <c r="BU17" s="1">
        <f t="shared" si="11"/>
        <v>-1494.1374756119567</v>
      </c>
    </row>
    <row r="18" spans="3:73" ht="18">
      <c r="D18" s="41" t="s">
        <v>29</v>
      </c>
      <c r="E18" s="29"/>
      <c r="F18" s="29"/>
      <c r="G18" s="29"/>
      <c r="H18" s="29"/>
      <c r="I18" s="29"/>
      <c r="J18" s="29"/>
      <c r="K18" s="29"/>
      <c r="L18" s="42"/>
      <c r="M18" s="5">
        <v>20000</v>
      </c>
      <c r="N18" s="6">
        <v>7500</v>
      </c>
      <c r="O18" s="43" t="s">
        <v>7</v>
      </c>
      <c r="P18" s="44"/>
      <c r="T18" s="19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1"/>
      <c r="AK18" s="1">
        <v>8</v>
      </c>
      <c r="AL18" s="1">
        <f t="shared" si="19"/>
        <v>3.1415926535897931</v>
      </c>
      <c r="AN18" s="1">
        <f t="shared" si="12"/>
        <v>15000</v>
      </c>
      <c r="AO18" s="1">
        <f t="shared" si="0"/>
        <v>7500.0000000000009</v>
      </c>
      <c r="AQ18" s="1">
        <f t="shared" si="1"/>
        <v>-23500</v>
      </c>
      <c r="AR18" s="1">
        <f t="shared" si="2"/>
        <v>10000</v>
      </c>
      <c r="AT18" s="1">
        <f t="shared" si="3"/>
        <v>-10000</v>
      </c>
      <c r="AU18" s="1">
        <f t="shared" si="4"/>
        <v>-15000</v>
      </c>
      <c r="AW18" s="1">
        <v>8</v>
      </c>
      <c r="AX18" s="1">
        <f t="shared" si="13"/>
        <v>4</v>
      </c>
      <c r="AZ18" s="1">
        <f t="shared" si="14"/>
        <v>422.2580799762992</v>
      </c>
      <c r="BA18" s="1">
        <f t="shared" si="15"/>
        <v>-6304.6130457349136</v>
      </c>
      <c r="BC18" s="1">
        <f t="shared" si="16"/>
        <v>-131.73597418995266</v>
      </c>
      <c r="BD18" s="1">
        <f t="shared" si="17"/>
        <v>-3287.0026767987456</v>
      </c>
      <c r="BF18" s="1">
        <f t="shared" si="5"/>
        <v>-566.40680704753868</v>
      </c>
      <c r="BG18" s="1">
        <f t="shared" si="6"/>
        <v>-989.94508802537234</v>
      </c>
      <c r="BJ18" s="1">
        <f t="shared" si="18"/>
        <v>586.01836897302167</v>
      </c>
      <c r="BK18" s="1">
        <f t="shared" si="7"/>
        <v>413.21194519840094</v>
      </c>
      <c r="BO18" s="1">
        <f t="shared" si="8"/>
        <v>-185.22979369488903</v>
      </c>
      <c r="BP18" s="1">
        <f t="shared" si="9"/>
        <v>147.88277079397184</v>
      </c>
      <c r="BT18" s="1">
        <f t="shared" si="10"/>
        <v>-967.19538232567129</v>
      </c>
      <c r="BU18" s="1">
        <f t="shared" si="11"/>
        <v>-1551.0398040177452</v>
      </c>
    </row>
    <row r="19" spans="3:73" ht="18">
      <c r="E19" s="41" t="s">
        <v>30</v>
      </c>
      <c r="F19" s="29"/>
      <c r="G19" s="29"/>
      <c r="H19" s="29"/>
      <c r="I19" s="29"/>
      <c r="J19" s="29"/>
      <c r="K19" s="29"/>
      <c r="L19" s="42"/>
      <c r="M19" s="43">
        <v>5000</v>
      </c>
      <c r="N19" s="44"/>
      <c r="O19" s="43" t="s">
        <v>7</v>
      </c>
      <c r="P19" s="44"/>
      <c r="T19" s="19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1"/>
      <c r="AK19" s="1">
        <v>9</v>
      </c>
      <c r="AL19" s="1">
        <f t="shared" si="19"/>
        <v>3.5342917352885173</v>
      </c>
      <c r="AN19" s="1">
        <f t="shared" si="12"/>
        <v>15380.602337443564</v>
      </c>
      <c r="AO19" s="1">
        <f t="shared" si="0"/>
        <v>5586.5828381745514</v>
      </c>
      <c r="AQ19" s="1">
        <f t="shared" si="1"/>
        <v>-23233.578363789504</v>
      </c>
      <c r="AR19" s="1">
        <f t="shared" si="2"/>
        <v>8660.6079867221852</v>
      </c>
      <c r="AT19" s="1">
        <f t="shared" si="3"/>
        <v>-9619.3976625564355</v>
      </c>
      <c r="AU19" s="1">
        <f t="shared" si="4"/>
        <v>-16913.417161825448</v>
      </c>
      <c r="AW19" s="1">
        <v>9</v>
      </c>
      <c r="AX19" s="1">
        <f t="shared" si="13"/>
        <v>4.5</v>
      </c>
      <c r="AZ19" s="1">
        <f t="shared" si="14"/>
        <v>285.58924200038052</v>
      </c>
      <c r="BA19" s="1">
        <f t="shared" si="15"/>
        <v>-8071.8575201374579</v>
      </c>
      <c r="BC19" s="1">
        <f t="shared" si="16"/>
        <v>-414.93937771372202</v>
      </c>
      <c r="BD19" s="1">
        <f t="shared" si="17"/>
        <v>-3781.9752208114319</v>
      </c>
      <c r="BF19" s="1">
        <f t="shared" si="5"/>
        <v>-828.77600778486442</v>
      </c>
      <c r="BG19" s="1">
        <f t="shared" si="6"/>
        <v>-995.06934178179347</v>
      </c>
      <c r="BJ19" s="1">
        <f t="shared" si="18"/>
        <v>522.13276740854087</v>
      </c>
      <c r="BK19" s="1">
        <f t="shared" si="7"/>
        <v>412.41795965835206</v>
      </c>
      <c r="BO19" s="1">
        <f t="shared" si="8"/>
        <v>-164.98248751021697</v>
      </c>
      <c r="BP19" s="1">
        <f t="shared" si="9"/>
        <v>146.97823031087296</v>
      </c>
      <c r="BT19" s="1">
        <f t="shared" si="10"/>
        <v>-1185.9262876831883</v>
      </c>
      <c r="BU19" s="1">
        <f t="shared" si="11"/>
        <v>-1554.4655317510185</v>
      </c>
    </row>
    <row r="20" spans="3:73" ht="18.75">
      <c r="E20" s="4"/>
      <c r="F20" s="41" t="s">
        <v>31</v>
      </c>
      <c r="G20" s="29"/>
      <c r="H20" s="29"/>
      <c r="I20" s="29"/>
      <c r="J20" s="29"/>
      <c r="K20" s="29"/>
      <c r="L20" s="42"/>
      <c r="M20" s="43">
        <v>1</v>
      </c>
      <c r="N20" s="44"/>
      <c r="O20" s="43" t="s">
        <v>11</v>
      </c>
      <c r="P20" s="44"/>
      <c r="T20" s="19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1"/>
      <c r="AK20">
        <v>10</v>
      </c>
      <c r="AL20" s="1">
        <f t="shared" si="19"/>
        <v>3.9269908169872414</v>
      </c>
      <c r="AN20" s="1">
        <f t="shared" si="12"/>
        <v>16464.466094067262</v>
      </c>
      <c r="AO20" s="1">
        <f t="shared" si="0"/>
        <v>3964.4660940672625</v>
      </c>
      <c r="AQ20" s="1">
        <f t="shared" si="1"/>
        <v>-22474.873734152916</v>
      </c>
      <c r="AR20" s="1">
        <f t="shared" si="2"/>
        <v>7525.1262658470841</v>
      </c>
      <c r="AT20" s="1">
        <f t="shared" si="3"/>
        <v>-8535.533905932738</v>
      </c>
      <c r="AU20" s="1">
        <f t="shared" si="4"/>
        <v>-18535.533905932738</v>
      </c>
      <c r="AW20" s="1">
        <v>10</v>
      </c>
      <c r="AX20" s="1">
        <f t="shared" si="13"/>
        <v>5</v>
      </c>
      <c r="AZ20" s="1">
        <f t="shared" si="14"/>
        <v>-25.477447829588542</v>
      </c>
      <c r="BA20" s="1">
        <f t="shared" si="15"/>
        <v>-10087.228798265898</v>
      </c>
      <c r="BC20" s="1">
        <f t="shared" si="16"/>
        <v>-829.32738160615418</v>
      </c>
      <c r="BD20" s="1">
        <f t="shared" si="17"/>
        <v>-4279.5098917023288</v>
      </c>
      <c r="BF20" s="1">
        <f t="shared" si="5"/>
        <v>-1123.6291357065463</v>
      </c>
      <c r="BG20" s="1">
        <f t="shared" si="6"/>
        <v>-871.60038634060777</v>
      </c>
      <c r="BJ20" s="1">
        <f t="shared" si="18"/>
        <v>454.55698178624539</v>
      </c>
      <c r="BK20" s="1">
        <f t="shared" si="7"/>
        <v>399.21133772470108</v>
      </c>
      <c r="BO20" s="1">
        <f t="shared" si="8"/>
        <v>-144.38057391759932</v>
      </c>
      <c r="BP20" s="1">
        <f t="shared" si="9"/>
        <v>145.19524132468567</v>
      </c>
      <c r="BT20" s="1">
        <f t="shared" si="10"/>
        <v>-1433.8055435751924</v>
      </c>
      <c r="BU20" s="1">
        <f t="shared" si="11"/>
        <v>-1416.0069653899945</v>
      </c>
    </row>
    <row r="21" spans="3:73" ht="18.75">
      <c r="E21" s="4"/>
      <c r="F21" s="4"/>
      <c r="G21" s="56" t="s">
        <v>32</v>
      </c>
      <c r="H21" s="34"/>
      <c r="I21" s="34"/>
      <c r="J21" s="34"/>
      <c r="K21" s="34"/>
      <c r="L21" s="57"/>
      <c r="M21" s="43">
        <f xml:space="preserve"> (4/3)*PI()*POWER(M19,3)</f>
        <v>523598775598.29883</v>
      </c>
      <c r="N21" s="44"/>
      <c r="O21" s="43" t="s">
        <v>12</v>
      </c>
      <c r="P21" s="44"/>
      <c r="T21" s="19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1"/>
      <c r="AK21" s="1">
        <v>11</v>
      </c>
      <c r="AL21" s="1">
        <f t="shared" si="19"/>
        <v>4.3196898986859651</v>
      </c>
      <c r="AN21" s="1">
        <f t="shared" si="12"/>
        <v>18086.582838174549</v>
      </c>
      <c r="AO21" s="1">
        <f t="shared" si="0"/>
        <v>2880.6023374435672</v>
      </c>
      <c r="AQ21" s="1">
        <f t="shared" si="1"/>
        <v>-21339.392013277815</v>
      </c>
      <c r="AR21" s="1">
        <f t="shared" si="2"/>
        <v>6766.4216362104971</v>
      </c>
      <c r="AT21" s="1">
        <f t="shared" si="3"/>
        <v>-6913.4171618254513</v>
      </c>
      <c r="AU21" s="1">
        <f t="shared" si="4"/>
        <v>-19619.397662556432</v>
      </c>
      <c r="AW21" s="1">
        <v>11</v>
      </c>
      <c r="AX21" s="1">
        <f t="shared" si="13"/>
        <v>5.5</v>
      </c>
      <c r="AZ21" s="1">
        <f t="shared" si="14"/>
        <v>-580.59478059598393</v>
      </c>
      <c r="BA21" s="1">
        <f t="shared" si="15"/>
        <v>-12335.933792409638</v>
      </c>
      <c r="BC21" s="1">
        <f t="shared" si="16"/>
        <v>-1391.1419494594275</v>
      </c>
      <c r="BD21" s="1">
        <f t="shared" si="17"/>
        <v>-4715.3100848726326</v>
      </c>
      <c r="BF21" s="1">
        <f t="shared" si="5"/>
        <v>-1359.8455053048287</v>
      </c>
      <c r="BG21" s="1">
        <f t="shared" si="6"/>
        <v>-462.32608673715208</v>
      </c>
      <c r="BJ21" s="1">
        <f t="shared" si="18"/>
        <v>388.04730664497799</v>
      </c>
      <c r="BK21" s="1">
        <f t="shared" si="7"/>
        <v>374.00671676359411</v>
      </c>
      <c r="BO21" s="1">
        <f t="shared" si="8"/>
        <v>-123.96839267233052</v>
      </c>
      <c r="BP21" s="1">
        <f t="shared" si="9"/>
        <v>142.58674659684527</v>
      </c>
      <c r="BT21" s="1">
        <f t="shared" si="10"/>
        <v>-1623.9244192774761</v>
      </c>
      <c r="BU21" s="1">
        <f t="shared" si="11"/>
        <v>-978.91955009759147</v>
      </c>
    </row>
    <row r="22" spans="3:73" ht="18">
      <c r="E22" s="4"/>
      <c r="F22" s="4"/>
      <c r="G22" s="4"/>
      <c r="H22" s="56" t="s">
        <v>33</v>
      </c>
      <c r="I22" s="34"/>
      <c r="J22" s="34"/>
      <c r="K22" s="34"/>
      <c r="L22" s="57"/>
      <c r="M22" s="43">
        <f xml:space="preserve"> M20*M21</f>
        <v>523598775598.29883</v>
      </c>
      <c r="N22" s="44"/>
      <c r="O22" s="43" t="s">
        <v>6</v>
      </c>
      <c r="P22" s="44"/>
      <c r="T22" s="19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1"/>
      <c r="AK22" s="1">
        <v>12</v>
      </c>
      <c r="AL22" s="1">
        <f t="shared" si="19"/>
        <v>4.7123889803846897</v>
      </c>
      <c r="AN22" s="1">
        <f t="shared" si="12"/>
        <v>20000</v>
      </c>
      <c r="AO22" s="1">
        <f t="shared" si="0"/>
        <v>2500</v>
      </c>
      <c r="AQ22" s="1">
        <f t="shared" si="1"/>
        <v>-20000</v>
      </c>
      <c r="AR22" s="1">
        <f t="shared" si="2"/>
        <v>6500</v>
      </c>
      <c r="AT22" s="1">
        <f t="shared" si="3"/>
        <v>-5000.0000000000009</v>
      </c>
      <c r="AU22" s="1">
        <f t="shared" si="4"/>
        <v>-20000</v>
      </c>
      <c r="AW22" s="1">
        <v>12</v>
      </c>
      <c r="AX22" s="1">
        <f t="shared" si="13"/>
        <v>6</v>
      </c>
      <c r="AZ22" s="1">
        <f t="shared" si="14"/>
        <v>-1446.1464434888014</v>
      </c>
      <c r="BA22" s="1">
        <f t="shared" si="15"/>
        <v>-14751.379595688099</v>
      </c>
      <c r="BC22" s="1">
        <f t="shared" si="16"/>
        <v>-2071.0647021118421</v>
      </c>
      <c r="BD22" s="1">
        <f t="shared" si="17"/>
        <v>-4946.4731282412085</v>
      </c>
      <c r="BF22" s="1">
        <f t="shared" si="5"/>
        <v>-1332.2496091808098</v>
      </c>
      <c r="BG22" s="1">
        <f t="shared" si="6"/>
        <v>370.49150591336115</v>
      </c>
      <c r="BJ22" s="1">
        <f t="shared" si="18"/>
        <v>327.66607473698099</v>
      </c>
      <c r="BK22" s="1">
        <f t="shared" si="7"/>
        <v>339.96887174177044</v>
      </c>
      <c r="BO22" s="1">
        <f t="shared" si="8"/>
        <v>-104.45037905727231</v>
      </c>
      <c r="BP22" s="1">
        <f t="shared" si="9"/>
        <v>139.33983973118018</v>
      </c>
      <c r="BT22" s="1">
        <f t="shared" si="10"/>
        <v>-1555.4653048605185</v>
      </c>
      <c r="BU22" s="1">
        <f t="shared" si="11"/>
        <v>-108.81720555958944</v>
      </c>
    </row>
    <row r="23" spans="3:73" ht="18">
      <c r="E23" s="4"/>
      <c r="F23" s="4"/>
      <c r="G23" s="4"/>
      <c r="H23" s="4"/>
      <c r="I23" s="56" t="s">
        <v>34</v>
      </c>
      <c r="J23" s="34"/>
      <c r="K23" s="34"/>
      <c r="L23" s="57"/>
      <c r="M23" s="43">
        <f xml:space="preserve"> M19*$M$7</f>
        <v>10000</v>
      </c>
      <c r="N23" s="44"/>
      <c r="O23" s="43" t="s">
        <v>7</v>
      </c>
      <c r="P23" s="44"/>
      <c r="T23" s="19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1"/>
      <c r="AK23" s="1">
        <v>13</v>
      </c>
      <c r="AL23" s="1">
        <f t="shared" si="19"/>
        <v>5.1050880620834143</v>
      </c>
      <c r="AN23" s="1">
        <f t="shared" si="12"/>
        <v>21913.417161825451</v>
      </c>
      <c r="AO23" s="1">
        <f t="shared" si="0"/>
        <v>2880.6023374435672</v>
      </c>
      <c r="AQ23" s="1">
        <f t="shared" si="1"/>
        <v>-18660.607986722185</v>
      </c>
      <c r="AR23" s="1">
        <f t="shared" si="2"/>
        <v>6766.4216362104962</v>
      </c>
      <c r="AT23" s="1">
        <f t="shared" si="3"/>
        <v>-3086.58283817455</v>
      </c>
      <c r="AU23" s="1">
        <f t="shared" si="4"/>
        <v>-19619.397662556432</v>
      </c>
      <c r="AW23" s="1">
        <v>13</v>
      </c>
      <c r="AX23" s="1">
        <f t="shared" si="13"/>
        <v>6.5</v>
      </c>
      <c r="AZ23" s="1">
        <f t="shared" si="14"/>
        <v>-2648.2099956923234</v>
      </c>
      <c r="BA23" s="1">
        <f t="shared" si="15"/>
        <v>-17178.304721569533</v>
      </c>
      <c r="BC23" s="1">
        <f t="shared" si="16"/>
        <v>-2737.1895067022469</v>
      </c>
      <c r="BD23" s="1">
        <f t="shared" si="17"/>
        <v>-4761.2273752845276</v>
      </c>
      <c r="BF23" s="1">
        <f t="shared" si="5"/>
        <v>-872.47773551196622</v>
      </c>
      <c r="BG23" s="1">
        <f t="shared" si="6"/>
        <v>1423.2819869014561</v>
      </c>
      <c r="BJ23" s="1">
        <f t="shared" si="18"/>
        <v>277.61756850883444</v>
      </c>
      <c r="BK23" s="1">
        <f t="shared" si="7"/>
        <v>302.50209411804741</v>
      </c>
      <c r="BO23" s="1">
        <f t="shared" si="8"/>
        <v>-86.745678154182187</v>
      </c>
      <c r="BP23" s="1">
        <f t="shared" si="9"/>
        <v>135.87073573206416</v>
      </c>
      <c r="BT23" s="1">
        <f t="shared" si="10"/>
        <v>-1063.3496258666185</v>
      </c>
      <c r="BU23" s="1">
        <f t="shared" si="11"/>
        <v>984.90915705134455</v>
      </c>
    </row>
    <row r="24" spans="3:73" ht="18">
      <c r="E24" s="4"/>
      <c r="F24" s="4"/>
      <c r="G24" s="4"/>
      <c r="H24" s="4"/>
      <c r="I24" s="4"/>
      <c r="J24" s="41" t="s">
        <v>35</v>
      </c>
      <c r="K24" s="29"/>
      <c r="L24" s="42"/>
      <c r="M24" s="43" t="s">
        <v>13</v>
      </c>
      <c r="N24" s="44"/>
      <c r="O24" s="43" t="s">
        <v>4</v>
      </c>
      <c r="P24" s="44"/>
      <c r="T24" s="19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1"/>
      <c r="AK24" s="1">
        <v>14</v>
      </c>
      <c r="AL24" s="1">
        <f t="shared" si="19"/>
        <v>5.4977871437821388</v>
      </c>
      <c r="AN24" s="1">
        <f t="shared" si="12"/>
        <v>23535.533905932742</v>
      </c>
      <c r="AO24" s="1">
        <f t="shared" si="0"/>
        <v>3964.4660940672647</v>
      </c>
      <c r="AQ24" s="1">
        <f t="shared" si="1"/>
        <v>-17525.126265847081</v>
      </c>
      <c r="AR24" s="1">
        <f t="shared" si="2"/>
        <v>7525.126265847086</v>
      </c>
      <c r="AT24" s="1">
        <f t="shared" si="3"/>
        <v>-1464.4660940672597</v>
      </c>
      <c r="AU24" s="1">
        <f t="shared" si="4"/>
        <v>-18535.533905932734</v>
      </c>
      <c r="AW24" s="1">
        <v>14</v>
      </c>
      <c r="AX24" s="1">
        <f t="shared" si="13"/>
        <v>7</v>
      </c>
      <c r="AZ24" s="1">
        <f t="shared" si="14"/>
        <v>-4125.8644659824431</v>
      </c>
      <c r="BA24" s="1">
        <f t="shared" si="15"/>
        <v>-19381.008160849116</v>
      </c>
      <c r="BC24" s="1">
        <f t="shared" si="16"/>
        <v>-3173.4283744582299</v>
      </c>
      <c r="BD24" s="1">
        <f t="shared" si="17"/>
        <v>-4049.5863818337994</v>
      </c>
      <c r="BF24" s="1">
        <f t="shared" si="5"/>
        <v>-180.17812858231974</v>
      </c>
      <c r="BG24" s="1">
        <f t="shared" si="6"/>
        <v>2146.14213028827</v>
      </c>
      <c r="BJ24" s="1">
        <f t="shared" si="18"/>
        <v>239.95577445043654</v>
      </c>
      <c r="BK24" s="1">
        <f t="shared" si="7"/>
        <v>267.35842524274869</v>
      </c>
      <c r="BO24" s="1">
        <f t="shared" si="8"/>
        <v>-71.766807806764248</v>
      </c>
      <c r="BP24" s="1">
        <f t="shared" si="9"/>
        <v>132.83124371277012</v>
      </c>
      <c r="BT24" s="1">
        <f t="shared" si="10"/>
        <v>-348.36709522599205</v>
      </c>
      <c r="BU24" s="1">
        <f t="shared" si="11"/>
        <v>1745.9524613327512</v>
      </c>
    </row>
    <row r="25" spans="3:73">
      <c r="C25" s="40" t="s">
        <v>14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T25" s="19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1"/>
      <c r="AK25">
        <v>15</v>
      </c>
      <c r="AL25" s="1">
        <f t="shared" si="19"/>
        <v>5.8904862254808634</v>
      </c>
      <c r="AN25" s="1">
        <f t="shared" si="12"/>
        <v>24619.397662556436</v>
      </c>
      <c r="AO25" s="1">
        <f t="shared" si="0"/>
        <v>5586.5828381745559</v>
      </c>
      <c r="AQ25" s="1">
        <f t="shared" si="1"/>
        <v>-16766.421636210496</v>
      </c>
      <c r="AR25" s="1">
        <f t="shared" si="2"/>
        <v>8660.6079867221888</v>
      </c>
      <c r="AT25" s="1">
        <f t="shared" si="3"/>
        <v>-380.60233744356447</v>
      </c>
      <c r="AU25" s="1">
        <f t="shared" si="4"/>
        <v>-16913.417161825444</v>
      </c>
      <c r="AW25" s="1">
        <v>15</v>
      </c>
      <c r="AX25" s="1">
        <f t="shared" si="13"/>
        <v>7.5</v>
      </c>
      <c r="AZ25" s="1">
        <f t="shared" si="14"/>
        <v>-5735.1009192843476</v>
      </c>
      <c r="BA25" s="1">
        <f t="shared" si="15"/>
        <v>-21137.533585479981</v>
      </c>
      <c r="BC25" s="1">
        <f t="shared" si="16"/>
        <v>-3263.5174387493898</v>
      </c>
      <c r="BD25" s="1">
        <f t="shared" si="17"/>
        <v>-2976.5153166896644</v>
      </c>
      <c r="BF25" s="1">
        <f t="shared" si="5"/>
        <v>390.98118215131149</v>
      </c>
      <c r="BG25" s="1">
        <f t="shared" si="6"/>
        <v>2346.9237498752982</v>
      </c>
      <c r="BJ25" s="1">
        <f t="shared" si="18"/>
        <v>214.06641854686356</v>
      </c>
      <c r="BK25" s="1">
        <f t="shared" si="7"/>
        <v>238.20906200781644</v>
      </c>
      <c r="BO25" s="1">
        <f t="shared" si="8"/>
        <v>-59.970388456142473</v>
      </c>
      <c r="BP25" s="1">
        <f t="shared" si="9"/>
        <v>130.90383423825355</v>
      </c>
      <c r="BT25" s="1">
        <f t="shared" si="10"/>
        <v>236.88515206059043</v>
      </c>
      <c r="BU25" s="1">
        <f t="shared" si="11"/>
        <v>1977.8108536292284</v>
      </c>
    </row>
    <row r="26" spans="3:73" ht="18">
      <c r="D26" s="36" t="s">
        <v>36</v>
      </c>
      <c r="E26" s="29"/>
      <c r="F26" s="29"/>
      <c r="G26" s="29"/>
      <c r="H26" s="29"/>
      <c r="I26" s="29"/>
      <c r="J26" s="29"/>
      <c r="K26" s="29"/>
      <c r="L26" s="37"/>
      <c r="M26" s="7">
        <v>-20000</v>
      </c>
      <c r="N26" s="8">
        <v>10000</v>
      </c>
      <c r="O26" s="31" t="s">
        <v>7</v>
      </c>
      <c r="P26" s="32"/>
      <c r="T26" s="19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1"/>
      <c r="AK26" s="1">
        <v>16</v>
      </c>
      <c r="AL26" s="1">
        <f t="shared" si="19"/>
        <v>6.283185307179588</v>
      </c>
      <c r="AN26" s="1">
        <f t="shared" si="12"/>
        <v>25000</v>
      </c>
      <c r="AO26" s="1">
        <f t="shared" si="0"/>
        <v>7500.0000000000073</v>
      </c>
      <c r="AQ26" s="1">
        <f t="shared" si="1"/>
        <v>-16500</v>
      </c>
      <c r="AR26" s="1">
        <f t="shared" si="2"/>
        <v>10000.000000000005</v>
      </c>
      <c r="AT26" s="1">
        <f t="shared" si="3"/>
        <v>0</v>
      </c>
      <c r="AU26" s="1">
        <f t="shared" si="4"/>
        <v>-14999.999999999993</v>
      </c>
      <c r="AW26" s="1">
        <v>16</v>
      </c>
      <c r="AX26" s="1">
        <f t="shared" si="13"/>
        <v>8</v>
      </c>
      <c r="AZ26" s="1">
        <f t="shared" si="14"/>
        <v>-7317.9869908901283</v>
      </c>
      <c r="BA26" s="1">
        <f t="shared" si="15"/>
        <v>-22332.4257750904</v>
      </c>
      <c r="BC26" s="1">
        <f t="shared" si="16"/>
        <v>-3068.0268476737342</v>
      </c>
      <c r="BD26" s="1">
        <f t="shared" si="17"/>
        <v>-1803.0534417520153</v>
      </c>
      <c r="BF26" s="1">
        <f t="shared" si="5"/>
        <v>751.07099628410424</v>
      </c>
      <c r="BG26" s="1">
        <f t="shared" si="6"/>
        <v>2258.9192906209232</v>
      </c>
      <c r="BJ26" s="1">
        <f t="shared" si="18"/>
        <v>197.71080916798957</v>
      </c>
      <c r="BK26" s="1">
        <f t="shared" si="7"/>
        <v>215.90877253891412</v>
      </c>
      <c r="BO26" s="1">
        <f t="shared" si="8"/>
        <v>-51.215518141821811</v>
      </c>
      <c r="BP26" s="1">
        <f t="shared" si="9"/>
        <v>130.5724838528198</v>
      </c>
      <c r="BT26" s="1">
        <f t="shared" si="10"/>
        <v>604.57570525793653</v>
      </c>
      <c r="BU26" s="1">
        <f t="shared" si="11"/>
        <v>1912.4380342291893</v>
      </c>
    </row>
    <row r="27" spans="3:73" ht="18">
      <c r="D27" s="4"/>
      <c r="E27" s="36" t="s">
        <v>37</v>
      </c>
      <c r="F27" s="29"/>
      <c r="G27" s="29"/>
      <c r="H27" s="29"/>
      <c r="I27" s="29"/>
      <c r="J27" s="29"/>
      <c r="K27" s="29"/>
      <c r="L27" s="37"/>
      <c r="M27" s="31">
        <v>3500</v>
      </c>
      <c r="N27" s="32"/>
      <c r="O27" s="31" t="s">
        <v>7</v>
      </c>
      <c r="P27" s="32"/>
      <c r="T27" s="19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1"/>
      <c r="AK27" s="1">
        <v>17</v>
      </c>
      <c r="AL27" s="1">
        <f t="shared" si="19"/>
        <v>6.6758843888783126</v>
      </c>
      <c r="AN27" s="1">
        <f t="shared" si="12"/>
        <v>24619.397662556432</v>
      </c>
      <c r="AO27" s="1">
        <f t="shared" si="0"/>
        <v>9413.4171618254586</v>
      </c>
      <c r="AQ27" s="1">
        <f t="shared" si="1"/>
        <v>-16766.4216362105</v>
      </c>
      <c r="AR27" s="1">
        <f t="shared" si="2"/>
        <v>11339.39201327782</v>
      </c>
      <c r="AT27" s="1">
        <f t="shared" si="3"/>
        <v>-380.60233744356992</v>
      </c>
      <c r="AU27" s="1">
        <f t="shared" si="4"/>
        <v>-13086.582838174541</v>
      </c>
      <c r="AW27" s="1">
        <v>17</v>
      </c>
      <c r="AX27" s="1">
        <f t="shared" si="13"/>
        <v>8.5</v>
      </c>
      <c r="AZ27" s="1">
        <f t="shared" si="14"/>
        <v>-8758.1165401914823</v>
      </c>
      <c r="BA27" s="1">
        <f t="shared" si="15"/>
        <v>-22951.587584638793</v>
      </c>
      <c r="BC27" s="1">
        <f t="shared" si="16"/>
        <v>-2692.4913495316823</v>
      </c>
      <c r="BD27" s="1">
        <f t="shared" si="17"/>
        <v>-673.59379644155365</v>
      </c>
      <c r="BF27" s="1">
        <f t="shared" si="5"/>
        <v>976.63452112088953</v>
      </c>
      <c r="BG27" s="1">
        <f t="shared" si="6"/>
        <v>2094.5997909318075</v>
      </c>
      <c r="BJ27" s="1">
        <f t="shared" si="18"/>
        <v>188.5728080296347</v>
      </c>
      <c r="BK27" s="1">
        <f t="shared" si="7"/>
        <v>199.67724144139879</v>
      </c>
      <c r="BO27" s="1">
        <f t="shared" si="8"/>
        <v>-45.077783953265154</v>
      </c>
      <c r="BP27" s="1">
        <f t="shared" si="9"/>
        <v>132.12950938051642</v>
      </c>
      <c r="BT27" s="1">
        <f t="shared" si="10"/>
        <v>833.13949704452</v>
      </c>
      <c r="BU27" s="1">
        <f t="shared" si="11"/>
        <v>1762.7930401098924</v>
      </c>
    </row>
    <row r="28" spans="3:73" ht="18.75">
      <c r="D28" s="4"/>
      <c r="E28" s="4"/>
      <c r="F28" s="36" t="s">
        <v>38</v>
      </c>
      <c r="G28" s="29"/>
      <c r="H28" s="29"/>
      <c r="I28" s="29"/>
      <c r="J28" s="29"/>
      <c r="K28" s="29"/>
      <c r="L28" s="37"/>
      <c r="M28" s="31">
        <v>1</v>
      </c>
      <c r="N28" s="32"/>
      <c r="O28" s="31" t="s">
        <v>11</v>
      </c>
      <c r="P28" s="32"/>
      <c r="T28" s="19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1"/>
      <c r="AK28" s="1">
        <v>18</v>
      </c>
      <c r="AL28" s="1">
        <f t="shared" si="19"/>
        <v>7.0685834705770372</v>
      </c>
      <c r="AN28" s="1">
        <f t="shared" si="12"/>
        <v>23535.533905932731</v>
      </c>
      <c r="AO28" s="1">
        <f t="shared" si="0"/>
        <v>11035.533905932745</v>
      </c>
      <c r="AQ28" s="1">
        <f t="shared" si="1"/>
        <v>-17525.126265847088</v>
      </c>
      <c r="AR28" s="1">
        <f t="shared" si="2"/>
        <v>12474.873734152923</v>
      </c>
      <c r="AT28" s="1">
        <f t="shared" si="3"/>
        <v>-1464.4660940672711</v>
      </c>
      <c r="AU28" s="1">
        <f t="shared" si="4"/>
        <v>-11464.466094067255</v>
      </c>
      <c r="AW28" s="1">
        <v>18</v>
      </c>
      <c r="AX28" s="1">
        <f t="shared" si="13"/>
        <v>9</v>
      </c>
      <c r="AZ28" s="1">
        <f t="shared" si="14"/>
        <v>-9982.2828998172135</v>
      </c>
      <c r="BA28" s="1">
        <f t="shared" si="15"/>
        <v>-23026.559508993098</v>
      </c>
      <c r="BC28" s="1">
        <f t="shared" si="16"/>
        <v>-2204.1740889712373</v>
      </c>
      <c r="BD28" s="1">
        <f t="shared" si="17"/>
        <v>373.70609902435012</v>
      </c>
      <c r="BF28" s="1">
        <f t="shared" si="5"/>
        <v>1145.8598133399048</v>
      </c>
      <c r="BG28" s="1">
        <f t="shared" si="6"/>
        <v>1938.4933166347439</v>
      </c>
      <c r="BJ28" s="1">
        <f t="shared" si="18"/>
        <v>185.03532360529618</v>
      </c>
      <c r="BK28" s="1">
        <f t="shared" si="7"/>
        <v>188.39432061183393</v>
      </c>
      <c r="BO28" s="1">
        <f t="shared" si="8"/>
        <v>-41.19761644224095</v>
      </c>
      <c r="BP28" s="1">
        <f t="shared" si="9"/>
        <v>135.8209178250319</v>
      </c>
      <c r="BT28" s="1">
        <f t="shared" si="10"/>
        <v>1002.0221061768497</v>
      </c>
      <c r="BU28" s="1">
        <f t="shared" si="11"/>
        <v>1614.2780781978781</v>
      </c>
    </row>
    <row r="29" spans="3:73" ht="18.75">
      <c r="D29" s="4"/>
      <c r="E29" s="4"/>
      <c r="F29" s="4"/>
      <c r="G29" s="38" t="s">
        <v>39</v>
      </c>
      <c r="H29" s="34"/>
      <c r="I29" s="34"/>
      <c r="J29" s="34"/>
      <c r="K29" s="34"/>
      <c r="L29" s="39"/>
      <c r="M29" s="31">
        <f xml:space="preserve"> (4/3)*PI()*POWER(M27,3)</f>
        <v>179594380030.21649</v>
      </c>
      <c r="N29" s="32"/>
      <c r="O29" s="31" t="s">
        <v>12</v>
      </c>
      <c r="P29" s="32"/>
      <c r="T29" s="19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1"/>
      <c r="AK29" s="1">
        <v>19</v>
      </c>
      <c r="AL29" s="1">
        <f t="shared" si="19"/>
        <v>7.4612825522757618</v>
      </c>
      <c r="AN29" s="1">
        <f t="shared" si="12"/>
        <v>21913.417161825437</v>
      </c>
      <c r="AO29" s="1">
        <f t="shared" si="0"/>
        <v>12119.397662556439</v>
      </c>
      <c r="AQ29" s="1">
        <f t="shared" si="1"/>
        <v>-18660.607986722196</v>
      </c>
      <c r="AR29" s="1">
        <f t="shared" si="2"/>
        <v>13233.578363789507</v>
      </c>
      <c r="AT29" s="1">
        <f t="shared" si="3"/>
        <v>-3086.5828381745641</v>
      </c>
      <c r="AU29" s="1">
        <f t="shared" si="4"/>
        <v>-10380.602337443561</v>
      </c>
      <c r="AW29" s="1">
        <v>19</v>
      </c>
      <c r="AX29" s="1">
        <f t="shared" si="13"/>
        <v>9.5</v>
      </c>
      <c r="AZ29" s="1">
        <f t="shared" si="14"/>
        <v>-10941.137467635344</v>
      </c>
      <c r="BA29" s="1">
        <f t="shared" si="15"/>
        <v>-22597.394794901582</v>
      </c>
      <c r="BC29" s="1">
        <f t="shared" si="16"/>
        <v>-1631.244182301285</v>
      </c>
      <c r="BD29" s="1">
        <f t="shared" si="17"/>
        <v>1342.9527573417222</v>
      </c>
      <c r="BF29" s="1">
        <f t="shared" si="5"/>
        <v>1306.8356790349021</v>
      </c>
      <c r="BG29" s="1">
        <f t="shared" si="6"/>
        <v>1806.5581552856934</v>
      </c>
      <c r="BJ29" s="1">
        <f t="shared" si="18"/>
        <v>186.24546355077956</v>
      </c>
      <c r="BK29" s="1">
        <f t="shared" si="7"/>
        <v>181.16668306427528</v>
      </c>
      <c r="BO29" s="1">
        <f t="shared" si="8"/>
        <v>-39.450198759995217</v>
      </c>
      <c r="BP29" s="1">
        <f t="shared" si="9"/>
        <v>141.95752492352045</v>
      </c>
      <c r="BT29" s="1">
        <f t="shared" si="10"/>
        <v>1160.0404142441178</v>
      </c>
      <c r="BU29" s="1">
        <f t="shared" si="11"/>
        <v>1483.4339472978977</v>
      </c>
    </row>
    <row r="30" spans="3:73" ht="18">
      <c r="D30" s="4"/>
      <c r="E30" s="4"/>
      <c r="F30" s="4"/>
      <c r="G30" s="4"/>
      <c r="H30" s="38" t="s">
        <v>40</v>
      </c>
      <c r="I30" s="34"/>
      <c r="J30" s="34"/>
      <c r="K30" s="34"/>
      <c r="L30" s="39"/>
      <c r="M30" s="31">
        <f xml:space="preserve"> M28*M29</f>
        <v>179594380030.21649</v>
      </c>
      <c r="N30" s="32"/>
      <c r="O30" s="31" t="s">
        <v>6</v>
      </c>
      <c r="P30" s="32"/>
      <c r="T30" s="19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1"/>
      <c r="AK30">
        <v>20</v>
      </c>
      <c r="AL30" s="1">
        <f t="shared" si="19"/>
        <v>7.8539816339744863</v>
      </c>
      <c r="AN30" s="1">
        <f t="shared" si="12"/>
        <v>19999.999999999985</v>
      </c>
      <c r="AO30" s="1">
        <f t="shared" si="0"/>
        <v>12500</v>
      </c>
      <c r="AQ30" s="1">
        <f t="shared" si="1"/>
        <v>-20000.000000000011</v>
      </c>
      <c r="AR30" s="1">
        <f t="shared" si="2"/>
        <v>13500</v>
      </c>
      <c r="AT30" s="1">
        <f t="shared" si="3"/>
        <v>-5000.0000000000164</v>
      </c>
      <c r="AU30" s="1">
        <f t="shared" si="4"/>
        <v>-10000</v>
      </c>
      <c r="AW30" s="1">
        <v>20</v>
      </c>
      <c r="AX30" s="1">
        <f t="shared" si="13"/>
        <v>10</v>
      </c>
      <c r="AZ30" s="1">
        <f t="shared" si="14"/>
        <v>-11593.405098906624</v>
      </c>
      <c r="BA30" s="1">
        <f t="shared" si="15"/>
        <v>-21700.09864682001</v>
      </c>
      <c r="BC30" s="1">
        <f t="shared" si="16"/>
        <v>-977.82634278383398</v>
      </c>
      <c r="BD30" s="1">
        <f t="shared" si="17"/>
        <v>2246.2318349845691</v>
      </c>
      <c r="BF30" s="1">
        <f t="shared" si="5"/>
        <v>1487.353052787591</v>
      </c>
      <c r="BG30" s="1">
        <f t="shared" si="6"/>
        <v>1685.4175391133945</v>
      </c>
      <c r="BJ30" s="1">
        <f t="shared" si="18"/>
        <v>191.99044231157399</v>
      </c>
      <c r="BK30" s="1">
        <f t="shared" si="7"/>
        <v>177.44652205718029</v>
      </c>
      <c r="BO30" s="1">
        <f t="shared" si="8"/>
        <v>-40.034536640023383</v>
      </c>
      <c r="BP30" s="1">
        <f t="shared" si="9"/>
        <v>150.96466235138917</v>
      </c>
      <c r="BT30" s="1">
        <f t="shared" si="10"/>
        <v>1335.3971471160403</v>
      </c>
      <c r="BU30" s="1">
        <f t="shared" si="11"/>
        <v>1357.0063547048251</v>
      </c>
    </row>
    <row r="31" spans="3:73" ht="18">
      <c r="D31" s="4"/>
      <c r="E31" s="4"/>
      <c r="F31" s="4"/>
      <c r="G31" s="4"/>
      <c r="H31" s="4"/>
      <c r="I31" s="38" t="s">
        <v>41</v>
      </c>
      <c r="J31" s="34"/>
      <c r="K31" s="34"/>
      <c r="L31" s="39"/>
      <c r="M31" s="31">
        <f xml:space="preserve"> M27*$M$7</f>
        <v>7000</v>
      </c>
      <c r="N31" s="32"/>
      <c r="O31" s="31" t="s">
        <v>7</v>
      </c>
      <c r="P31" s="32"/>
      <c r="T31" s="19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1"/>
      <c r="AK31" s="1">
        <v>21</v>
      </c>
      <c r="AL31" s="1">
        <f t="shared" si="19"/>
        <v>8.2466807156732109</v>
      </c>
      <c r="AN31" s="1">
        <f t="shared" si="12"/>
        <v>18086.582838174534</v>
      </c>
      <c r="AO31" s="1">
        <f t="shared" si="0"/>
        <v>12119.397662556426</v>
      </c>
      <c r="AQ31" s="1">
        <f t="shared" si="1"/>
        <v>-21339.392013277826</v>
      </c>
      <c r="AR31" s="1">
        <f t="shared" si="2"/>
        <v>13233.578363789498</v>
      </c>
      <c r="AT31" s="1">
        <f t="shared" si="3"/>
        <v>-6913.4171618254659</v>
      </c>
      <c r="AU31" s="1">
        <f t="shared" si="4"/>
        <v>-10380.602337443574</v>
      </c>
      <c r="AW31" s="1">
        <v>21</v>
      </c>
      <c r="AX31" s="1">
        <f t="shared" si="13"/>
        <v>10.5</v>
      </c>
      <c r="AZ31" s="1">
        <f t="shared" si="14"/>
        <v>-11896.399138700093</v>
      </c>
      <c r="BA31" s="1">
        <f t="shared" si="15"/>
        <v>-20366.305536938551</v>
      </c>
      <c r="BC31" s="1">
        <f t="shared" si="16"/>
        <v>-234.1498163900385</v>
      </c>
      <c r="BD31" s="1">
        <f t="shared" si="17"/>
        <v>3088.9406045412661</v>
      </c>
      <c r="BF31" s="1">
        <f t="shared" si="5"/>
        <v>1700.8398880258603</v>
      </c>
      <c r="BG31" s="1">
        <f t="shared" si="6"/>
        <v>1540.118143149296</v>
      </c>
      <c r="BJ31" s="1">
        <f t="shared" si="18"/>
        <v>202.62864471487001</v>
      </c>
      <c r="BK31" s="1">
        <f t="shared" si="7"/>
        <v>177.02661982648033</v>
      </c>
      <c r="BO31" s="1">
        <f t="shared" si="8"/>
        <v>-43.595366025625069</v>
      </c>
      <c r="BP31" s="1">
        <f t="shared" si="9"/>
        <v>163.36320450467551</v>
      </c>
      <c r="BT31" s="1">
        <f t="shared" si="10"/>
        <v>1541.8066093366153</v>
      </c>
      <c r="BU31" s="1">
        <f t="shared" si="11"/>
        <v>1199.7283188181402</v>
      </c>
    </row>
    <row r="32" spans="3:73" ht="18">
      <c r="D32" s="4"/>
      <c r="E32" s="4"/>
      <c r="F32" s="4"/>
      <c r="G32" s="4"/>
      <c r="H32" s="4"/>
      <c r="I32" s="4"/>
      <c r="J32" s="36" t="s">
        <v>42</v>
      </c>
      <c r="K32" s="29"/>
      <c r="L32" s="37"/>
      <c r="M32" s="31" t="s">
        <v>13</v>
      </c>
      <c r="N32" s="32"/>
      <c r="O32" s="31" t="s">
        <v>4</v>
      </c>
      <c r="P32" s="32"/>
      <c r="T32" s="19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1"/>
      <c r="AK32" s="1">
        <v>22</v>
      </c>
      <c r="AL32" s="1">
        <f t="shared" si="19"/>
        <v>8.6393797973719355</v>
      </c>
      <c r="AN32" s="1">
        <f t="shared" si="12"/>
        <v>16464.466094067247</v>
      </c>
      <c r="AO32" s="1">
        <f t="shared" si="0"/>
        <v>11035.533905932723</v>
      </c>
      <c r="AQ32" s="1">
        <f t="shared" si="1"/>
        <v>-22474.873734152927</v>
      </c>
      <c r="AR32" s="1">
        <f t="shared" si="2"/>
        <v>12474.873734152905</v>
      </c>
      <c r="AT32" s="1">
        <f t="shared" si="3"/>
        <v>-8535.5339059327525</v>
      </c>
      <c r="AU32" s="1">
        <f t="shared" si="4"/>
        <v>-11464.466094067277</v>
      </c>
      <c r="AW32" s="1">
        <v>22</v>
      </c>
      <c r="AX32" s="1">
        <f t="shared" si="13"/>
        <v>11</v>
      </c>
      <c r="AZ32" s="1">
        <f t="shared" si="14"/>
        <v>-11800.869060891881</v>
      </c>
      <c r="BA32" s="1">
        <f t="shared" si="15"/>
        <v>-18629.320466774254</v>
      </c>
      <c r="BC32" s="1">
        <f t="shared" si="16"/>
        <v>616.27012762289166</v>
      </c>
      <c r="BD32" s="1">
        <f t="shared" si="17"/>
        <v>3858.9996761159141</v>
      </c>
      <c r="BF32" s="1">
        <f t="shared" si="5"/>
        <v>1936.7138635855035</v>
      </c>
      <c r="BG32" s="1">
        <f t="shared" si="6"/>
        <v>1303.6839737957985</v>
      </c>
      <c r="BJ32" s="1">
        <f t="shared" si="18"/>
        <v>219.12434986171948</v>
      </c>
      <c r="BK32" s="1">
        <f t="shared" si="7"/>
        <v>180.0444619499921</v>
      </c>
      <c r="BO32" s="1">
        <f t="shared" si="8"/>
        <v>-51.432973639756526</v>
      </c>
      <c r="BP32" s="1">
        <f t="shared" si="9"/>
        <v>179.59111713514309</v>
      </c>
      <c r="BT32" s="1">
        <f t="shared" si="10"/>
        <v>1769.0224873635407</v>
      </c>
      <c r="BU32" s="1">
        <f t="shared" si="11"/>
        <v>944.04839471066339</v>
      </c>
    </row>
    <row r="33" spans="3:73">
      <c r="C33" s="27" t="s">
        <v>15</v>
      </c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T33" s="19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1"/>
      <c r="AK33" s="1">
        <v>23</v>
      </c>
      <c r="AL33" s="1">
        <f t="shared" si="19"/>
        <v>9.0320788790706601</v>
      </c>
      <c r="AN33" s="1">
        <f t="shared" si="12"/>
        <v>15380.602337443557</v>
      </c>
      <c r="AO33" s="1">
        <f t="shared" si="0"/>
        <v>9413.4171618254277</v>
      </c>
      <c r="AQ33" s="1">
        <f t="shared" si="1"/>
        <v>-23233.578363789511</v>
      </c>
      <c r="AR33" s="1">
        <f t="shared" si="2"/>
        <v>11339.3920132778</v>
      </c>
      <c r="AT33" s="1">
        <f t="shared" si="3"/>
        <v>-9619.3976625564428</v>
      </c>
      <c r="AU33" s="1">
        <f t="shared" si="4"/>
        <v>-13086.582838174572</v>
      </c>
      <c r="AW33" s="1">
        <v>23</v>
      </c>
      <c r="AX33" s="1">
        <f t="shared" si="13"/>
        <v>11.5</v>
      </c>
      <c r="AZ33" s="1">
        <f t="shared" si="14"/>
        <v>-11250.644764132247</v>
      </c>
      <c r="BA33" s="1">
        <f t="shared" si="15"/>
        <v>-16536.860131991823</v>
      </c>
      <c r="BC33" s="1">
        <f t="shared" si="16"/>
        <v>1584.6270594156435</v>
      </c>
      <c r="BD33" s="1">
        <f t="shared" si="17"/>
        <v>4510.8416630138136</v>
      </c>
      <c r="BF33" s="1">
        <f t="shared" si="5"/>
        <v>2123.2328115318446</v>
      </c>
      <c r="BG33" s="1">
        <f t="shared" si="6"/>
        <v>864.85220399511627</v>
      </c>
      <c r="BJ33" s="1">
        <f t="shared" si="18"/>
        <v>243.16847967313583</v>
      </c>
      <c r="BK33" s="1">
        <f t="shared" si="7"/>
        <v>187.03635648250165</v>
      </c>
      <c r="BO33" s="1">
        <f t="shared" si="8"/>
        <v>-65.742022733859258</v>
      </c>
      <c r="BP33" s="1">
        <f t="shared" si="9"/>
        <v>199.39604862890488</v>
      </c>
      <c r="BT33" s="1">
        <f t="shared" si="10"/>
        <v>1945.8063545925679</v>
      </c>
      <c r="BU33" s="1">
        <f t="shared" si="11"/>
        <v>478.41979888370975</v>
      </c>
    </row>
    <row r="34" spans="3:73" ht="18">
      <c r="D34" s="28" t="s">
        <v>43</v>
      </c>
      <c r="E34" s="29"/>
      <c r="F34" s="29"/>
      <c r="G34" s="29"/>
      <c r="H34" s="29"/>
      <c r="I34" s="29"/>
      <c r="J34" s="29"/>
      <c r="K34" s="29"/>
      <c r="L34" s="30"/>
      <c r="M34" s="9">
        <v>-5000</v>
      </c>
      <c r="N34" s="10">
        <v>-15000</v>
      </c>
      <c r="O34" s="25" t="s">
        <v>7</v>
      </c>
      <c r="P34" s="26"/>
      <c r="T34" s="19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1"/>
      <c r="AK34" s="1">
        <v>24</v>
      </c>
      <c r="AL34" s="1">
        <f t="shared" si="19"/>
        <v>9.4247779607693847</v>
      </c>
      <c r="AN34" s="1">
        <f t="shared" si="12"/>
        <v>15000</v>
      </c>
      <c r="AO34" s="1">
        <f t="shared" si="0"/>
        <v>7499.9999999999754</v>
      </c>
      <c r="AQ34" s="1">
        <f t="shared" si="1"/>
        <v>-23500</v>
      </c>
      <c r="AR34" s="1">
        <f t="shared" si="2"/>
        <v>9999.9999999999818</v>
      </c>
      <c r="AT34" s="1">
        <f t="shared" si="3"/>
        <v>-10000</v>
      </c>
      <c r="AU34" s="1">
        <f t="shared" si="4"/>
        <v>-15000.000000000025</v>
      </c>
      <c r="AW34" s="1">
        <v>24</v>
      </c>
      <c r="AX34" s="1">
        <f t="shared" si="13"/>
        <v>12</v>
      </c>
      <c r="AZ34" s="1">
        <f t="shared" si="14"/>
        <v>-10192.927132982944</v>
      </c>
      <c r="BA34" s="1">
        <f t="shared" si="15"/>
        <v>-14173.332774985527</v>
      </c>
      <c r="BC34" s="1">
        <f t="shared" si="16"/>
        <v>2646.2434651815656</v>
      </c>
      <c r="BD34" s="1">
        <f t="shared" si="17"/>
        <v>4943.2677650113719</v>
      </c>
      <c r="BF34" s="1">
        <f t="shared" si="5"/>
        <v>2073.1936642192368</v>
      </c>
      <c r="BG34" s="1">
        <f t="shared" si="6"/>
        <v>119.24291736553374</v>
      </c>
      <c r="BJ34" s="1">
        <f t="shared" si="18"/>
        <v>277.28028291677634</v>
      </c>
      <c r="BK34" s="1">
        <f t="shared" si="7"/>
        <v>199.03959020364465</v>
      </c>
      <c r="BO34" s="1">
        <f t="shared" si="8"/>
        <v>-89.385809070763131</v>
      </c>
      <c r="BP34" s="1">
        <f t="shared" si="9"/>
        <v>220.32597670359687</v>
      </c>
      <c r="BT34" s="1">
        <f t="shared" si="10"/>
        <v>1885.2991903732236</v>
      </c>
      <c r="BU34" s="1">
        <f t="shared" si="11"/>
        <v>-300.12264954170774</v>
      </c>
    </row>
    <row r="35" spans="3:73" ht="18">
      <c r="D35" s="4"/>
      <c r="E35" s="28" t="s">
        <v>44</v>
      </c>
      <c r="F35" s="29"/>
      <c r="G35" s="29"/>
      <c r="H35" s="29"/>
      <c r="I35" s="29"/>
      <c r="J35" s="29"/>
      <c r="K35" s="29"/>
      <c r="L35" s="30"/>
      <c r="M35" s="25">
        <v>5000</v>
      </c>
      <c r="N35" s="26"/>
      <c r="O35" s="25" t="s">
        <v>7</v>
      </c>
      <c r="P35" s="26"/>
      <c r="T35" s="19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1"/>
      <c r="AK35">
        <v>25</v>
      </c>
      <c r="AL35" s="1">
        <f t="shared" si="19"/>
        <v>9.8174770424681093</v>
      </c>
      <c r="AN35" s="1">
        <f t="shared" si="12"/>
        <v>15380.602337443575</v>
      </c>
      <c r="AO35" s="1">
        <f t="shared" si="0"/>
        <v>5586.5828381745259</v>
      </c>
      <c r="AQ35" s="1">
        <f t="shared" si="1"/>
        <v>-23233.578363789497</v>
      </c>
      <c r="AR35" s="1">
        <f t="shared" si="2"/>
        <v>8660.6079867221688</v>
      </c>
      <c r="AT35" s="1">
        <f t="shared" si="3"/>
        <v>-9619.3976625564246</v>
      </c>
      <c r="AU35" s="1">
        <f t="shared" si="4"/>
        <v>-16913.417161825473</v>
      </c>
      <c r="AW35" s="1">
        <v>25</v>
      </c>
      <c r="AX35" s="1">
        <f t="shared" si="13"/>
        <v>12.5</v>
      </c>
      <c r="AZ35" s="1">
        <f t="shared" si="14"/>
        <v>-8610.6561923647569</v>
      </c>
      <c r="BA35" s="1">
        <f t="shared" si="15"/>
        <v>-11686.793527809148</v>
      </c>
      <c r="BC35" s="1">
        <f t="shared" si="16"/>
        <v>3682.840297291184</v>
      </c>
      <c r="BD35" s="1">
        <f t="shared" si="17"/>
        <v>5002.8892236941392</v>
      </c>
      <c r="BF35" s="1">
        <f t="shared" si="5"/>
        <v>1569.7837907732332</v>
      </c>
      <c r="BG35" s="1">
        <f t="shared" si="6"/>
        <v>-802.93150514278454</v>
      </c>
      <c r="BJ35" s="1">
        <f t="shared" si="18"/>
        <v>324.57056064158644</v>
      </c>
      <c r="BK35" s="1">
        <f t="shared" si="7"/>
        <v>217.6625481906033</v>
      </c>
      <c r="BO35" s="1">
        <f t="shared" si="8"/>
        <v>-123.70581268623702</v>
      </c>
      <c r="BP35" s="1">
        <f t="shared" si="9"/>
        <v>235.55197412846198</v>
      </c>
      <c r="BT35" s="1">
        <f t="shared" si="10"/>
        <v>1368.9190428178838</v>
      </c>
      <c r="BU35" s="1">
        <f t="shared" si="11"/>
        <v>-1256.1460274618498</v>
      </c>
    </row>
    <row r="36" spans="3:73" ht="18.75">
      <c r="D36" s="4"/>
      <c r="E36" s="4"/>
      <c r="F36" s="28" t="s">
        <v>45</v>
      </c>
      <c r="G36" s="29"/>
      <c r="H36" s="29"/>
      <c r="I36" s="29"/>
      <c r="J36" s="29"/>
      <c r="K36" s="29"/>
      <c r="L36" s="30"/>
      <c r="M36" s="25">
        <v>1</v>
      </c>
      <c r="N36" s="26"/>
      <c r="O36" s="25" t="s">
        <v>11</v>
      </c>
      <c r="P36" s="26"/>
      <c r="T36" s="19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1"/>
      <c r="AK36" s="1">
        <v>26</v>
      </c>
      <c r="AL36" s="1">
        <f t="shared" si="19"/>
        <v>10.210176124166834</v>
      </c>
      <c r="AN36" s="1">
        <f t="shared" si="12"/>
        <v>16464.466094067284</v>
      </c>
      <c r="AO36" s="1">
        <f t="shared" si="0"/>
        <v>3964.4660940672416</v>
      </c>
      <c r="AQ36" s="1">
        <f t="shared" si="1"/>
        <v>-22474.873734152901</v>
      </c>
      <c r="AR36" s="1">
        <f t="shared" si="2"/>
        <v>7525.1262658470696</v>
      </c>
      <c r="AT36" s="1">
        <f t="shared" si="3"/>
        <v>-8535.533905932718</v>
      </c>
      <c r="AU36" s="1">
        <f t="shared" si="4"/>
        <v>-18535.53390593276</v>
      </c>
      <c r="AW36" s="1">
        <v>26</v>
      </c>
      <c r="AX36" s="1">
        <f t="shared" si="13"/>
        <v>13</v>
      </c>
      <c r="AZ36" s="1">
        <f t="shared" si="14"/>
        <v>-6573.0130698725106</v>
      </c>
      <c r="BA36" s="1">
        <f t="shared" si="15"/>
        <v>-9285.7153541049265</v>
      </c>
      <c r="BC36" s="1">
        <f t="shared" si="16"/>
        <v>4467.7321926778004</v>
      </c>
      <c r="BD36" s="1">
        <f t="shared" si="17"/>
        <v>4601.4234711227473</v>
      </c>
      <c r="BF36" s="1">
        <f t="shared" si="5"/>
        <v>748.52943409549277</v>
      </c>
      <c r="BG36" s="1">
        <f t="shared" si="6"/>
        <v>-1424.8896959374397</v>
      </c>
      <c r="BJ36" s="1">
        <f t="shared" si="18"/>
        <v>387.76158564583562</v>
      </c>
      <c r="BK36" s="1">
        <f t="shared" si="7"/>
        <v>244.94232493668068</v>
      </c>
      <c r="BO36" s="1">
        <f t="shared" si="8"/>
        <v>-163.57546044041359</v>
      </c>
      <c r="BP36" s="1">
        <f t="shared" si="9"/>
        <v>234.94993965414656</v>
      </c>
      <c r="BT36" s="1">
        <f t="shared" si="10"/>
        <v>524.34330889007072</v>
      </c>
      <c r="BU36" s="1">
        <f t="shared" si="11"/>
        <v>-1904.7819605282671</v>
      </c>
    </row>
    <row r="37" spans="3:73" ht="18.75">
      <c r="D37" s="4"/>
      <c r="E37" s="4"/>
      <c r="F37" s="4"/>
      <c r="G37" s="33" t="s">
        <v>46</v>
      </c>
      <c r="H37" s="34"/>
      <c r="I37" s="34"/>
      <c r="J37" s="34"/>
      <c r="K37" s="34"/>
      <c r="L37" s="35"/>
      <c r="M37" s="25">
        <f xml:space="preserve"> (4/3)*PI()*POWER(M35,3)</f>
        <v>523598775598.29883</v>
      </c>
      <c r="N37" s="26"/>
      <c r="O37" s="25" t="s">
        <v>12</v>
      </c>
      <c r="P37" s="26"/>
      <c r="T37" s="19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1"/>
      <c r="AK37" s="1">
        <v>27</v>
      </c>
      <c r="AL37" s="1">
        <f t="shared" si="19"/>
        <v>10.602875205865558</v>
      </c>
      <c r="AN37" s="1">
        <f t="shared" si="12"/>
        <v>18086.582838174581</v>
      </c>
      <c r="AO37" s="1">
        <f t="shared" si="0"/>
        <v>2880.6023374435545</v>
      </c>
      <c r="AQ37" s="1">
        <f t="shared" si="1"/>
        <v>-21339.392013277793</v>
      </c>
      <c r="AR37" s="1">
        <f t="shared" si="2"/>
        <v>6766.421636210488</v>
      </c>
      <c r="AT37" s="1">
        <f t="shared" si="3"/>
        <v>-6913.4171618254204</v>
      </c>
      <c r="AU37" s="1">
        <f t="shared" si="4"/>
        <v>-19619.397662556446</v>
      </c>
      <c r="AW37" s="1">
        <v>27</v>
      </c>
      <c r="AX37" s="1">
        <f t="shared" si="13"/>
        <v>13.5</v>
      </c>
      <c r="AZ37" s="1">
        <f t="shared" si="14"/>
        <v>-4245.5807942716738</v>
      </c>
      <c r="BA37" s="1">
        <f t="shared" si="15"/>
        <v>-7163.1148305357328</v>
      </c>
      <c r="BC37" s="1">
        <f t="shared" si="16"/>
        <v>4841.9969097255471</v>
      </c>
      <c r="BD37" s="1">
        <f t="shared" si="17"/>
        <v>3888.9786231540274</v>
      </c>
      <c r="BF37" s="1">
        <f t="shared" si="5"/>
        <v>79.810464152282407</v>
      </c>
      <c r="BG37" s="1">
        <f t="shared" si="6"/>
        <v>-1493.2089989348358</v>
      </c>
      <c r="BJ37" s="1">
        <f t="shared" si="18"/>
        <v>467.95502276291393</v>
      </c>
      <c r="BK37" s="1">
        <f t="shared" si="7"/>
        <v>283.00737740709138</v>
      </c>
      <c r="BO37" s="1">
        <f t="shared" si="8"/>
        <v>-196.54457476120621</v>
      </c>
      <c r="BP37" s="1">
        <f t="shared" si="9"/>
        <v>214.11878545918441</v>
      </c>
      <c r="BT37" s="1">
        <f t="shared" si="10"/>
        <v>-191.59998384942531</v>
      </c>
      <c r="BU37" s="1">
        <f t="shared" si="11"/>
        <v>-1990.3351618011116</v>
      </c>
    </row>
    <row r="38" spans="3:73" ht="18">
      <c r="D38" s="4"/>
      <c r="E38" s="4"/>
      <c r="F38" s="4"/>
      <c r="G38" s="4"/>
      <c r="H38" s="33" t="s">
        <v>47</v>
      </c>
      <c r="I38" s="34"/>
      <c r="J38" s="34"/>
      <c r="K38" s="34"/>
      <c r="L38" s="35"/>
      <c r="M38" s="25">
        <f xml:space="preserve"> M36*M37</f>
        <v>523598775598.29883</v>
      </c>
      <c r="N38" s="26"/>
      <c r="O38" s="25" t="s">
        <v>6</v>
      </c>
      <c r="P38" s="26"/>
      <c r="T38" s="19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1"/>
      <c r="AK38" s="1">
        <v>28</v>
      </c>
      <c r="AL38" s="1">
        <f t="shared" si="19"/>
        <v>10.995574287564283</v>
      </c>
      <c r="AN38" s="1">
        <f t="shared" si="12"/>
        <v>20000.000000000033</v>
      </c>
      <c r="AO38" s="1">
        <f t="shared" si="0"/>
        <v>2500</v>
      </c>
      <c r="AQ38" s="1">
        <f t="shared" si="1"/>
        <v>-19999.999999999978</v>
      </c>
      <c r="AR38" s="1">
        <f t="shared" si="2"/>
        <v>6500</v>
      </c>
      <c r="AT38" s="1">
        <f t="shared" si="3"/>
        <v>-4999.9999999999663</v>
      </c>
      <c r="AU38" s="1">
        <f t="shared" si="4"/>
        <v>-20000</v>
      </c>
      <c r="AW38" s="1">
        <v>28</v>
      </c>
      <c r="AX38" s="1">
        <f t="shared" si="13"/>
        <v>14</v>
      </c>
      <c r="AZ38" s="1">
        <f t="shared" si="14"/>
        <v>-1814.6060313898649</v>
      </c>
      <c r="BA38" s="1">
        <f t="shared" si="15"/>
        <v>-5405.276643825574</v>
      </c>
      <c r="BC38" s="1">
        <f t="shared" si="16"/>
        <v>4881.9021418016882</v>
      </c>
      <c r="BD38" s="1">
        <f t="shared" si="17"/>
        <v>3142.3741236866094</v>
      </c>
      <c r="BF38" s="1">
        <f t="shared" si="5"/>
        <v>-228.50923531087881</v>
      </c>
      <c r="BG38" s="1">
        <f t="shared" si="6"/>
        <v>-1232.6540634206776</v>
      </c>
      <c r="BJ38" s="1">
        <f t="shared" si="18"/>
        <v>564.63616719073752</v>
      </c>
      <c r="BK38" s="1">
        <f t="shared" si="7"/>
        <v>334.03243360070695</v>
      </c>
      <c r="BO38" s="1">
        <f t="shared" si="8"/>
        <v>-213.08597829159862</v>
      </c>
      <c r="BP38" s="1">
        <f t="shared" si="9"/>
        <v>180.51016382534672</v>
      </c>
      <c r="BT38" s="1">
        <f t="shared" si="10"/>
        <v>-580.05942421001771</v>
      </c>
      <c r="BU38" s="1">
        <f t="shared" si="11"/>
        <v>-1747.1966608467312</v>
      </c>
    </row>
    <row r="39" spans="3:73" ht="18">
      <c r="D39" s="4"/>
      <c r="E39" s="4"/>
      <c r="F39" s="4"/>
      <c r="G39" s="4"/>
      <c r="H39" s="4"/>
      <c r="I39" s="33" t="s">
        <v>48</v>
      </c>
      <c r="J39" s="34"/>
      <c r="K39" s="34"/>
      <c r="L39" s="35"/>
      <c r="M39" s="25">
        <f xml:space="preserve"> M35*$M$7</f>
        <v>10000</v>
      </c>
      <c r="N39" s="26"/>
      <c r="O39" s="25" t="s">
        <v>7</v>
      </c>
      <c r="P39" s="26"/>
      <c r="T39" s="19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1"/>
      <c r="AK39" s="1">
        <v>29</v>
      </c>
      <c r="AL39" s="1">
        <f t="shared" si="19"/>
        <v>11.388273369263008</v>
      </c>
      <c r="AN39" s="1">
        <f t="shared" si="12"/>
        <v>21913.41716182548</v>
      </c>
      <c r="AO39" s="1">
        <f t="shared" si="0"/>
        <v>2880.6023374435799</v>
      </c>
      <c r="AQ39" s="1">
        <f t="shared" si="1"/>
        <v>-18660.607986722163</v>
      </c>
      <c r="AR39" s="1">
        <f t="shared" si="2"/>
        <v>6766.4216362105053</v>
      </c>
      <c r="AT39" s="1">
        <f t="shared" si="3"/>
        <v>-3086.5828381745187</v>
      </c>
      <c r="AU39" s="1">
        <f t="shared" si="4"/>
        <v>-19619.397662556421</v>
      </c>
      <c r="AW39" s="1">
        <v>29</v>
      </c>
      <c r="AX39" s="1">
        <f t="shared" si="13"/>
        <v>14.5</v>
      </c>
      <c r="AZ39" s="1">
        <f t="shared" si="14"/>
        <v>597.78138509711937</v>
      </c>
      <c r="BA39" s="1">
        <f t="shared" si="15"/>
        <v>-3988.1713399098535</v>
      </c>
      <c r="BC39" s="1">
        <f t="shared" si="16"/>
        <v>4767.6475241462485</v>
      </c>
      <c r="BD39" s="1">
        <f t="shared" si="17"/>
        <v>2526.0470919762706</v>
      </c>
      <c r="BF39" s="1">
        <f t="shared" si="5"/>
        <v>-266.97815697482838</v>
      </c>
      <c r="BG39" s="1">
        <f t="shared" si="6"/>
        <v>-890.20130821415648</v>
      </c>
      <c r="BJ39" s="1">
        <f t="shared" si="18"/>
        <v>676.92465261180155</v>
      </c>
      <c r="BK39" s="1">
        <f t="shared" si="7"/>
        <v>400.81119318179884</v>
      </c>
      <c r="BO39" s="1">
        <f t="shared" si="8"/>
        <v>-213.81335989715151</v>
      </c>
      <c r="BP39" s="1">
        <f t="shared" si="9"/>
        <v>145.20291564833809</v>
      </c>
      <c r="BT39" s="1">
        <f t="shared" si="10"/>
        <v>-730.08944968947844</v>
      </c>
      <c r="BU39" s="1">
        <f t="shared" si="11"/>
        <v>-1436.2154170442934</v>
      </c>
    </row>
    <row r="40" spans="3:73" ht="18">
      <c r="D40" s="4"/>
      <c r="E40" s="4"/>
      <c r="F40" s="4"/>
      <c r="G40" s="4"/>
      <c r="H40" s="4"/>
      <c r="I40" s="4"/>
      <c r="J40" s="28" t="s">
        <v>49</v>
      </c>
      <c r="K40" s="29"/>
      <c r="L40" s="30"/>
      <c r="M40" s="25" t="s">
        <v>13</v>
      </c>
      <c r="N40" s="26"/>
      <c r="O40" s="25" t="s">
        <v>4</v>
      </c>
      <c r="P40" s="26"/>
      <c r="T40" s="22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4"/>
      <c r="AK40">
        <v>30</v>
      </c>
      <c r="AL40" s="1">
        <f t="shared" si="19"/>
        <v>11.780972450961732</v>
      </c>
      <c r="AN40" s="1">
        <f t="shared" si="12"/>
        <v>23535.533905932763</v>
      </c>
      <c r="AO40" s="1">
        <f t="shared" si="0"/>
        <v>3964.4660940672889</v>
      </c>
      <c r="AQ40" s="1">
        <f t="shared" si="1"/>
        <v>-17525.126265847066</v>
      </c>
      <c r="AR40" s="1">
        <f t="shared" si="2"/>
        <v>7525.1262658471023</v>
      </c>
      <c r="AT40" s="1">
        <f t="shared" si="3"/>
        <v>-1464.4660940672356</v>
      </c>
      <c r="AU40" s="1">
        <f t="shared" si="4"/>
        <v>-18535.533905932713</v>
      </c>
      <c r="AW40" s="1">
        <v>30</v>
      </c>
      <c r="AX40" s="1">
        <f t="shared" si="13"/>
        <v>15</v>
      </c>
      <c r="AZ40" s="1">
        <f t="shared" si="14"/>
        <v>2948.2328775483902</v>
      </c>
      <c r="BA40" s="1">
        <f t="shared" si="15"/>
        <v>-2836.422957448488</v>
      </c>
      <c r="BC40" s="1">
        <f t="shared" si="16"/>
        <v>4634.1584456588344</v>
      </c>
      <c r="BD40" s="1">
        <f t="shared" si="17"/>
        <v>2080.9464378691923</v>
      </c>
      <c r="BF40" s="1">
        <f t="shared" si="5"/>
        <v>-158.56612339967489</v>
      </c>
      <c r="BG40" s="1">
        <f t="shared" si="6"/>
        <v>-558.51525269642536</v>
      </c>
      <c r="BJ40" s="1">
        <f t="shared" si="18"/>
        <v>804.34375684142651</v>
      </c>
      <c r="BK40" s="1">
        <f t="shared" si="7"/>
        <v>487.57628544839872</v>
      </c>
      <c r="BO40" s="1">
        <f t="shared" si="8"/>
        <v>-204.57221429083279</v>
      </c>
      <c r="BP40" s="1">
        <f t="shared" si="9"/>
        <v>114.43040002213262</v>
      </c>
      <c r="BT40" s="1">
        <f t="shared" si="10"/>
        <v>-758.33766595026862</v>
      </c>
      <c r="BU40" s="1">
        <f t="shared" si="11"/>
        <v>-1160.5219381669567</v>
      </c>
    </row>
    <row r="41" spans="3:73">
      <c r="AK41" s="1">
        <v>31</v>
      </c>
      <c r="AL41" s="1">
        <f t="shared" si="19"/>
        <v>12.173671532660457</v>
      </c>
      <c r="AN41" s="1">
        <f t="shared" si="12"/>
        <v>24619.39766255645</v>
      </c>
      <c r="AO41" s="1">
        <f t="shared" si="0"/>
        <v>5586.5828381745878</v>
      </c>
      <c r="AQ41" s="1">
        <f t="shared" si="1"/>
        <v>-16766.421636210485</v>
      </c>
      <c r="AR41" s="1">
        <f t="shared" si="2"/>
        <v>8660.6079867222106</v>
      </c>
      <c r="AT41" s="1">
        <f t="shared" si="3"/>
        <v>-380.60233744355082</v>
      </c>
      <c r="AU41" s="1">
        <f t="shared" si="4"/>
        <v>-16913.417161825411</v>
      </c>
      <c r="AW41" s="1">
        <v>31</v>
      </c>
      <c r="AX41" s="1">
        <f t="shared" si="13"/>
        <v>15.5</v>
      </c>
      <c r="AZ41" s="1">
        <f t="shared" si="14"/>
        <v>5245.4913349528479</v>
      </c>
      <c r="BA41" s="1">
        <f t="shared" si="15"/>
        <v>-1865.7641451009449</v>
      </c>
      <c r="BC41" s="1">
        <f t="shared" si="16"/>
        <v>4554.8753839589972</v>
      </c>
      <c r="BD41" s="1">
        <f t="shared" si="17"/>
        <v>1801.6888115209797</v>
      </c>
      <c r="BF41" s="1">
        <f t="shared" si="5"/>
        <v>24.342955029085147</v>
      </c>
      <c r="BG41" s="1">
        <f t="shared" si="6"/>
        <v>-247.36824862864501</v>
      </c>
      <c r="BJ41" s="1">
        <f t="shared" si="18"/>
        <v>946.40443165068643</v>
      </c>
      <c r="BK41" s="1">
        <f t="shared" si="7"/>
        <v>600.75200699272546</v>
      </c>
      <c r="BO41" s="1">
        <f t="shared" si="8"/>
        <v>-190.59652225736752</v>
      </c>
      <c r="BP41" s="1">
        <f t="shared" si="9"/>
        <v>89.583258649088577</v>
      </c>
      <c r="BT41" s="1">
        <f t="shared" si="10"/>
        <v>-731.46495436423379</v>
      </c>
      <c r="BU41" s="1">
        <f t="shared" si="11"/>
        <v>-937.70351427045898</v>
      </c>
    </row>
    <row r="42" spans="3:73">
      <c r="AK42" s="1">
        <v>32</v>
      </c>
      <c r="AL42" s="1">
        <f t="shared" si="19"/>
        <v>12.566370614359181</v>
      </c>
      <c r="AN42" s="1">
        <f t="shared" si="12"/>
        <v>25000</v>
      </c>
      <c r="AO42" s="1">
        <f t="shared" si="0"/>
        <v>7500.0000000000418</v>
      </c>
      <c r="AQ42" s="1">
        <f t="shared" si="1"/>
        <v>-16500</v>
      </c>
      <c r="AR42" s="1">
        <f t="shared" si="2"/>
        <v>10000.000000000029</v>
      </c>
      <c r="AT42" s="1">
        <f t="shared" si="3"/>
        <v>0</v>
      </c>
      <c r="AU42" s="1">
        <f t="shared" si="4"/>
        <v>-14999.999999999958</v>
      </c>
      <c r="AW42" s="1">
        <v>32</v>
      </c>
      <c r="AX42" s="1">
        <f t="shared" si="13"/>
        <v>16</v>
      </c>
      <c r="AZ42" s="1">
        <f t="shared" si="14"/>
        <v>7525.9718963109817</v>
      </c>
      <c r="BA42" s="1">
        <f t="shared" si="15"/>
        <v>-995.84077041903572</v>
      </c>
      <c r="BC42" s="1">
        <f t="shared" si="16"/>
        <v>4567.04686147354</v>
      </c>
      <c r="BD42" s="1">
        <f t="shared" si="17"/>
        <v>1678.0046872066573</v>
      </c>
      <c r="BF42" s="1">
        <f t="shared" si="5"/>
        <v>245.41226128463825</v>
      </c>
      <c r="BG42" s="1">
        <f t="shared" si="6"/>
        <v>59.027905486397231</v>
      </c>
      <c r="BJ42" s="1">
        <f t="shared" si="18"/>
        <v>1100.6020001216418</v>
      </c>
      <c r="BK42" s="1">
        <f t="shared" si="7"/>
        <v>749.60063156125875</v>
      </c>
      <c r="BO42" s="1">
        <f t="shared" si="8"/>
        <v>-174.98586661727859</v>
      </c>
      <c r="BP42" s="1">
        <f t="shared" si="9"/>
        <v>69.901863361825505</v>
      </c>
      <c r="BT42" s="1">
        <f t="shared" si="10"/>
        <v>-680.20387221972499</v>
      </c>
      <c r="BU42" s="1">
        <f t="shared" si="11"/>
        <v>-760.47458943668698</v>
      </c>
    </row>
    <row r="43" spans="3:73">
      <c r="AK43" s="1">
        <v>33</v>
      </c>
      <c r="AL43" s="1">
        <f t="shared" si="19"/>
        <v>12.959069696057906</v>
      </c>
      <c r="AN43" s="1">
        <f t="shared" si="12"/>
        <v>24619.397662556417</v>
      </c>
      <c r="AO43" s="1">
        <f t="shared" si="0"/>
        <v>9413.4171618254895</v>
      </c>
      <c r="AQ43" s="1">
        <f t="shared" si="1"/>
        <v>-16766.421636210507</v>
      </c>
      <c r="AR43" s="1">
        <f t="shared" si="2"/>
        <v>11339.392013277842</v>
      </c>
      <c r="AT43" s="1">
        <f t="shared" si="3"/>
        <v>-380.60233744358266</v>
      </c>
      <c r="AU43" s="1">
        <f t="shared" si="4"/>
        <v>-13086.58283817451</v>
      </c>
      <c r="AW43" s="1">
        <v>33</v>
      </c>
      <c r="AX43" s="1">
        <f t="shared" si="13"/>
        <v>16.5</v>
      </c>
      <c r="AZ43" s="1">
        <f t="shared" si="14"/>
        <v>9840.1718597083327</v>
      </c>
      <c r="BA43" s="1">
        <f t="shared" si="15"/>
        <v>-149.45993862990741</v>
      </c>
      <c r="BC43" s="1">
        <f t="shared" si="16"/>
        <v>4689.7529921158593</v>
      </c>
      <c r="BD43" s="1">
        <f t="shared" si="17"/>
        <v>1707.5186399498559</v>
      </c>
      <c r="BF43" s="1">
        <f t="shared" si="5"/>
        <v>479.15964287297891</v>
      </c>
      <c r="BG43" s="1">
        <f t="shared" si="6"/>
        <v>381.69743479746739</v>
      </c>
      <c r="BJ43" s="1">
        <f t="shared" si="18"/>
        <v>1256.2871954979166</v>
      </c>
      <c r="BK43" s="1">
        <f t="shared" si="7"/>
        <v>945.87412706955024</v>
      </c>
      <c r="BO43" s="1">
        <f t="shared" si="8"/>
        <v>-159.22558040428984</v>
      </c>
      <c r="BP43" s="1">
        <f t="shared" si="9"/>
        <v>54.156981974373615</v>
      </c>
      <c r="BT43" s="1">
        <f t="shared" si="10"/>
        <v>-617.90197222064796</v>
      </c>
      <c r="BU43" s="1">
        <f t="shared" si="11"/>
        <v>-618.33367424645644</v>
      </c>
    </row>
    <row r="44" spans="3:73">
      <c r="AK44" s="1">
        <v>34</v>
      </c>
      <c r="AL44" s="1">
        <f t="shared" si="19"/>
        <v>13.351768777756631</v>
      </c>
      <c r="AN44" s="1">
        <f t="shared" si="12"/>
        <v>23535.533905932705</v>
      </c>
      <c r="AO44" s="1">
        <f t="shared" si="0"/>
        <v>11035.533905932771</v>
      </c>
      <c r="AQ44" s="1">
        <f t="shared" si="1"/>
        <v>-17525.126265847106</v>
      </c>
      <c r="AR44" s="1">
        <f t="shared" si="2"/>
        <v>12474.87373415294</v>
      </c>
      <c r="AT44" s="1">
        <f t="shared" si="3"/>
        <v>-1464.4660940672948</v>
      </c>
      <c r="AU44" s="1">
        <f t="shared" si="4"/>
        <v>-11464.466094067229</v>
      </c>
      <c r="AW44" s="1">
        <v>34</v>
      </c>
      <c r="AX44" s="1">
        <f t="shared" si="13"/>
        <v>17</v>
      </c>
      <c r="AZ44" s="1">
        <f t="shared" si="14"/>
        <v>12244.943311125386</v>
      </c>
      <c r="BA44" s="1">
        <f t="shared" si="15"/>
        <v>752.01156069470392</v>
      </c>
      <c r="BC44" s="1">
        <f t="shared" si="16"/>
        <v>4929.3328135523489</v>
      </c>
      <c r="BD44" s="1">
        <f t="shared" si="17"/>
        <v>1898.3673573485896</v>
      </c>
      <c r="BF44" s="1">
        <f t="shared" si="5"/>
        <v>682.12685643872692</v>
      </c>
      <c r="BG44" s="1">
        <f t="shared" si="6"/>
        <v>736.21606923396212</v>
      </c>
      <c r="BJ44" s="1">
        <f t="shared" si="18"/>
        <v>1376.5987598174665</v>
      </c>
      <c r="BK44" s="1">
        <f t="shared" si="7"/>
        <v>1197.8342505396049</v>
      </c>
      <c r="BO44" s="1">
        <f t="shared" si="8"/>
        <v>-143.91532361151002</v>
      </c>
      <c r="BP44" s="1">
        <f t="shared" si="9"/>
        <v>41.275533845919924</v>
      </c>
      <c r="BT44" s="1">
        <f t="shared" si="10"/>
        <v>-550.55657976722955</v>
      </c>
      <c r="BU44" s="1">
        <f t="shared" si="11"/>
        <v>-502.89371515156262</v>
      </c>
    </row>
    <row r="45" spans="3:73">
      <c r="AK45">
        <v>35</v>
      </c>
      <c r="AL45" s="1">
        <f t="shared" si="19"/>
        <v>13.744467859455355</v>
      </c>
      <c r="AN45" s="1">
        <f t="shared" si="12"/>
        <v>21913.417161825404</v>
      </c>
      <c r="AO45" s="1">
        <f t="shared" si="0"/>
        <v>12119.397662556454</v>
      </c>
      <c r="AQ45" s="1">
        <f t="shared" si="1"/>
        <v>-18660.607986722218</v>
      </c>
      <c r="AR45" s="1">
        <f t="shared" si="2"/>
        <v>13233.578363789517</v>
      </c>
      <c r="AT45" s="1">
        <f t="shared" si="3"/>
        <v>-3086.582838174596</v>
      </c>
      <c r="AU45" s="1">
        <f t="shared" si="4"/>
        <v>-10380.602337443546</v>
      </c>
      <c r="AW45" s="1">
        <v>35</v>
      </c>
      <c r="AX45" s="1">
        <f t="shared" si="13"/>
        <v>17.5</v>
      </c>
      <c r="AZ45" s="1">
        <f t="shared" si="14"/>
        <v>14794.875574956401</v>
      </c>
      <c r="BA45" s="1">
        <f t="shared" si="15"/>
        <v>1793.222248023244</v>
      </c>
      <c r="BC45" s="1">
        <f t="shared" si="16"/>
        <v>5270.3962417717121</v>
      </c>
      <c r="BD45" s="1">
        <f t="shared" si="17"/>
        <v>2266.4753919655705</v>
      </c>
      <c r="BF45" s="1">
        <f t="shared" si="5"/>
        <v>740.19706682645642</v>
      </c>
      <c r="BG45" s="1">
        <f t="shared" si="6"/>
        <v>1103.1591436843355</v>
      </c>
      <c r="BJ45" s="1">
        <f t="shared" si="18"/>
        <v>1350.930383187035</v>
      </c>
      <c r="BK45" s="1">
        <f t="shared" si="7"/>
        <v>1481.1287542231285</v>
      </c>
      <c r="BO45" s="1">
        <f t="shared" si="8"/>
        <v>-129.26610902667738</v>
      </c>
      <c r="BP45" s="1">
        <f t="shared" si="9"/>
        <v>30.488921432105652</v>
      </c>
      <c r="BT45" s="1">
        <f t="shared" si="10"/>
        <v>-481.46720733390106</v>
      </c>
      <c r="BU45" s="1">
        <f t="shared" si="11"/>
        <v>-408.45853197089855</v>
      </c>
    </row>
    <row r="46" spans="3:73">
      <c r="AK46" s="1">
        <v>36</v>
      </c>
      <c r="AL46" s="1">
        <f t="shared" si="19"/>
        <v>14.13716694115408</v>
      </c>
      <c r="AN46" s="1">
        <f t="shared" si="12"/>
        <v>19999.999999999949</v>
      </c>
      <c r="AO46" s="1">
        <f t="shared" si="0"/>
        <v>12500</v>
      </c>
      <c r="AQ46" s="1">
        <f t="shared" si="1"/>
        <v>-20000.000000000036</v>
      </c>
      <c r="AR46" s="1">
        <f t="shared" si="2"/>
        <v>13500</v>
      </c>
      <c r="AT46" s="1">
        <f t="shared" si="3"/>
        <v>-5000.0000000000509</v>
      </c>
      <c r="AU46" s="1">
        <f t="shared" si="4"/>
        <v>-10000</v>
      </c>
      <c r="AW46" s="1">
        <v>36</v>
      </c>
      <c r="AX46" s="1">
        <f t="shared" si="13"/>
        <v>18</v>
      </c>
      <c r="AZ46" s="1">
        <f t="shared" si="14"/>
        <v>17522.598329195564</v>
      </c>
      <c r="BA46" s="1">
        <f t="shared" si="15"/>
        <v>3064.3548369665714</v>
      </c>
      <c r="BC46" s="1">
        <f t="shared" si="16"/>
        <v>5640.4947751849404</v>
      </c>
      <c r="BD46" s="1">
        <f t="shared" si="17"/>
        <v>2818.0549638077382</v>
      </c>
      <c r="BF46" s="1">
        <f t="shared" si="5"/>
        <v>390.37174960738781</v>
      </c>
      <c r="BG46" s="1">
        <f t="shared" si="6"/>
        <v>1335.5262674229382</v>
      </c>
      <c r="BJ46" s="1">
        <f t="shared" si="18"/>
        <v>919.19897357016714</v>
      </c>
      <c r="BK46" s="1">
        <f t="shared" si="7"/>
        <v>1645.772879315886</v>
      </c>
      <c r="BO46" s="1">
        <f t="shared" si="8"/>
        <v>-115.41436812639621</v>
      </c>
      <c r="BP46" s="1">
        <f t="shared" si="9"/>
        <v>21.333093647130717</v>
      </c>
      <c r="BT46" s="1">
        <f t="shared" si="10"/>
        <v>-413.41285583638313</v>
      </c>
      <c r="BU46" s="1">
        <f t="shared" si="11"/>
        <v>-331.57970554007858</v>
      </c>
    </row>
    <row r="47" spans="3:73">
      <c r="AK47" s="1">
        <v>37</v>
      </c>
      <c r="AL47" s="1">
        <f t="shared" si="19"/>
        <v>14.529866022852804</v>
      </c>
      <c r="AN47" s="1">
        <f t="shared" si="12"/>
        <v>18086.582838174501</v>
      </c>
      <c r="AO47" s="1">
        <f t="shared" si="0"/>
        <v>12119.397662556414</v>
      </c>
      <c r="AQ47" s="1">
        <f t="shared" si="1"/>
        <v>-21339.392013277848</v>
      </c>
      <c r="AR47" s="1">
        <f t="shared" si="2"/>
        <v>13233.578363789489</v>
      </c>
      <c r="AT47" s="1">
        <f t="shared" si="3"/>
        <v>-6913.4171618254977</v>
      </c>
      <c r="AU47" s="1">
        <f t="shared" si="4"/>
        <v>-10380.602337443586</v>
      </c>
      <c r="AW47" s="1">
        <v>37</v>
      </c>
      <c r="AX47" s="1">
        <f t="shared" si="13"/>
        <v>18.5</v>
      </c>
      <c r="AZ47" s="1">
        <f t="shared" si="14"/>
        <v>20391.642185488956</v>
      </c>
      <c r="BA47" s="1">
        <f t="shared" si="15"/>
        <v>4640.3231022983082</v>
      </c>
      <c r="BC47" s="1">
        <f t="shared" si="16"/>
        <v>5835.6806499886343</v>
      </c>
      <c r="BD47" s="1">
        <f t="shared" si="17"/>
        <v>3485.8180975192072</v>
      </c>
      <c r="BF47" s="1">
        <f t="shared" si="5"/>
        <v>-634.30741702950922</v>
      </c>
      <c r="BG47" s="1">
        <f t="shared" si="6"/>
        <v>1071.0297485877834</v>
      </c>
      <c r="BJ47" s="1">
        <f t="shared" si="18"/>
        <v>-181.86877616465694</v>
      </c>
      <c r="BK47" s="1">
        <f t="shared" si="7"/>
        <v>1327.9619940891575</v>
      </c>
      <c r="BO47" s="1">
        <f t="shared" si="8"/>
        <v>-102.65752136464454</v>
      </c>
      <c r="BP47" s="1">
        <f t="shared" si="9"/>
        <v>13.621905816720451</v>
      </c>
      <c r="BT47" s="1">
        <f t="shared" si="10"/>
        <v>-349.78111950020781</v>
      </c>
      <c r="BU47" s="1">
        <f t="shared" si="11"/>
        <v>-270.55415131809474</v>
      </c>
    </row>
    <row r="48" spans="3:73">
      <c r="AK48" s="1">
        <v>38</v>
      </c>
      <c r="AL48" s="1">
        <f t="shared" si="19"/>
        <v>14.922565104551529</v>
      </c>
      <c r="AN48" s="1">
        <f t="shared" si="12"/>
        <v>16464.466094067226</v>
      </c>
      <c r="AO48" s="1">
        <f t="shared" si="0"/>
        <v>11035.533905932698</v>
      </c>
      <c r="AQ48" s="1">
        <f t="shared" si="1"/>
        <v>-22474.873734152941</v>
      </c>
      <c r="AR48" s="1">
        <f t="shared" si="2"/>
        <v>12474.87373415289</v>
      </c>
      <c r="AT48" s="1">
        <f t="shared" si="3"/>
        <v>-8535.5339059327762</v>
      </c>
      <c r="AU48" s="1">
        <f t="shared" si="4"/>
        <v>-11464.466094067302</v>
      </c>
      <c r="AW48" s="1">
        <v>38</v>
      </c>
      <c r="AX48" s="1">
        <f t="shared" si="13"/>
        <v>19</v>
      </c>
      <c r="AZ48" s="1">
        <f t="shared" si="14"/>
        <v>23230.194083354585</v>
      </c>
      <c r="BA48" s="1">
        <f t="shared" si="15"/>
        <v>6517.110869631384</v>
      </c>
      <c r="BC48" s="1">
        <f t="shared" si="16"/>
        <v>5518.5269414738796</v>
      </c>
      <c r="BD48" s="1">
        <f t="shared" si="17"/>
        <v>4021.332971813099</v>
      </c>
      <c r="BF48" s="1">
        <f t="shared" si="5"/>
        <v>-1824.769673795543</v>
      </c>
      <c r="BG48" s="1">
        <f t="shared" si="6"/>
        <v>220.4241776798219</v>
      </c>
      <c r="BJ48" s="1">
        <f t="shared" si="18"/>
        <v>-1438.4611549708354</v>
      </c>
      <c r="BK48" s="1">
        <f t="shared" si="7"/>
        <v>437.69748726987507</v>
      </c>
      <c r="BO48" s="1">
        <f t="shared" si="8"/>
        <v>-91.569458996502973</v>
      </c>
      <c r="BP48" s="1">
        <f t="shared" si="9"/>
        <v>7.377396289216632</v>
      </c>
      <c r="BT48" s="1">
        <f t="shared" si="10"/>
        <v>-294.73905982820452</v>
      </c>
      <c r="BU48" s="1">
        <f t="shared" si="11"/>
        <v>-224.65070587926979</v>
      </c>
    </row>
    <row r="49" spans="37:73">
      <c r="AK49" s="1">
        <v>39</v>
      </c>
      <c r="AL49" s="1">
        <f t="shared" si="19"/>
        <v>15.315264186250253</v>
      </c>
      <c r="AN49" s="1">
        <f t="shared" si="12"/>
        <v>15380.602337443544</v>
      </c>
      <c r="AO49" s="1">
        <f t="shared" si="0"/>
        <v>9413.4171618253968</v>
      </c>
      <c r="AQ49" s="1">
        <f t="shared" si="1"/>
        <v>-23233.578363789518</v>
      </c>
      <c r="AR49" s="1">
        <f t="shared" si="2"/>
        <v>11339.392013277777</v>
      </c>
      <c r="AT49" s="1">
        <f t="shared" si="3"/>
        <v>-9619.3976625564555</v>
      </c>
      <c r="AU49" s="1">
        <f t="shared" si="4"/>
        <v>-13086.582838174603</v>
      </c>
      <c r="AW49" s="1">
        <v>39</v>
      </c>
      <c r="AX49" s="1">
        <f t="shared" si="13"/>
        <v>19.5</v>
      </c>
      <c r="AZ49" s="1">
        <f t="shared" si="14"/>
        <v>25761.36134486708</v>
      </c>
      <c r="BA49" s="1">
        <f t="shared" si="15"/>
        <v>8555.3303777479105</v>
      </c>
      <c r="BC49" s="1">
        <f t="shared" si="16"/>
        <v>4606.1421045761081</v>
      </c>
      <c r="BD49" s="1">
        <f t="shared" si="17"/>
        <v>4131.5450606530103</v>
      </c>
      <c r="BF49" s="1">
        <f t="shared" si="5"/>
        <v>-2272.2176742244569</v>
      </c>
      <c r="BG49" s="1">
        <f t="shared" si="6"/>
        <v>-544.90775074931901</v>
      </c>
      <c r="BJ49" s="1">
        <f t="shared" si="18"/>
        <v>-1938.0979909964697</v>
      </c>
      <c r="BK49" s="1">
        <f t="shared" si="7"/>
        <v>-355.0087492382338</v>
      </c>
      <c r="BO49" s="1">
        <f t="shared" si="8"/>
        <v>-82.716710765593078</v>
      </c>
      <c r="BP49" s="1">
        <f t="shared" si="9"/>
        <v>2.611336633871109</v>
      </c>
      <c r="BT49" s="1">
        <f t="shared" si="10"/>
        <v>-251.40297246239408</v>
      </c>
      <c r="BU49" s="1">
        <f t="shared" si="11"/>
        <v>-192.51033814495636</v>
      </c>
    </row>
    <row r="50" spans="37:73">
      <c r="AK50">
        <v>40</v>
      </c>
      <c r="AL50" s="1">
        <f t="shared" si="19"/>
        <v>15.707963267948978</v>
      </c>
      <c r="AN50" s="1">
        <f t="shared" si="12"/>
        <v>15000</v>
      </c>
      <c r="AO50" s="1">
        <f t="shared" si="0"/>
        <v>7499.9999999999409</v>
      </c>
      <c r="AQ50" s="1">
        <f t="shared" si="1"/>
        <v>-23500</v>
      </c>
      <c r="AR50" s="1">
        <f t="shared" si="2"/>
        <v>9999.9999999999582</v>
      </c>
      <c r="AT50" s="1">
        <f t="shared" si="3"/>
        <v>-10000</v>
      </c>
      <c r="AU50" s="1">
        <f t="shared" si="4"/>
        <v>-15000.000000000058</v>
      </c>
      <c r="AW50" s="1">
        <v>40</v>
      </c>
      <c r="AX50" s="1">
        <f t="shared" si="13"/>
        <v>20</v>
      </c>
      <c r="AZ50" s="1">
        <f t="shared" si="14"/>
        <v>27780.405187877077</v>
      </c>
      <c r="BA50" s="1">
        <f t="shared" si="15"/>
        <v>10552.989439230751</v>
      </c>
      <c r="BC50" s="1">
        <f t="shared" si="16"/>
        <v>3470.0332674638794</v>
      </c>
      <c r="BD50" s="1">
        <f t="shared" si="17"/>
        <v>3859.0911852783506</v>
      </c>
      <c r="BF50" s="1">
        <f t="shared" si="5"/>
        <v>-2136.152517375268</v>
      </c>
      <c r="BG50" s="1">
        <f t="shared" si="6"/>
        <v>-894.25186347611248</v>
      </c>
      <c r="BJ50" s="1">
        <f t="shared" si="18"/>
        <v>-1840.2702697486072</v>
      </c>
      <c r="BK50" s="1">
        <f t="shared" si="7"/>
        <v>-722.11222464698028</v>
      </c>
      <c r="BO50" s="1">
        <f t="shared" si="8"/>
        <v>-76.185709586549123</v>
      </c>
      <c r="BP50" s="1">
        <f t="shared" si="9"/>
        <v>-0.88173996549430456</v>
      </c>
      <c r="BT50" s="1">
        <f t="shared" si="10"/>
        <v>-219.69653804011145</v>
      </c>
      <c r="BU50" s="1">
        <f t="shared" si="11"/>
        <v>-171.25789886363796</v>
      </c>
    </row>
    <row r="51" spans="37:73">
      <c r="AK51" s="1">
        <v>41</v>
      </c>
      <c r="AL51" s="1">
        <f t="shared" si="19"/>
        <v>16.100662349647703</v>
      </c>
      <c r="AN51" s="1">
        <f t="shared" si="12"/>
        <v>15380.60233744359</v>
      </c>
      <c r="AO51" s="1">
        <f t="shared" si="0"/>
        <v>5586.5828381744941</v>
      </c>
      <c r="AQ51" s="1">
        <f t="shared" si="1"/>
        <v>-23233.578363789486</v>
      </c>
      <c r="AR51" s="1">
        <f t="shared" si="2"/>
        <v>8660.6079867221451</v>
      </c>
      <c r="AT51" s="1">
        <f t="shared" si="3"/>
        <v>-9619.3976625564101</v>
      </c>
      <c r="AU51" s="1">
        <f t="shared" si="4"/>
        <v>-16913.417161825506</v>
      </c>
      <c r="AW51" s="1">
        <v>41</v>
      </c>
      <c r="AX51" s="1">
        <f t="shared" si="13"/>
        <v>20.5</v>
      </c>
      <c r="AZ51" s="1">
        <f t="shared" si="14"/>
        <v>29248.402756937106</v>
      </c>
      <c r="BA51" s="1">
        <f t="shared" si="15"/>
        <v>12370.753548935412</v>
      </c>
      <c r="BC51" s="1">
        <f t="shared" si="16"/>
        <v>2401.9570087762454</v>
      </c>
      <c r="BD51" s="1">
        <f t="shared" si="17"/>
        <v>3411.9652535402943</v>
      </c>
      <c r="BF51" s="1">
        <f t="shared" si="5"/>
        <v>-1868.5484558918351</v>
      </c>
      <c r="BG51" s="1">
        <f t="shared" si="6"/>
        <v>-1003.5635532241394</v>
      </c>
      <c r="BJ51" s="1">
        <f t="shared" si="18"/>
        <v>-1599.7228995425221</v>
      </c>
      <c r="BK51" s="1">
        <f t="shared" si="7"/>
        <v>-842.50828981419716</v>
      </c>
      <c r="BO51" s="1">
        <f t="shared" si="8"/>
        <v>-71.614445604985363</v>
      </c>
      <c r="BP51" s="1">
        <f t="shared" si="9"/>
        <v>-3.4474255319711036</v>
      </c>
      <c r="BT51" s="1">
        <f t="shared" si="10"/>
        <v>-197.21111074432764</v>
      </c>
      <c r="BU51" s="1">
        <f t="shared" si="11"/>
        <v>-157.60783787797104</v>
      </c>
    </row>
    <row r="52" spans="37:73">
      <c r="AK52" s="1">
        <v>42</v>
      </c>
      <c r="AL52" s="1">
        <f t="shared" si="19"/>
        <v>16.493361431346425</v>
      </c>
      <c r="AN52" s="1">
        <f t="shared" si="12"/>
        <v>16464.466094067302</v>
      </c>
      <c r="AO52" s="1">
        <f t="shared" si="0"/>
        <v>3964.4660940672238</v>
      </c>
      <c r="AQ52" s="1">
        <f t="shared" si="1"/>
        <v>-22474.87373415289</v>
      </c>
      <c r="AR52" s="1">
        <f t="shared" si="2"/>
        <v>7525.1262658470569</v>
      </c>
      <c r="AT52" s="1">
        <f t="shared" si="3"/>
        <v>-8535.533905932698</v>
      </c>
      <c r="AU52" s="1">
        <f t="shared" si="4"/>
        <v>-18535.533905932774</v>
      </c>
      <c r="AW52" s="1">
        <v>42</v>
      </c>
      <c r="AX52" s="1">
        <f t="shared" si="13"/>
        <v>21</v>
      </c>
      <c r="AZ52" s="1">
        <f t="shared" si="14"/>
        <v>30215.81270433875</v>
      </c>
      <c r="BA52" s="1">
        <f t="shared" si="15"/>
        <v>13951.290731552541</v>
      </c>
      <c r="BC52" s="1">
        <f t="shared" si="16"/>
        <v>1467.6827808303278</v>
      </c>
      <c r="BD52" s="1">
        <f t="shared" si="17"/>
        <v>2910.1834769282245</v>
      </c>
      <c r="BF52" s="1">
        <f t="shared" si="5"/>
        <v>-1636.42268118637</v>
      </c>
      <c r="BG52" s="1">
        <f t="shared" si="6"/>
        <v>-1030.0653862048114</v>
      </c>
      <c r="BJ52" s="1">
        <f t="shared" si="18"/>
        <v>-1386.4895523431758</v>
      </c>
      <c r="BK52" s="1">
        <f t="shared" si="7"/>
        <v>-875.5688320937096</v>
      </c>
      <c r="BO52" s="1">
        <f t="shared" si="8"/>
        <v>-68.569323456643275</v>
      </c>
      <c r="BP52" s="1">
        <f t="shared" si="9"/>
        <v>-5.3954584751677892</v>
      </c>
      <c r="BT52" s="1">
        <f t="shared" si="10"/>
        <v>-181.36380538655101</v>
      </c>
      <c r="BU52" s="1">
        <f t="shared" si="11"/>
        <v>-149.10109563593403</v>
      </c>
    </row>
    <row r="53" spans="37:73">
      <c r="AK53" s="1">
        <v>43</v>
      </c>
      <c r="AL53" s="1">
        <f t="shared" si="19"/>
        <v>16.886060513045148</v>
      </c>
      <c r="AN53" s="1">
        <f t="shared" si="12"/>
        <v>18086.582838174596</v>
      </c>
      <c r="AO53" s="1">
        <f t="shared" si="0"/>
        <v>2880.6023374435481</v>
      </c>
      <c r="AQ53" s="1">
        <f t="shared" si="1"/>
        <v>-21339.392013277782</v>
      </c>
      <c r="AR53" s="1">
        <f t="shared" si="2"/>
        <v>6766.4216362104835</v>
      </c>
      <c r="AT53" s="1">
        <f t="shared" si="3"/>
        <v>-6913.4171618254049</v>
      </c>
      <c r="AU53" s="1">
        <f t="shared" si="4"/>
        <v>-19619.397662556454</v>
      </c>
      <c r="AW53" s="1">
        <v>43</v>
      </c>
      <c r="AX53" s="1">
        <f t="shared" si="13"/>
        <v>21.5</v>
      </c>
      <c r="AZ53" s="1">
        <f t="shared" si="14"/>
        <v>30745.101259605617</v>
      </c>
      <c r="BA53" s="1">
        <f t="shared" si="15"/>
        <v>15277.624296741053</v>
      </c>
      <c r="BC53" s="1">
        <f t="shared" si="16"/>
        <v>649.47144023714282</v>
      </c>
      <c r="BD53" s="1">
        <f t="shared" si="17"/>
        <v>2395.150783825819</v>
      </c>
      <c r="BF53" s="1">
        <f t="shared" si="5"/>
        <v>-1464.372697520776</v>
      </c>
      <c r="BG53" s="1">
        <f t="shared" si="6"/>
        <v>-1039.5754306294641</v>
      </c>
      <c r="BJ53" s="1">
        <f t="shared" si="18"/>
        <v>-1227.3452495501792</v>
      </c>
      <c r="BK53" s="1">
        <f t="shared" si="7"/>
        <v>-888.38904378473467</v>
      </c>
      <c r="BO53" s="1">
        <f t="shared" si="8"/>
        <v>-66.733910848600345</v>
      </c>
      <c r="BP53" s="1">
        <f t="shared" si="9"/>
        <v>-6.9405026410200872</v>
      </c>
      <c r="BT53" s="1">
        <f t="shared" si="10"/>
        <v>-170.29353712199654</v>
      </c>
      <c r="BU53" s="1">
        <f t="shared" si="11"/>
        <v>-144.24588420370932</v>
      </c>
    </row>
    <row r="54" spans="37:73">
      <c r="AK54" s="1">
        <v>44</v>
      </c>
      <c r="AL54" s="1">
        <f t="shared" si="19"/>
        <v>17.278759594743871</v>
      </c>
      <c r="AN54" s="1">
        <f t="shared" si="12"/>
        <v>20000.00000000004</v>
      </c>
      <c r="AO54" s="1">
        <f t="shared" si="0"/>
        <v>2500</v>
      </c>
      <c r="AQ54" s="1">
        <f t="shared" si="1"/>
        <v>-19999.999999999971</v>
      </c>
      <c r="AR54" s="1">
        <f t="shared" si="2"/>
        <v>6500</v>
      </c>
      <c r="AT54" s="1">
        <f t="shared" si="3"/>
        <v>-4999.9999999999591</v>
      </c>
      <c r="AU54" s="1">
        <f t="shared" si="4"/>
        <v>-20000</v>
      </c>
      <c r="AW54" s="1">
        <v>44</v>
      </c>
      <c r="AX54" s="1">
        <f t="shared" si="13"/>
        <v>22</v>
      </c>
      <c r="AZ54" s="1">
        <f t="shared" si="14"/>
        <v>30886.790392534094</v>
      </c>
      <c r="BA54" s="1">
        <f t="shared" si="15"/>
        <v>16345.25275982528</v>
      </c>
      <c r="BC54" s="1">
        <f t="shared" si="16"/>
        <v>-82.714908523245185</v>
      </c>
      <c r="BD54" s="1">
        <f t="shared" si="17"/>
        <v>1875.363068511087</v>
      </c>
      <c r="BF54" s="1">
        <f t="shared" si="5"/>
        <v>-1343.772939080673</v>
      </c>
      <c r="BG54" s="1">
        <f t="shared" si="6"/>
        <v>-1056.3730161911585</v>
      </c>
      <c r="BJ54" s="1">
        <f t="shared" si="18"/>
        <v>-1115.0360284066739</v>
      </c>
      <c r="BK54" s="1">
        <f t="shared" si="7"/>
        <v>-905.93968947288738</v>
      </c>
      <c r="BO54" s="1">
        <f t="shared" si="8"/>
        <v>-65.918141783745909</v>
      </c>
      <c r="BP54" s="1">
        <f t="shared" si="9"/>
        <v>-8.2195647996151529</v>
      </c>
      <c r="BT54" s="1">
        <f t="shared" si="10"/>
        <v>-162.81876889025307</v>
      </c>
      <c r="BU54" s="1">
        <f t="shared" si="11"/>
        <v>-142.2137619186561</v>
      </c>
    </row>
    <row r="55" spans="37:73">
      <c r="AK55">
        <v>45</v>
      </c>
      <c r="AL55" s="1">
        <f t="shared" si="19"/>
        <v>17.671458676442594</v>
      </c>
      <c r="AN55" s="1">
        <f t="shared" si="12"/>
        <v>21913.41716182548</v>
      </c>
      <c r="AO55" s="1">
        <f t="shared" si="0"/>
        <v>2880.602337443579</v>
      </c>
      <c r="AQ55" s="1">
        <f t="shared" si="1"/>
        <v>-18660.607986722163</v>
      </c>
      <c r="AR55" s="1">
        <f t="shared" si="2"/>
        <v>6766.4216362105053</v>
      </c>
      <c r="AT55" s="1">
        <f t="shared" si="3"/>
        <v>-3086.5828381745196</v>
      </c>
      <c r="AU55" s="1">
        <f t="shared" si="4"/>
        <v>-19619.397662556421</v>
      </c>
      <c r="AW55" s="1">
        <v>45</v>
      </c>
      <c r="AX55" s="1">
        <f t="shared" si="13"/>
        <v>22.5</v>
      </c>
      <c r="AZ55" s="1">
        <f t="shared" si="14"/>
        <v>30677.461320887389</v>
      </c>
      <c r="BA55" s="1">
        <f t="shared" si="15"/>
        <v>17150.88766705693</v>
      </c>
      <c r="BC55" s="1">
        <f t="shared" si="16"/>
        <v>-754.60137806358171</v>
      </c>
      <c r="BD55" s="1">
        <f t="shared" si="17"/>
        <v>1347.1765604155078</v>
      </c>
      <c r="BF55" s="1">
        <f t="shared" si="5"/>
        <v>-1262.8570001649875</v>
      </c>
      <c r="BG55" s="1">
        <f t="shared" si="6"/>
        <v>-1090.6484423916361</v>
      </c>
      <c r="BJ55" s="1">
        <f t="shared" si="18"/>
        <v>-1038.5932318641521</v>
      </c>
      <c r="BK55" s="1">
        <f t="shared" si="7"/>
        <v>-938.73874240862324</v>
      </c>
      <c r="BO55" s="1">
        <f t="shared" si="8"/>
        <v>-66.030680775163987</v>
      </c>
      <c r="BP55" s="1">
        <f t="shared" si="9"/>
        <v>-9.3173171760259201</v>
      </c>
      <c r="BT55" s="1">
        <f t="shared" si="10"/>
        <v>-158.23308752567141</v>
      </c>
      <c r="BU55" s="1">
        <f t="shared" si="11"/>
        <v>-142.59238280698705</v>
      </c>
    </row>
    <row r="56" spans="37:73">
      <c r="AK56" s="1">
        <v>46</v>
      </c>
      <c r="AL56" s="1">
        <f t="shared" si="19"/>
        <v>18.064157758141317</v>
      </c>
      <c r="AN56" s="1">
        <f t="shared" si="12"/>
        <v>23535.533905932756</v>
      </c>
      <c r="AO56" s="1">
        <f t="shared" si="0"/>
        <v>3964.466094067282</v>
      </c>
      <c r="AQ56" s="1">
        <f t="shared" si="1"/>
        <v>-17525.12626584707</v>
      </c>
      <c r="AR56" s="1">
        <f t="shared" si="2"/>
        <v>7525.1262658470969</v>
      </c>
      <c r="AT56" s="1">
        <f t="shared" si="3"/>
        <v>-1464.4660940672429</v>
      </c>
      <c r="AU56" s="1">
        <f t="shared" si="4"/>
        <v>-18535.533905932716</v>
      </c>
      <c r="AW56" s="1">
        <v>46</v>
      </c>
      <c r="AX56" s="1">
        <f t="shared" si="13"/>
        <v>23</v>
      </c>
      <c r="AZ56" s="1">
        <f t="shared" si="14"/>
        <v>30142.303506834975</v>
      </c>
      <c r="BA56" s="1">
        <f t="shared" si="15"/>
        <v>17688.14489196573</v>
      </c>
      <c r="BC56" s="1">
        <f t="shared" si="16"/>
        <v>-1386.0298781460756</v>
      </c>
      <c r="BD56" s="1">
        <f t="shared" si="17"/>
        <v>801.85233921968972</v>
      </c>
      <c r="BF56" s="1">
        <f t="shared" si="5"/>
        <v>-1212.0882718131168</v>
      </c>
      <c r="BG56" s="1">
        <f t="shared" si="6"/>
        <v>-1148.8752004014277</v>
      </c>
      <c r="BJ56" s="1">
        <f t="shared" si="18"/>
        <v>-988.87118153957829</v>
      </c>
      <c r="BK56" s="1">
        <f t="shared" si="7"/>
        <v>-993.3407011755379</v>
      </c>
      <c r="BO56" s="1">
        <f t="shared" si="8"/>
        <v>-67.059299095090751</v>
      </c>
      <c r="BP56" s="1">
        <f t="shared" si="9"/>
        <v>-10.281968951156124</v>
      </c>
      <c r="BT56" s="1">
        <f t="shared" si="10"/>
        <v>-156.1577911784477</v>
      </c>
      <c r="BU56" s="1">
        <f t="shared" si="11"/>
        <v>-145.25253027473369</v>
      </c>
    </row>
    <row r="57" spans="37:73">
      <c r="AK57" s="1">
        <v>47</v>
      </c>
      <c r="AL57" s="1">
        <f t="shared" si="19"/>
        <v>18.456856839840039</v>
      </c>
      <c r="AN57" s="1">
        <f t="shared" si="12"/>
        <v>24619.397662556443</v>
      </c>
      <c r="AO57" s="1">
        <f t="shared" si="0"/>
        <v>5586.5828381745705</v>
      </c>
      <c r="AQ57" s="1">
        <f t="shared" si="1"/>
        <v>-16766.421636210493</v>
      </c>
      <c r="AR57" s="1">
        <f t="shared" si="2"/>
        <v>8660.6079867221997</v>
      </c>
      <c r="AT57" s="1">
        <f t="shared" si="3"/>
        <v>-380.6023374435581</v>
      </c>
      <c r="AU57" s="1">
        <f t="shared" si="4"/>
        <v>-16913.41716182543</v>
      </c>
      <c r="AW57" s="1">
        <v>47</v>
      </c>
      <c r="AX57" s="1">
        <f t="shared" si="13"/>
        <v>23.5</v>
      </c>
      <c r="AZ57" s="1">
        <f t="shared" si="14"/>
        <v>29297.777533785298</v>
      </c>
      <c r="BA57" s="1">
        <f t="shared" si="15"/>
        <v>17945.461661525394</v>
      </c>
      <c r="BC57" s="1">
        <f t="shared" si="16"/>
        <v>-1992.0740140526341</v>
      </c>
      <c r="BD57" s="1">
        <f t="shared" si="17"/>
        <v>227.41473901897587</v>
      </c>
      <c r="BF57" s="1">
        <f t="shared" si="5"/>
        <v>-1183.643377664933</v>
      </c>
      <c r="BG57" s="1">
        <f t="shared" si="6"/>
        <v>-1237.8073123258591</v>
      </c>
      <c r="BJ57" s="1">
        <f t="shared" si="18"/>
        <v>-958.11438610475068</v>
      </c>
      <c r="BK57" s="1">
        <f t="shared" si="7"/>
        <v>-1076.3805706306991</v>
      </c>
      <c r="BO57" s="1">
        <f t="shared" si="8"/>
        <v>-69.064353027683154</v>
      </c>
      <c r="BP57" s="1">
        <f t="shared" si="9"/>
        <v>-11.13129631013158</v>
      </c>
      <c r="BT57" s="1">
        <f t="shared" si="10"/>
        <v>-156.46463853249938</v>
      </c>
      <c r="BU57" s="1">
        <f t="shared" si="11"/>
        <v>-150.29544538502853</v>
      </c>
    </row>
    <row r="58" spans="37:73">
      <c r="AK58" s="1">
        <v>48</v>
      </c>
      <c r="AL58" s="1">
        <f t="shared" si="19"/>
        <v>18.849555921538762</v>
      </c>
      <c r="AN58" s="1">
        <f t="shared" si="12"/>
        <v>25000</v>
      </c>
      <c r="AO58" s="1">
        <f t="shared" si="0"/>
        <v>7500.0000000000136</v>
      </c>
      <c r="AQ58" s="1">
        <f t="shared" si="1"/>
        <v>-16500</v>
      </c>
      <c r="AR58" s="1">
        <f t="shared" si="2"/>
        <v>10000.000000000009</v>
      </c>
      <c r="AT58" s="1">
        <f t="shared" si="3"/>
        <v>0</v>
      </c>
      <c r="AU58" s="1">
        <f t="shared" si="4"/>
        <v>-14999.999999999985</v>
      </c>
      <c r="AW58" s="1">
        <v>48</v>
      </c>
      <c r="AX58" s="1">
        <f t="shared" si="13"/>
        <v>24</v>
      </c>
      <c r="AZ58" s="1">
        <f t="shared" si="14"/>
        <v>28153.785104550865</v>
      </c>
      <c r="BA58" s="1">
        <f t="shared" si="15"/>
        <v>17904.443116994149</v>
      </c>
      <c r="BC58" s="1">
        <f t="shared" si="16"/>
        <v>-2583.8957028851005</v>
      </c>
      <c r="BD58" s="1">
        <f t="shared" si="17"/>
        <v>-391.4889171439537</v>
      </c>
      <c r="BF58" s="1">
        <f t="shared" si="5"/>
        <v>-1168.9647208663869</v>
      </c>
      <c r="BG58" s="1">
        <f t="shared" si="6"/>
        <v>-1366.213344943176</v>
      </c>
      <c r="BJ58" s="1">
        <f t="shared" si="18"/>
        <v>-937.52528735268402</v>
      </c>
      <c r="BK58" s="1">
        <f t="shared" si="7"/>
        <v>-1196.3067946885628</v>
      </c>
      <c r="BO58" s="1">
        <f t="shared" si="8"/>
        <v>-72.184195978183666</v>
      </c>
      <c r="BP58" s="1">
        <f t="shared" si="9"/>
        <v>-11.849034708625371</v>
      </c>
      <c r="BT58" s="1">
        <f t="shared" si="10"/>
        <v>-159.25523753551923</v>
      </c>
      <c r="BU58" s="1">
        <f t="shared" si="11"/>
        <v>-158.05751554598774</v>
      </c>
    </row>
    <row r="59" spans="37:73">
      <c r="AK59" s="1">
        <v>49</v>
      </c>
      <c r="AL59" s="1">
        <f t="shared" si="19"/>
        <v>19.242255003237485</v>
      </c>
      <c r="AN59" s="1">
        <f t="shared" si="12"/>
        <v>24619.397662556432</v>
      </c>
      <c r="AO59" s="1">
        <f t="shared" si="0"/>
        <v>9413.417161825455</v>
      </c>
      <c r="AQ59" s="1">
        <f t="shared" si="1"/>
        <v>-16766.4216362105</v>
      </c>
      <c r="AR59" s="1">
        <f t="shared" si="2"/>
        <v>11339.392013277818</v>
      </c>
      <c r="AT59" s="1">
        <f t="shared" si="3"/>
        <v>-380.60233744356901</v>
      </c>
      <c r="AU59" s="1">
        <f t="shared" si="4"/>
        <v>-13086.582838174545</v>
      </c>
      <c r="AW59" s="1">
        <v>49</v>
      </c>
      <c r="AX59" s="1">
        <f t="shared" si="13"/>
        <v>24.5</v>
      </c>
      <c r="AZ59" s="1">
        <f t="shared" si="14"/>
        <v>26715.716663000017</v>
      </c>
      <c r="BA59" s="1">
        <f t="shared" si="15"/>
        <v>17537.921990304272</v>
      </c>
      <c r="BC59" s="1">
        <f t="shared" si="16"/>
        <v>-3168.3780633182942</v>
      </c>
      <c r="BD59" s="1">
        <f t="shared" si="17"/>
        <v>-1074.5955896155417</v>
      </c>
      <c r="BF59" s="1">
        <f t="shared" si="5"/>
        <v>-1153.676942001041</v>
      </c>
      <c r="BG59" s="1">
        <f t="shared" si="6"/>
        <v>-1544.8915632891044</v>
      </c>
      <c r="BJ59" s="1">
        <f t="shared" si="18"/>
        <v>-912.13105421294404</v>
      </c>
      <c r="BK59" s="1">
        <f t="shared" si="7"/>
        <v>-1363.3541774577254</v>
      </c>
      <c r="BO59" s="1">
        <f t="shared" si="8"/>
        <v>-76.651546422650924</v>
      </c>
      <c r="BP59" s="1">
        <f t="shared" si="9"/>
        <v>-12.368286706125941</v>
      </c>
      <c r="BT59" s="1">
        <f t="shared" si="10"/>
        <v>-164.89434136544617</v>
      </c>
      <c r="BU59" s="1">
        <f t="shared" si="11"/>
        <v>-169.16909912525307</v>
      </c>
    </row>
    <row r="60" spans="37:73">
      <c r="AK60">
        <v>50</v>
      </c>
      <c r="AL60" s="1">
        <f t="shared" si="19"/>
        <v>19.634954084936208</v>
      </c>
      <c r="AN60" s="1">
        <f t="shared" si="12"/>
        <v>23535.533905932738</v>
      </c>
      <c r="AO60" s="1">
        <f t="shared" si="0"/>
        <v>11035.533905932738</v>
      </c>
      <c r="AQ60" s="1">
        <f t="shared" si="1"/>
        <v>-17525.126265847084</v>
      </c>
      <c r="AR60" s="1">
        <f t="shared" si="2"/>
        <v>12474.873734152916</v>
      </c>
      <c r="AT60" s="1">
        <f t="shared" si="3"/>
        <v>-1464.4660940672625</v>
      </c>
      <c r="AU60" s="1">
        <f t="shared" si="4"/>
        <v>-11464.466094067262</v>
      </c>
      <c r="AW60" s="1">
        <v>50</v>
      </c>
      <c r="AX60" s="1">
        <f t="shared" si="13"/>
        <v>25</v>
      </c>
      <c r="AZ60" s="1">
        <f t="shared" si="14"/>
        <v>24987.318013590739</v>
      </c>
      <c r="BA60" s="1">
        <f t="shared" si="15"/>
        <v>16807.512750085363</v>
      </c>
      <c r="BC60" s="1">
        <f t="shared" si="16"/>
        <v>-3745.2165343188144</v>
      </c>
      <c r="BD60" s="1">
        <f t="shared" si="17"/>
        <v>-1847.0413712600939</v>
      </c>
      <c r="BF60" s="1">
        <f t="shared" si="5"/>
        <v>-1105.8976526476977</v>
      </c>
      <c r="BG60" s="1">
        <f t="shared" si="6"/>
        <v>-1781.58548705165</v>
      </c>
      <c r="BJ60" s="1">
        <f t="shared" si="18"/>
        <v>-848.96634021373586</v>
      </c>
      <c r="BK60" s="1">
        <f t="shared" si="7"/>
        <v>-1584.3716030138592</v>
      </c>
      <c r="BO60" s="1">
        <f t="shared" si="8"/>
        <v>-82.817976699817308</v>
      </c>
      <c r="BP60" s="1">
        <f t="shared" si="9"/>
        <v>-12.532074753821927</v>
      </c>
      <c r="BT60" s="1">
        <f t="shared" si="10"/>
        <v>-174.11333573414441</v>
      </c>
      <c r="BU60" s="1">
        <f t="shared" si="11"/>
        <v>-184.68180928396893</v>
      </c>
    </row>
    <row r="61" spans="37:73">
      <c r="AK61" s="1">
        <v>51</v>
      </c>
      <c r="AL61" s="1">
        <f t="shared" si="19"/>
        <v>20.027653166634931</v>
      </c>
      <c r="AN61" s="1">
        <f t="shared" si="12"/>
        <v>21913.417161825455</v>
      </c>
      <c r="AO61" s="1">
        <f t="shared" si="0"/>
        <v>12119.397662556432</v>
      </c>
      <c r="AQ61" s="1">
        <f t="shared" si="1"/>
        <v>-18660.607986722182</v>
      </c>
      <c r="AR61" s="1">
        <f t="shared" si="2"/>
        <v>13233.578363789502</v>
      </c>
      <c r="AT61" s="1">
        <f t="shared" si="3"/>
        <v>-3086.5828381745455</v>
      </c>
      <c r="AU61" s="1">
        <f t="shared" si="4"/>
        <v>-10380.602337443568</v>
      </c>
      <c r="AW61" s="1">
        <v>51</v>
      </c>
      <c r="AX61" s="1">
        <f t="shared" si="13"/>
        <v>25.5</v>
      </c>
      <c r="AZ61" s="1">
        <f t="shared" si="14"/>
        <v>22976.472539850369</v>
      </c>
      <c r="BA61" s="1">
        <f t="shared" si="15"/>
        <v>15661.293878573861</v>
      </c>
      <c r="BC61" s="1">
        <f t="shared" si="16"/>
        <v>-4298.1653606426635</v>
      </c>
      <c r="BD61" s="1">
        <f t="shared" si="17"/>
        <v>-2737.8341147859192</v>
      </c>
      <c r="BF61" s="1">
        <f t="shared" si="5"/>
        <v>-949.91648176384263</v>
      </c>
      <c r="BG61" s="1">
        <f t="shared" si="6"/>
        <v>-2056.8189113471567</v>
      </c>
      <c r="BJ61" s="1">
        <f t="shared" si="18"/>
        <v>-670.51831226302647</v>
      </c>
      <c r="BK61" s="1">
        <f t="shared" si="7"/>
        <v>-1838.5175485674106</v>
      </c>
      <c r="BO61" s="1">
        <f t="shared" si="8"/>
        <v>-91.170364814428453</v>
      </c>
      <c r="BP61" s="1">
        <f t="shared" si="9"/>
        <v>-12.009878841328158</v>
      </c>
      <c r="BT61" s="1">
        <f t="shared" si="10"/>
        <v>-188.22780468638766</v>
      </c>
      <c r="BU61" s="1">
        <f t="shared" si="11"/>
        <v>-206.291483938418</v>
      </c>
    </row>
    <row r="62" spans="37:73">
      <c r="AK62" s="1">
        <v>52</v>
      </c>
      <c r="AL62" s="1">
        <f t="shared" si="19"/>
        <v>20.420352248333653</v>
      </c>
      <c r="AN62" s="1">
        <f t="shared" si="12"/>
        <v>20000.000000000015</v>
      </c>
      <c r="AO62" s="1">
        <f t="shared" si="0"/>
        <v>12500</v>
      </c>
      <c r="AQ62" s="1">
        <f t="shared" si="1"/>
        <v>-19999.999999999993</v>
      </c>
      <c r="AR62" s="1">
        <f t="shared" si="2"/>
        <v>13500</v>
      </c>
      <c r="AT62" s="1">
        <f t="shared" si="3"/>
        <v>-4999.9999999999873</v>
      </c>
      <c r="AU62" s="1">
        <f t="shared" si="4"/>
        <v>-10000</v>
      </c>
      <c r="AW62" s="1">
        <v>52</v>
      </c>
      <c r="AX62" s="1">
        <f t="shared" si="13"/>
        <v>26</v>
      </c>
      <c r="AZ62" s="1">
        <f t="shared" si="14"/>
        <v>20708.650299308556</v>
      </c>
      <c r="BA62" s="1">
        <f t="shared" si="15"/>
        <v>14035.274457262505</v>
      </c>
      <c r="BC62" s="1">
        <f t="shared" si="16"/>
        <v>-4773.123601524585</v>
      </c>
      <c r="BD62" s="1">
        <f t="shared" si="17"/>
        <v>-3766.2435704594973</v>
      </c>
      <c r="BF62" s="1">
        <f t="shared" si="5"/>
        <v>-528.31766259611334</v>
      </c>
      <c r="BG62" s="1">
        <f t="shared" si="6"/>
        <v>-2243.4083858149479</v>
      </c>
      <c r="BJ62" s="1">
        <f t="shared" si="18"/>
        <v>-216.50179126375133</v>
      </c>
      <c r="BK62" s="1">
        <f t="shared" si="7"/>
        <v>-1996.6104971353529</v>
      </c>
      <c r="BO62" s="1">
        <f t="shared" si="8"/>
        <v>-102.27018770854065</v>
      </c>
      <c r="BP62" s="1">
        <f t="shared" si="9"/>
        <v>-10.137606458711932</v>
      </c>
      <c r="BT62" s="1">
        <f t="shared" si="10"/>
        <v>-209.5456836238213</v>
      </c>
      <c r="BU62" s="1">
        <f t="shared" si="11"/>
        <v>-236.66028222088289</v>
      </c>
    </row>
    <row r="63" spans="37:73">
      <c r="AK63" s="1">
        <v>53</v>
      </c>
      <c r="AL63" s="1">
        <f t="shared" si="19"/>
        <v>20.813051330032376</v>
      </c>
      <c r="AN63" s="1">
        <f t="shared" si="12"/>
        <v>18086.58283817457</v>
      </c>
      <c r="AO63" s="1">
        <f t="shared" si="0"/>
        <v>12119.397662556443</v>
      </c>
      <c r="AQ63" s="1">
        <f t="shared" si="1"/>
        <v>-21339.3920132778</v>
      </c>
      <c r="AR63" s="1">
        <f t="shared" si="2"/>
        <v>13233.578363789509</v>
      </c>
      <c r="AT63" s="1">
        <f t="shared" si="3"/>
        <v>-6913.4171618254313</v>
      </c>
      <c r="AU63" s="1">
        <f t="shared" si="4"/>
        <v>-10380.602337443557</v>
      </c>
      <c r="AW63" s="1">
        <v>53</v>
      </c>
      <c r="AX63" s="1">
        <f t="shared" si="13"/>
        <v>26.5</v>
      </c>
      <c r="AZ63" s="1">
        <f t="shared" si="14"/>
        <v>18256.048790721747</v>
      </c>
      <c r="BA63" s="1">
        <f t="shared" si="15"/>
        <v>11871.726623805887</v>
      </c>
      <c r="BC63" s="1">
        <f t="shared" si="16"/>
        <v>-5037.2824328226416</v>
      </c>
      <c r="BD63" s="1">
        <f t="shared" si="17"/>
        <v>-4887.9477633669712</v>
      </c>
      <c r="BF63" s="1">
        <f t="shared" si="5"/>
        <v>317.95687831410532</v>
      </c>
      <c r="BG63" s="1">
        <f t="shared" si="6"/>
        <v>-1980.8069518318209</v>
      </c>
      <c r="BJ63" s="1">
        <f t="shared" si="18"/>
        <v>676.35519391409957</v>
      </c>
      <c r="BK63" s="1">
        <f t="shared" si="7"/>
        <v>-1695.4832180238413</v>
      </c>
      <c r="BO63" s="1">
        <f t="shared" si="8"/>
        <v>-116.39431016403509</v>
      </c>
      <c r="BP63" s="1">
        <f t="shared" si="9"/>
        <v>-5.69474203635954</v>
      </c>
      <c r="BT63" s="1">
        <f t="shared" si="10"/>
        <v>-242.0040054359591</v>
      </c>
      <c r="BU63" s="1">
        <f t="shared" si="11"/>
        <v>-279.62899177162012</v>
      </c>
    </row>
    <row r="64" spans="37:73">
      <c r="AK64" s="1">
        <v>54</v>
      </c>
      <c r="AL64" s="1">
        <f t="shared" si="19"/>
        <v>21.205750411731099</v>
      </c>
      <c r="AN64" s="1">
        <f t="shared" si="12"/>
        <v>16464.46609406728</v>
      </c>
      <c r="AO64" s="1">
        <f t="shared" si="0"/>
        <v>11035.533905932756</v>
      </c>
      <c r="AQ64" s="1">
        <f t="shared" si="1"/>
        <v>-22474.873734152905</v>
      </c>
      <c r="AR64" s="1">
        <f t="shared" si="2"/>
        <v>12474.87373415293</v>
      </c>
      <c r="AT64" s="1">
        <f t="shared" si="3"/>
        <v>-8535.5339059327198</v>
      </c>
      <c r="AU64" s="1">
        <f t="shared" si="4"/>
        <v>-11464.466094067244</v>
      </c>
      <c r="AW64" s="1">
        <v>54</v>
      </c>
      <c r="AX64" s="1">
        <f t="shared" si="13"/>
        <v>27</v>
      </c>
      <c r="AZ64" s="1">
        <f t="shared" si="14"/>
        <v>15777.152184099688</v>
      </c>
      <c r="BA64" s="1">
        <f t="shared" si="15"/>
        <v>9180.1518731434244</v>
      </c>
      <c r="BC64" s="1">
        <f t="shared" si="16"/>
        <v>-4878.3039936655887</v>
      </c>
      <c r="BD64" s="1">
        <f t="shared" si="17"/>
        <v>-5878.3512392828816</v>
      </c>
      <c r="BF64" s="1">
        <f t="shared" si="5"/>
        <v>1244.1619772246952</v>
      </c>
      <c r="BG64" s="1">
        <f t="shared" si="6"/>
        <v>-1000.1743367203645</v>
      </c>
      <c r="BJ64" s="1">
        <f t="shared" si="18"/>
        <v>1668.338436533302</v>
      </c>
      <c r="BK64" s="1">
        <f t="shared" si="7"/>
        <v>-663.78474228320874</v>
      </c>
      <c r="BO64" s="1">
        <f t="shared" si="8"/>
        <v>-132.5193779759918</v>
      </c>
      <c r="BP64" s="1">
        <f t="shared" si="9"/>
        <v>3.0367359382533659</v>
      </c>
      <c r="BT64" s="1">
        <f t="shared" si="10"/>
        <v>-291.65708133261495</v>
      </c>
      <c r="BU64" s="1">
        <f t="shared" si="11"/>
        <v>-339.42633037540918</v>
      </c>
    </row>
    <row r="65" spans="37:73">
      <c r="AK65">
        <v>55</v>
      </c>
      <c r="AL65" s="1">
        <f t="shared" si="19"/>
        <v>21.598449493429822</v>
      </c>
      <c r="AN65" s="1">
        <f t="shared" si="12"/>
        <v>15380.602337443579</v>
      </c>
      <c r="AO65" s="1">
        <f t="shared" si="0"/>
        <v>9413.4171618254804</v>
      </c>
      <c r="AQ65" s="1">
        <f t="shared" si="1"/>
        <v>-23233.578363789493</v>
      </c>
      <c r="AR65" s="1">
        <f t="shared" si="2"/>
        <v>11339.392013277835</v>
      </c>
      <c r="AT65" s="1">
        <f t="shared" si="3"/>
        <v>-9619.397662556421</v>
      </c>
      <c r="AU65" s="1">
        <f t="shared" si="4"/>
        <v>-13086.58283817452</v>
      </c>
      <c r="AW65" s="1">
        <v>55</v>
      </c>
      <c r="AX65" s="1">
        <f t="shared" si="13"/>
        <v>27.5</v>
      </c>
      <c r="AZ65" s="1">
        <f t="shared" si="14"/>
        <v>13493.520434419981</v>
      </c>
      <c r="BA65" s="1">
        <f t="shared" si="15"/>
        <v>6115.9544614119377</v>
      </c>
      <c r="BC65" s="1">
        <f t="shared" si="16"/>
        <v>-4256.2230050532407</v>
      </c>
      <c r="BD65" s="1">
        <f t="shared" si="17"/>
        <v>-6378.4384076430642</v>
      </c>
      <c r="BF65" s="1">
        <f t="shared" si="5"/>
        <v>1453.1100753541868</v>
      </c>
      <c r="BG65" s="1">
        <f t="shared" si="6"/>
        <v>17.473536062919266</v>
      </c>
      <c r="BJ65" s="1">
        <f t="shared" si="18"/>
        <v>1966.3987943048057</v>
      </c>
      <c r="BK65" s="1">
        <f t="shared" si="7"/>
        <v>418.28848471913955</v>
      </c>
      <c r="BO65" s="1">
        <f t="shared" si="8"/>
        <v>-147.29245172831295</v>
      </c>
      <c r="BP65" s="1">
        <f t="shared" si="9"/>
        <v>17.080634778992547</v>
      </c>
      <c r="BT65" s="1">
        <f t="shared" si="10"/>
        <v>-365.99626722230602</v>
      </c>
      <c r="BU65" s="1">
        <f t="shared" si="11"/>
        <v>-417.89558343521281</v>
      </c>
    </row>
    <row r="66" spans="37:73">
      <c r="AK66" s="1">
        <v>56</v>
      </c>
      <c r="AL66" s="1">
        <f t="shared" si="19"/>
        <v>21.991148575128545</v>
      </c>
      <c r="AN66" s="1">
        <f t="shared" si="12"/>
        <v>15000</v>
      </c>
      <c r="AO66" s="1">
        <f t="shared" si="0"/>
        <v>7500.00000000004</v>
      </c>
      <c r="AQ66" s="1">
        <f t="shared" si="1"/>
        <v>-23500</v>
      </c>
      <c r="AR66" s="1">
        <f t="shared" si="2"/>
        <v>10000.000000000027</v>
      </c>
      <c r="AT66" s="1">
        <f t="shared" si="3"/>
        <v>-10000</v>
      </c>
      <c r="AU66" s="1">
        <f t="shared" si="4"/>
        <v>-14999.99999999996</v>
      </c>
      <c r="AW66" s="1">
        <v>56</v>
      </c>
      <c r="AX66" s="1">
        <f t="shared" si="13"/>
        <v>28</v>
      </c>
      <c r="AZ66" s="1">
        <f t="shared" si="14"/>
        <v>11547.047691312633</v>
      </c>
      <c r="BA66" s="1">
        <f t="shared" si="15"/>
        <v>2928.9194495982706</v>
      </c>
      <c r="BC66" s="1">
        <f t="shared" si="16"/>
        <v>-3529.6679673761473</v>
      </c>
      <c r="BD66" s="1">
        <f t="shared" si="17"/>
        <v>-6369.7016396116051</v>
      </c>
      <c r="BF66" s="1">
        <f t="shared" si="5"/>
        <v>1029.9780802799914</v>
      </c>
      <c r="BG66" s="1">
        <f t="shared" si="6"/>
        <v>420.20113474218999</v>
      </c>
      <c r="BJ66" s="1">
        <f t="shared" si="18"/>
        <v>1659.1219358202375</v>
      </c>
      <c r="BK66" s="1">
        <f t="shared" si="7"/>
        <v>897.19895896945468</v>
      </c>
      <c r="BO66" s="1">
        <f t="shared" si="8"/>
        <v>-156.52965797514756</v>
      </c>
      <c r="BP66" s="1">
        <f t="shared" si="9"/>
        <v>35.085179155255744</v>
      </c>
      <c r="BT66" s="1">
        <f t="shared" si="10"/>
        <v>-472.61419756509855</v>
      </c>
      <c r="BU66" s="1">
        <f t="shared" si="11"/>
        <v>-512.08300338252047</v>
      </c>
    </row>
    <row r="67" spans="37:73">
      <c r="AK67" s="1">
        <v>57</v>
      </c>
      <c r="AL67" s="1">
        <f t="shared" si="19"/>
        <v>22.383847656827268</v>
      </c>
      <c r="AN67" s="1">
        <f t="shared" si="12"/>
        <v>15380.602337443548</v>
      </c>
      <c r="AO67" s="1">
        <f t="shared" si="0"/>
        <v>5586.5828381745941</v>
      </c>
      <c r="AQ67" s="1">
        <f t="shared" si="1"/>
        <v>-23233.578363789515</v>
      </c>
      <c r="AR67" s="1">
        <f t="shared" si="2"/>
        <v>8660.6079867222161</v>
      </c>
      <c r="AT67" s="1">
        <f t="shared" si="3"/>
        <v>-9619.3976625564519</v>
      </c>
      <c r="AU67" s="1">
        <f t="shared" si="4"/>
        <v>-16913.417161825404</v>
      </c>
      <c r="AW67" s="1">
        <v>57</v>
      </c>
      <c r="AX67" s="1">
        <f t="shared" si="13"/>
        <v>28.5</v>
      </c>
      <c r="AZ67" s="1">
        <f t="shared" si="14"/>
        <v>9910.9609676595592</v>
      </c>
      <c r="BA67" s="1">
        <f t="shared" si="15"/>
        <v>-203.40622836475819</v>
      </c>
      <c r="BC67" s="1">
        <f t="shared" si="16"/>
        <v>-3014.6789272361516</v>
      </c>
      <c r="BD67" s="1">
        <f t="shared" si="17"/>
        <v>-6159.6010722405099</v>
      </c>
      <c r="BF67" s="1">
        <f t="shared" si="5"/>
        <v>473.50780885046061</v>
      </c>
      <c r="BG67" s="1">
        <f t="shared" si="6"/>
        <v>394.6654055017849</v>
      </c>
      <c r="BJ67" s="1">
        <f t="shared" si="18"/>
        <v>1251.8731861174419</v>
      </c>
      <c r="BK67" s="1">
        <f t="shared" si="7"/>
        <v>955.85790362660612</v>
      </c>
      <c r="BO67" s="1">
        <f t="shared" si="8"/>
        <v>-158.38753792368931</v>
      </c>
      <c r="BP67" s="1">
        <f t="shared" si="9"/>
        <v>54.030105976644755</v>
      </c>
      <c r="BT67" s="1">
        <f t="shared" si="10"/>
        <v>-619.97783934329209</v>
      </c>
      <c r="BU67" s="1">
        <f t="shared" si="11"/>
        <v>-615.222604101466</v>
      </c>
    </row>
    <row r="68" spans="37:73">
      <c r="AK68" s="1">
        <v>58</v>
      </c>
      <c r="AL68" s="1">
        <f t="shared" si="19"/>
        <v>22.77654673852599</v>
      </c>
      <c r="AN68" s="1">
        <f t="shared" si="12"/>
        <v>16464.466094067226</v>
      </c>
      <c r="AO68" s="1">
        <f t="shared" si="0"/>
        <v>3964.4660940672998</v>
      </c>
      <c r="AQ68" s="1">
        <f t="shared" si="1"/>
        <v>-22474.873734152941</v>
      </c>
      <c r="AR68" s="1">
        <f t="shared" si="2"/>
        <v>7525.1262658471096</v>
      </c>
      <c r="AT68" s="1">
        <f t="shared" si="3"/>
        <v>-8535.5339059327744</v>
      </c>
      <c r="AU68" s="1">
        <f t="shared" si="4"/>
        <v>-18535.533905932702</v>
      </c>
      <c r="AW68" s="1">
        <v>58</v>
      </c>
      <c r="AX68" s="1">
        <f t="shared" si="13"/>
        <v>29</v>
      </c>
      <c r="AZ68" s="1">
        <f t="shared" si="14"/>
        <v>8462.8099801477911</v>
      </c>
      <c r="BA68" s="1">
        <f t="shared" si="15"/>
        <v>-3233.8735887972898</v>
      </c>
      <c r="BC68" s="1">
        <f t="shared" si="16"/>
        <v>-2777.9250228109213</v>
      </c>
      <c r="BD68" s="1">
        <f t="shared" si="17"/>
        <v>-5962.2683694896177</v>
      </c>
      <c r="BF68" s="1">
        <f t="shared" si="5"/>
        <v>-44.312123668616778</v>
      </c>
      <c r="BG68" s="1">
        <f t="shared" si="6"/>
        <v>219.44847950684004</v>
      </c>
      <c r="BJ68" s="1">
        <f t="shared" si="18"/>
        <v>929.23556126694939</v>
      </c>
      <c r="BK68" s="1">
        <f t="shared" si="7"/>
        <v>864.5343477650639</v>
      </c>
      <c r="BO68" s="1">
        <f t="shared" si="8"/>
        <v>-153.68148117982525</v>
      </c>
      <c r="BP68" s="1">
        <f t="shared" si="9"/>
        <v>71.454691096608897</v>
      </c>
      <c r="BT68" s="1">
        <f t="shared" si="10"/>
        <v>-819.86620375574091</v>
      </c>
      <c r="BU68" s="1">
        <f t="shared" si="11"/>
        <v>-716.54055935483279</v>
      </c>
    </row>
    <row r="69" spans="37:73">
      <c r="AK69" s="1">
        <v>59</v>
      </c>
      <c r="AL69" s="1">
        <f t="shared" si="19"/>
        <v>23.169245820224713</v>
      </c>
      <c r="AN69" s="1">
        <f t="shared" si="12"/>
        <v>18086.582838174494</v>
      </c>
      <c r="AO69" s="1">
        <f t="shared" si="0"/>
        <v>2880.602337443589</v>
      </c>
      <c r="AQ69" s="1">
        <f t="shared" si="1"/>
        <v>-21339.392013277851</v>
      </c>
      <c r="AR69" s="1">
        <f t="shared" si="2"/>
        <v>6766.4216362105126</v>
      </c>
      <c r="AT69" s="1">
        <f t="shared" si="3"/>
        <v>-6913.4171618255041</v>
      </c>
      <c r="AU69" s="1">
        <f t="shared" si="4"/>
        <v>-19619.39766255641</v>
      </c>
      <c r="AW69" s="1">
        <v>59</v>
      </c>
      <c r="AX69" s="1">
        <f t="shared" si="13"/>
        <v>29.5</v>
      </c>
      <c r="AZ69" s="1">
        <f t="shared" si="14"/>
        <v>7068.3084532837529</v>
      </c>
      <c r="BA69" s="1">
        <f t="shared" si="15"/>
        <v>-6187.576713603743</v>
      </c>
      <c r="BC69" s="1">
        <f t="shared" si="16"/>
        <v>-2800.0810846452296</v>
      </c>
      <c r="BD69" s="1">
        <f t="shared" si="17"/>
        <v>-5852.5441297361976</v>
      </c>
      <c r="BF69" s="1">
        <f t="shared" si="5"/>
        <v>-532.55195242444131</v>
      </c>
      <c r="BG69" s="1">
        <f t="shared" si="6"/>
        <v>31.929694395013485</v>
      </c>
      <c r="BJ69" s="1">
        <f t="shared" si="18"/>
        <v>698.61959422329721</v>
      </c>
      <c r="BK69" s="1">
        <f t="shared" si="7"/>
        <v>739.45541115124172</v>
      </c>
      <c r="BO69" s="1">
        <f t="shared" si="8"/>
        <v>-144.16870870408277</v>
      </c>
      <c r="BP69" s="1">
        <f t="shared" si="9"/>
        <v>86.216766587991827</v>
      </c>
      <c r="BT69" s="1">
        <f t="shared" si="10"/>
        <v>-1087.0028379436558</v>
      </c>
      <c r="BU69" s="1">
        <f t="shared" si="11"/>
        <v>-793.74248334422009</v>
      </c>
    </row>
    <row r="70" spans="37:73">
      <c r="AK70">
        <v>60</v>
      </c>
      <c r="AL70" s="1">
        <f t="shared" si="19"/>
        <v>23.561944901923436</v>
      </c>
      <c r="AN70" s="1">
        <f t="shared" si="12"/>
        <v>19999.999999999935</v>
      </c>
      <c r="AO70" s="1">
        <f t="shared" si="0"/>
        <v>2500</v>
      </c>
      <c r="AQ70" s="1">
        <f t="shared" si="1"/>
        <v>-20000.000000000047</v>
      </c>
      <c r="AR70" s="1">
        <f t="shared" si="2"/>
        <v>6500</v>
      </c>
      <c r="AT70" s="1">
        <f t="shared" si="3"/>
        <v>-5000.0000000000664</v>
      </c>
      <c r="AU70" s="1">
        <f t="shared" si="4"/>
        <v>-20000</v>
      </c>
      <c r="AW70" s="1">
        <v>60</v>
      </c>
      <c r="AX70" s="1">
        <f t="shared" si="13"/>
        <v>30</v>
      </c>
      <c r="AZ70" s="1">
        <f t="shared" si="14"/>
        <v>5601.6989169080825</v>
      </c>
      <c r="BA70" s="1">
        <f t="shared" si="15"/>
        <v>-9109.8575666724646</v>
      </c>
      <c r="BC70" s="1">
        <f t="shared" si="16"/>
        <v>-3066.3570608574501</v>
      </c>
      <c r="BD70" s="1">
        <f t="shared" si="17"/>
        <v>-5836.5792825386907</v>
      </c>
      <c r="BF70" s="1">
        <f t="shared" si="5"/>
        <v>-1025.3452898656583</v>
      </c>
      <c r="BG70" s="1">
        <f t="shared" si="6"/>
        <v>-78.428889021317218</v>
      </c>
      <c r="BJ70" s="1">
        <f t="shared" si="18"/>
        <v>535.28532839769741</v>
      </c>
      <c r="BK70" s="1">
        <f t="shared" si="7"/>
        <v>617.5043160235108</v>
      </c>
      <c r="BO70" s="1">
        <f t="shared" si="8"/>
        <v>-131.43436958483665</v>
      </c>
      <c r="BP70" s="1">
        <f t="shared" si="9"/>
        <v>98.106461226790842</v>
      </c>
      <c r="BT70" s="1">
        <f t="shared" si="10"/>
        <v>-1429.1962486785192</v>
      </c>
      <c r="BU70" s="1">
        <f t="shared" si="11"/>
        <v>-794.0396662716189</v>
      </c>
    </row>
    <row r="71" spans="37:73">
      <c r="AK71" s="1">
        <v>61</v>
      </c>
      <c r="AL71" s="1">
        <f t="shared" si="19"/>
        <v>23.954643983622159</v>
      </c>
      <c r="AN71" s="1">
        <f t="shared" si="12"/>
        <v>21913.417161825382</v>
      </c>
      <c r="AO71" s="1">
        <f t="shared" si="0"/>
        <v>2880.6023374435381</v>
      </c>
      <c r="AQ71" s="1">
        <f t="shared" si="1"/>
        <v>-18660.607986722232</v>
      </c>
      <c r="AR71" s="1">
        <f t="shared" si="2"/>
        <v>6766.4216362104762</v>
      </c>
      <c r="AT71" s="1">
        <f t="shared" si="3"/>
        <v>-3086.5828381746192</v>
      </c>
      <c r="AU71" s="1">
        <f t="shared" si="4"/>
        <v>-19619.397662556461</v>
      </c>
      <c r="AW71" s="1">
        <v>61</v>
      </c>
      <c r="AX71" s="1">
        <f t="shared" si="13"/>
        <v>30.5</v>
      </c>
      <c r="AZ71" s="1">
        <f t="shared" si="14"/>
        <v>3940.3522252461503</v>
      </c>
      <c r="BA71" s="1">
        <f t="shared" si="15"/>
        <v>-12037.950819069474</v>
      </c>
      <c r="BC71" s="1">
        <f t="shared" si="16"/>
        <v>-3579.029705790279</v>
      </c>
      <c r="BD71" s="1">
        <f t="shared" si="17"/>
        <v>-5875.7937270493494</v>
      </c>
      <c r="BF71" s="1">
        <f t="shared" si="5"/>
        <v>-1504.4383474840474</v>
      </c>
      <c r="BG71" s="1">
        <f t="shared" si="6"/>
        <v>17.600541706146146</v>
      </c>
      <c r="BJ71" s="1">
        <f t="shared" si="18"/>
        <v>418.02350149936029</v>
      </c>
      <c r="BK71" s="1">
        <f t="shared" si="7"/>
        <v>508.56175229128894</v>
      </c>
      <c r="BO71" s="1">
        <f t="shared" si="8"/>
        <v>-116.60692224682288</v>
      </c>
      <c r="BP71" s="1">
        <f t="shared" si="9"/>
        <v>107.34084417223393</v>
      </c>
      <c r="BT71" s="1">
        <f t="shared" si="10"/>
        <v>-1805.8549267365847</v>
      </c>
      <c r="BU71" s="1">
        <f t="shared" si="11"/>
        <v>-598.30205475737671</v>
      </c>
    </row>
    <row r="72" spans="37:73">
      <c r="AK72" s="1">
        <v>62</v>
      </c>
      <c r="AL72" s="1">
        <f t="shared" si="19"/>
        <v>24.347343065320882</v>
      </c>
      <c r="AN72" s="1">
        <f t="shared" si="12"/>
        <v>23535.53390593268</v>
      </c>
      <c r="AO72" s="1">
        <f t="shared" si="0"/>
        <v>3964.4660940672056</v>
      </c>
      <c r="AQ72" s="1">
        <f t="shared" si="1"/>
        <v>-17525.126265847124</v>
      </c>
      <c r="AR72" s="1">
        <f t="shared" si="2"/>
        <v>7525.1262658470441</v>
      </c>
      <c r="AT72" s="1">
        <f t="shared" si="3"/>
        <v>-1464.4660940673193</v>
      </c>
      <c r="AU72" s="1">
        <f t="shared" si="4"/>
        <v>-18535.533905932796</v>
      </c>
      <c r="AW72" s="1">
        <v>62</v>
      </c>
      <c r="AX72" s="1">
        <f t="shared" si="13"/>
        <v>31</v>
      </c>
      <c r="AZ72" s="1">
        <f t="shared" si="14"/>
        <v>1962.7825789155049</v>
      </c>
      <c r="BA72" s="1">
        <f t="shared" si="15"/>
        <v>-14973.64761488088</v>
      </c>
      <c r="BC72" s="1">
        <f t="shared" si="16"/>
        <v>-4331.2488795323025</v>
      </c>
      <c r="BD72" s="1">
        <f t="shared" si="17"/>
        <v>-5866.9934561962764</v>
      </c>
      <c r="BF72" s="1">
        <f t="shared" si="5"/>
        <v>-1782.6982363465954</v>
      </c>
      <c r="BG72" s="1">
        <f t="shared" si="6"/>
        <v>521.2613115361014</v>
      </c>
      <c r="BJ72" s="1">
        <f t="shared" si="18"/>
        <v>332.78165281799573</v>
      </c>
      <c r="BK72" s="1">
        <f t="shared" si="7"/>
        <v>414.63255797908982</v>
      </c>
      <c r="BO72" s="1">
        <f t="shared" si="8"/>
        <v>-100.48024373159446</v>
      </c>
      <c r="BP72" s="1">
        <f t="shared" si="9"/>
        <v>114.25502165737383</v>
      </c>
      <c r="BT72" s="1">
        <f t="shared" si="10"/>
        <v>-2014.9996454329967</v>
      </c>
      <c r="BU72" s="1">
        <f t="shared" si="11"/>
        <v>-7.6262681003622301</v>
      </c>
    </row>
    <row r="73" spans="37:73">
      <c r="AK73" s="1">
        <v>63</v>
      </c>
      <c r="AL73" s="1">
        <f t="shared" si="19"/>
        <v>24.740042147019604</v>
      </c>
      <c r="AN73" s="1">
        <f t="shared" si="12"/>
        <v>24619.397662556399</v>
      </c>
      <c r="AO73" s="1">
        <f t="shared" si="0"/>
        <v>5586.5828381744705</v>
      </c>
      <c r="AQ73" s="1">
        <f t="shared" si="1"/>
        <v>-16766.421636210522</v>
      </c>
      <c r="AR73" s="1">
        <f t="shared" si="2"/>
        <v>8660.6079867221306</v>
      </c>
      <c r="AT73" s="1">
        <f t="shared" si="3"/>
        <v>-380.60233744359994</v>
      </c>
      <c r="AU73" s="1">
        <f t="shared" si="4"/>
        <v>-16913.417161825528</v>
      </c>
      <c r="AW73" s="1">
        <v>63</v>
      </c>
      <c r="AX73" s="1">
        <f t="shared" si="13"/>
        <v>31.5</v>
      </c>
      <c r="AZ73" s="1">
        <f t="shared" si="14"/>
        <v>-425.67914039397073</v>
      </c>
      <c r="BA73" s="1">
        <f t="shared" si="15"/>
        <v>-17841.986679037003</v>
      </c>
      <c r="BC73" s="1">
        <f t="shared" si="16"/>
        <v>-5222.5979977056004</v>
      </c>
      <c r="BD73" s="1">
        <f t="shared" si="17"/>
        <v>-5606.3628004282255</v>
      </c>
      <c r="BF73" s="1">
        <f t="shared" si="5"/>
        <v>-1447.5829892571755</v>
      </c>
      <c r="BG73" s="1">
        <f t="shared" si="6"/>
        <v>1470.915235464297</v>
      </c>
      <c r="BJ73" s="1">
        <f t="shared" si="18"/>
        <v>270.9014499480723</v>
      </c>
      <c r="BK73" s="1">
        <f t="shared" si="7"/>
        <v>336.10539403506175</v>
      </c>
      <c r="BO73" s="1">
        <f t="shared" si="8"/>
        <v>-83.799285755930526</v>
      </c>
      <c r="BP73" s="1">
        <f t="shared" si="9"/>
        <v>119.19384659439939</v>
      </c>
      <c r="BT73" s="1">
        <f t="shared" si="10"/>
        <v>-1634.6851534493173</v>
      </c>
      <c r="BU73" s="1">
        <f t="shared" si="11"/>
        <v>1015.6159948348359</v>
      </c>
    </row>
    <row r="74" spans="37:73">
      <c r="AK74" s="1">
        <v>64</v>
      </c>
      <c r="AL74" s="1">
        <f t="shared" si="19"/>
        <v>25.132741228718327</v>
      </c>
      <c r="AN74" s="1">
        <f t="shared" si="12"/>
        <v>25000</v>
      </c>
      <c r="AO74" s="1">
        <f t="shared" si="0"/>
        <v>7499.9999999999063</v>
      </c>
      <c r="AQ74" s="1">
        <f t="shared" si="1"/>
        <v>-16500</v>
      </c>
      <c r="AR74" s="1">
        <f t="shared" si="2"/>
        <v>9999.9999999999345</v>
      </c>
      <c r="AT74" s="1">
        <f t="shared" si="3"/>
        <v>0</v>
      </c>
      <c r="AU74" s="1">
        <f t="shared" si="4"/>
        <v>-15000.000000000095</v>
      </c>
      <c r="AW74" s="1">
        <v>64</v>
      </c>
      <c r="AX74" s="1">
        <f t="shared" si="13"/>
        <v>32</v>
      </c>
      <c r="AZ74" s="1">
        <f t="shared" si="14"/>
        <v>-3217.9260129039176</v>
      </c>
      <c r="BA74" s="1">
        <f t="shared" si="15"/>
        <v>-20461.303674818082</v>
      </c>
      <c r="BC74" s="1">
        <f t="shared" si="16"/>
        <v>-5946.3894923341886</v>
      </c>
      <c r="BD74" s="1">
        <f t="shared" si="17"/>
        <v>-4870.9051826960767</v>
      </c>
      <c r="BF74" s="1">
        <f t="shared" si="5"/>
        <v>-448.8629842360059</v>
      </c>
      <c r="BG74" s="1">
        <f t="shared" si="6"/>
        <v>2260.1470438328251</v>
      </c>
      <c r="BJ74" s="1">
        <f t="shared" si="18"/>
        <v>226.97276684530652</v>
      </c>
      <c r="BK74" s="1">
        <f t="shared" si="7"/>
        <v>273.34286689293879</v>
      </c>
      <c r="BO74" s="1">
        <f t="shared" si="8"/>
        <v>-67.506177626500318</v>
      </c>
      <c r="BP74" s="1">
        <f t="shared" si="9"/>
        <v>122.53111136252693</v>
      </c>
      <c r="BT74" s="1">
        <f t="shared" si="10"/>
        <v>-608.32957345481213</v>
      </c>
      <c r="BU74" s="1">
        <f t="shared" si="11"/>
        <v>1864.2730655773596</v>
      </c>
    </row>
    <row r="75" spans="37:73">
      <c r="AK75">
        <v>65</v>
      </c>
      <c r="AL75" s="1">
        <f t="shared" si="19"/>
        <v>25.52544031041705</v>
      </c>
      <c r="AN75" s="1">
        <f t="shared" si="12"/>
        <v>24619.397662556472</v>
      </c>
      <c r="AO75" s="1">
        <f t="shared" ref="AO75:AO122" si="20" xml:space="preserve"> SIN(AL75) * $M$19 + $N$18</f>
        <v>9413.4171618253567</v>
      </c>
      <c r="AQ75" s="1">
        <f t="shared" ref="AQ75:AQ122" si="21" xml:space="preserve"> COS(AL75) * $M$27 + $M$26</f>
        <v>-16766.421636210471</v>
      </c>
      <c r="AR75" s="1">
        <f t="shared" ref="AR75:AR122" si="22" xml:space="preserve"> SIN(AL75) * $M$27 + $N$26</f>
        <v>11339.392013277749</v>
      </c>
      <c r="AT75" s="1">
        <f t="shared" ref="AT75:AT122" si="23" xml:space="preserve"> COS(AL75) * $M$35 + $M$34</f>
        <v>-380.60233744352809</v>
      </c>
      <c r="AU75" s="1">
        <f t="shared" ref="AU75:AU122" si="24" xml:space="preserve"> SIN(AL75) * $M$35 + $N$34</f>
        <v>-13086.582838174643</v>
      </c>
      <c r="AW75" s="1">
        <v>65</v>
      </c>
      <c r="AX75" s="1">
        <f t="shared" si="13"/>
        <v>32.5</v>
      </c>
      <c r="AZ75" s="1">
        <f t="shared" si="14"/>
        <v>-6247.2286321005122</v>
      </c>
      <c r="BA75" s="1">
        <f t="shared" si="15"/>
        <v>-22614.23788568702</v>
      </c>
      <c r="BC75" s="1">
        <f t="shared" si="16"/>
        <v>-6170.8209844521916</v>
      </c>
      <c r="BD75" s="1">
        <f t="shared" si="17"/>
        <v>-3740.8316607796642</v>
      </c>
      <c r="BF75" s="1">
        <f t="shared" ref="BF75:BF138" si="25">BJ75 + BO75 + BT75</f>
        <v>468.31144157514001</v>
      </c>
      <c r="BG75" s="1">
        <f t="shared" ref="BG75:BG138" si="26">BK75 + BP75 + BU75</f>
        <v>2329.0712400284965</v>
      </c>
      <c r="BJ75" s="1">
        <f t="shared" ref="BJ75:BJ138" si="27">$M$22*($M$18 - AZ75)/ (SQRT(($M$18 - AZ75)^2 + ($N$18 - BA75)^2 )^2 + $M$23^2)^(3/2)</f>
        <v>196.80047766972183</v>
      </c>
      <c r="BK75" s="1">
        <f t="shared" ref="BK75:BK138" si="28">$M$22*($N$18 - BA75)/ (SQRT(($M$18 - AZ75)^2 + ($N$18 - BA75)^2 )^2 + $M$23^2)^(3/2)</f>
        <v>225.79512997858751</v>
      </c>
      <c r="BO75" s="1">
        <f t="shared" ref="BO75:BO138" si="29">$M$30*($M$26 - AZ75)/ (SQRT(($M$26 - AZ75)^2 + ($N$26 - BA75)^2 )^2 + $M$31^2)^(3/2)</f>
        <v>-52.583917381693823</v>
      </c>
      <c r="BP75" s="1">
        <f t="shared" ref="BP75:BP138" si="30">$M$30*($N$26 - BA75)/ (SQRT(($M$26 - AZ75)^2 + ($N$26 - BA75)^2 )^2 + $M$31^2)^(3/2)</f>
        <v>124.70100349743622</v>
      </c>
      <c r="BT75" s="1">
        <f t="shared" ref="BT75:BT138" si="31">$M$38*($M$34 - AZ75)/ (SQRT(($M$34 - AZ75)^2 + ($N$34 - BA75)^2 )^2 + $M$39^2)^(3/2)</f>
        <v>324.094881287112</v>
      </c>
      <c r="BU75" s="1">
        <f t="shared" ref="BU75:BU138" si="32">$M$38*($N$34 - BA75)/ (SQRT(($M$34 - AZ75)^2 + ($N$34 - BA75)^2 )^2 + $M$39^2)^(3/2)</f>
        <v>1978.5751065524728</v>
      </c>
    </row>
    <row r="76" spans="37:73">
      <c r="AK76" s="1">
        <v>66</v>
      </c>
      <c r="AL76" s="1">
        <f t="shared" si="19"/>
        <v>25.918139392115773</v>
      </c>
      <c r="AN76" s="1">
        <f t="shared" ref="AN76:AN122" si="33" xml:space="preserve"> COS(AL76) * $M$19 + $M$18</f>
        <v>23535.533905932814</v>
      </c>
      <c r="AO76" s="1">
        <f t="shared" si="20"/>
        <v>11035.533905932662</v>
      </c>
      <c r="AQ76" s="1">
        <f t="shared" si="21"/>
        <v>-17525.12626584703</v>
      </c>
      <c r="AR76" s="1">
        <f t="shared" si="22"/>
        <v>12474.873734152863</v>
      </c>
      <c r="AT76" s="1">
        <f t="shared" si="23"/>
        <v>-1464.4660940671865</v>
      </c>
      <c r="AU76" s="1">
        <f t="shared" si="24"/>
        <v>-11464.466094067338</v>
      </c>
      <c r="AW76" s="1">
        <v>66</v>
      </c>
      <c r="AX76" s="1">
        <f t="shared" ref="AX76:AX139" si="34">AX75+$M$5</f>
        <v>33</v>
      </c>
      <c r="AZ76" s="1">
        <f t="shared" ref="AZ76:AZ139" si="35">AZ75 + BC75 * $M$5 + 0.5 * BF75 * POWER($M$5, 2)</f>
        <v>-9274.1001941297163</v>
      </c>
      <c r="BA76" s="1">
        <f t="shared" ref="BA76:BA139" si="36">BA75+BD75*$M$5+0.5*BG75* POWER($M$5, 2)</f>
        <v>-24193.519811073293</v>
      </c>
      <c r="BC76" s="1">
        <f t="shared" ref="BC76:BC139" si="37">BC75 + BF75 * $M$5</f>
        <v>-5936.6652636646213</v>
      </c>
      <c r="BD76" s="1">
        <f t="shared" ref="BD76:BD139" si="38">BD75+BG75*$M$5</f>
        <v>-2576.2960407654159</v>
      </c>
      <c r="BF76" s="1">
        <f t="shared" si="25"/>
        <v>911.83473911863052</v>
      </c>
      <c r="BG76" s="1">
        <f t="shared" si="26"/>
        <v>1984.0960643035505</v>
      </c>
      <c r="BJ76" s="1">
        <f t="shared" si="27"/>
        <v>176.44753827845344</v>
      </c>
      <c r="BK76" s="1">
        <f t="shared" si="28"/>
        <v>191.03041640762984</v>
      </c>
      <c r="BO76" s="1">
        <f t="shared" si="29"/>
        <v>-39.569734243219301</v>
      </c>
      <c r="BP76" s="1">
        <f t="shared" si="30"/>
        <v>126.14591934039063</v>
      </c>
      <c r="BT76" s="1">
        <f t="shared" si="31"/>
        <v>774.95693508339639</v>
      </c>
      <c r="BU76" s="1">
        <f t="shared" si="32"/>
        <v>1666.9197285555299</v>
      </c>
    </row>
    <row r="77" spans="37:73">
      <c r="AK77" s="1">
        <v>67</v>
      </c>
      <c r="AL77" s="1">
        <f t="shared" ref="AL77:AL121" si="39">AL76+$AL$7</f>
        <v>26.310838473814496</v>
      </c>
      <c r="AN77" s="1">
        <f t="shared" si="33"/>
        <v>21913.417161825553</v>
      </c>
      <c r="AO77" s="1">
        <f t="shared" si="20"/>
        <v>12119.39766255639</v>
      </c>
      <c r="AQ77" s="1">
        <f t="shared" si="21"/>
        <v>-18660.607986722112</v>
      </c>
      <c r="AR77" s="1">
        <f t="shared" si="22"/>
        <v>13233.578363789473</v>
      </c>
      <c r="AT77" s="1">
        <f t="shared" si="23"/>
        <v>-3086.5828381744459</v>
      </c>
      <c r="AU77" s="1">
        <f t="shared" si="24"/>
        <v>-10380.60233744361</v>
      </c>
      <c r="AW77" s="1">
        <v>67</v>
      </c>
      <c r="AX77" s="1">
        <f t="shared" si="34"/>
        <v>33.5</v>
      </c>
      <c r="AZ77" s="1">
        <f t="shared" si="35"/>
        <v>-12128.453483572199</v>
      </c>
      <c r="BA77" s="1">
        <f t="shared" si="36"/>
        <v>-25233.655823418056</v>
      </c>
      <c r="BC77" s="1">
        <f t="shared" si="37"/>
        <v>-5480.7478941053059</v>
      </c>
      <c r="BD77" s="1">
        <f t="shared" si="38"/>
        <v>-1584.2480086136406</v>
      </c>
      <c r="BF77" s="1">
        <f t="shared" si="25"/>
        <v>1047.8762818831913</v>
      </c>
      <c r="BG77" s="1">
        <f t="shared" si="26"/>
        <v>1604.6095477424642</v>
      </c>
      <c r="BJ77" s="1">
        <f t="shared" si="27"/>
        <v>162.61138261507404</v>
      </c>
      <c r="BK77" s="1">
        <f t="shared" si="28"/>
        <v>165.67448645524277</v>
      </c>
      <c r="BO77" s="1">
        <f t="shared" si="29"/>
        <v>-28.425536793626343</v>
      </c>
      <c r="BP77" s="1">
        <f t="shared" si="30"/>
        <v>127.23491856299739</v>
      </c>
      <c r="BT77" s="1">
        <f t="shared" si="31"/>
        <v>913.69043606174353</v>
      </c>
      <c r="BU77" s="1">
        <f t="shared" si="32"/>
        <v>1311.700142724224</v>
      </c>
    </row>
    <row r="78" spans="37:73">
      <c r="AK78" s="1">
        <v>68</v>
      </c>
      <c r="AL78" s="1">
        <f t="shared" si="39"/>
        <v>26.703537555513218</v>
      </c>
      <c r="AN78" s="1">
        <f t="shared" si="33"/>
        <v>20000.00000000012</v>
      </c>
      <c r="AO78" s="1">
        <f t="shared" si="20"/>
        <v>12500</v>
      </c>
      <c r="AQ78" s="1">
        <f t="shared" si="21"/>
        <v>-19999.999999999916</v>
      </c>
      <c r="AR78" s="1">
        <f t="shared" si="22"/>
        <v>13500</v>
      </c>
      <c r="AT78" s="1">
        <f t="shared" si="23"/>
        <v>-4999.999999999879</v>
      </c>
      <c r="AU78" s="1">
        <f t="shared" si="24"/>
        <v>-10000</v>
      </c>
      <c r="AW78" s="1">
        <v>68</v>
      </c>
      <c r="AX78" s="1">
        <f t="shared" si="34"/>
        <v>34</v>
      </c>
      <c r="AZ78" s="1">
        <f t="shared" si="35"/>
        <v>-14737.842895389453</v>
      </c>
      <c r="BA78" s="1">
        <f t="shared" si="36"/>
        <v>-25825.203634257068</v>
      </c>
      <c r="BC78" s="1">
        <f t="shared" si="37"/>
        <v>-4956.8097531637104</v>
      </c>
      <c r="BD78" s="1">
        <f t="shared" si="38"/>
        <v>-781.94323474240855</v>
      </c>
      <c r="BF78" s="1">
        <f t="shared" si="25"/>
        <v>1059.3410949880438</v>
      </c>
      <c r="BG78" s="1">
        <f t="shared" si="26"/>
        <v>1303.5269042653208</v>
      </c>
      <c r="BJ78" s="1">
        <f t="shared" si="27"/>
        <v>153.04148256873899</v>
      </c>
      <c r="BK78" s="1">
        <f t="shared" si="28"/>
        <v>146.81794106935581</v>
      </c>
      <c r="BO78" s="1">
        <f t="shared" si="29"/>
        <v>-18.840103411330588</v>
      </c>
      <c r="BP78" s="1">
        <f t="shared" si="30"/>
        <v>128.26499243247747</v>
      </c>
      <c r="BT78" s="1">
        <f t="shared" si="31"/>
        <v>925.1397158306354</v>
      </c>
      <c r="BU78" s="1">
        <f t="shared" si="32"/>
        <v>1028.4439707634876</v>
      </c>
    </row>
    <row r="79" spans="37:73">
      <c r="AK79" s="1">
        <v>69</v>
      </c>
      <c r="AL79" s="1">
        <f t="shared" si="39"/>
        <v>27.096236637211941</v>
      </c>
      <c r="AN79" s="1">
        <f t="shared" si="33"/>
        <v>18086.582838174669</v>
      </c>
      <c r="AO79" s="1">
        <f t="shared" si="20"/>
        <v>12119.397662556483</v>
      </c>
      <c r="AQ79" s="1">
        <f t="shared" si="21"/>
        <v>-21339.392013277731</v>
      </c>
      <c r="AR79" s="1">
        <f t="shared" si="22"/>
        <v>13233.578363789538</v>
      </c>
      <c r="AT79" s="1">
        <f t="shared" si="23"/>
        <v>-6913.4171618253313</v>
      </c>
      <c r="AU79" s="1">
        <f t="shared" si="24"/>
        <v>-10380.602337443517</v>
      </c>
      <c r="AW79" s="1">
        <v>69</v>
      </c>
      <c r="AX79" s="1">
        <f t="shared" si="34"/>
        <v>34.5</v>
      </c>
      <c r="AZ79" s="1">
        <f t="shared" si="35"/>
        <v>-17083.8301350978</v>
      </c>
      <c r="BA79" s="1">
        <f t="shared" si="36"/>
        <v>-26053.234388595109</v>
      </c>
      <c r="BC79" s="1">
        <f t="shared" si="37"/>
        <v>-4427.1392056696886</v>
      </c>
      <c r="BD79" s="1">
        <f t="shared" si="38"/>
        <v>-130.17978260974814</v>
      </c>
      <c r="BF79" s="1">
        <f t="shared" si="25"/>
        <v>1031.4518037136295</v>
      </c>
      <c r="BG79" s="1">
        <f t="shared" si="26"/>
        <v>1081.0906081467306</v>
      </c>
      <c r="BJ79" s="1">
        <f t="shared" si="27"/>
        <v>146.37441236190716</v>
      </c>
      <c r="BK79" s="1">
        <f t="shared" si="28"/>
        <v>132.43871920941729</v>
      </c>
      <c r="BO79" s="1">
        <f t="shared" si="29"/>
        <v>-10.473038629230137</v>
      </c>
      <c r="BP79" s="1">
        <f t="shared" si="30"/>
        <v>129.48042602213371</v>
      </c>
      <c r="BT79" s="1">
        <f t="shared" si="31"/>
        <v>895.55042998095234</v>
      </c>
      <c r="BU79" s="1">
        <f t="shared" si="32"/>
        <v>819.17146291517963</v>
      </c>
    </row>
    <row r="80" spans="37:73">
      <c r="AK80">
        <v>70</v>
      </c>
      <c r="AL80" s="1">
        <f t="shared" si="39"/>
        <v>27.488935718910664</v>
      </c>
      <c r="AN80" s="1">
        <f t="shared" si="33"/>
        <v>16464.466094067357</v>
      </c>
      <c r="AO80" s="1">
        <f t="shared" si="20"/>
        <v>11035.533905932833</v>
      </c>
      <c r="AQ80" s="1">
        <f t="shared" si="21"/>
        <v>-22474.87373415285</v>
      </c>
      <c r="AR80" s="1">
        <f t="shared" si="22"/>
        <v>12474.873734152983</v>
      </c>
      <c r="AT80" s="1">
        <f t="shared" si="23"/>
        <v>-8535.5339059326434</v>
      </c>
      <c r="AU80" s="1">
        <f t="shared" si="24"/>
        <v>-11464.466094067167</v>
      </c>
      <c r="AW80" s="1">
        <v>70</v>
      </c>
      <c r="AX80" s="1">
        <f t="shared" si="34"/>
        <v>35</v>
      </c>
      <c r="AZ80" s="1">
        <f t="shared" si="35"/>
        <v>-19168.468262468439</v>
      </c>
      <c r="BA80" s="1">
        <f t="shared" si="36"/>
        <v>-25983.187953881639</v>
      </c>
      <c r="BC80" s="1">
        <f t="shared" si="37"/>
        <v>-3911.4133038128739</v>
      </c>
      <c r="BD80" s="1">
        <f t="shared" si="38"/>
        <v>410.36552146361714</v>
      </c>
      <c r="BF80" s="1">
        <f t="shared" si="25"/>
        <v>996.43669808537697</v>
      </c>
      <c r="BG80" s="1">
        <f t="shared" si="26"/>
        <v>917.15522905393868</v>
      </c>
      <c r="BJ80" s="1">
        <f t="shared" si="27"/>
        <v>141.80239919341199</v>
      </c>
      <c r="BK80" s="1">
        <f t="shared" si="28"/>
        <v>121.21986370996129</v>
      </c>
      <c r="BO80" s="1">
        <f t="shared" si="29"/>
        <v>-3.0292801719617626</v>
      </c>
      <c r="BP80" s="1">
        <f t="shared" si="30"/>
        <v>131.08718870580665</v>
      </c>
      <c r="BT80" s="1">
        <f t="shared" si="31"/>
        <v>857.6635790639267</v>
      </c>
      <c r="BU80" s="1">
        <f t="shared" si="32"/>
        <v>664.84817663817068</v>
      </c>
    </row>
    <row r="81" spans="37:73">
      <c r="AK81" s="1">
        <v>71</v>
      </c>
      <c r="AL81" s="1">
        <f t="shared" si="39"/>
        <v>27.881634800609387</v>
      </c>
      <c r="AN81" s="1">
        <f t="shared" si="33"/>
        <v>15380.602337443619</v>
      </c>
      <c r="AO81" s="1">
        <f t="shared" si="20"/>
        <v>9413.4171618255787</v>
      </c>
      <c r="AQ81" s="1">
        <f t="shared" si="21"/>
        <v>-23233.578363789467</v>
      </c>
      <c r="AR81" s="1">
        <f t="shared" si="22"/>
        <v>11339.392013277906</v>
      </c>
      <c r="AT81" s="1">
        <f t="shared" si="23"/>
        <v>-9619.397662556381</v>
      </c>
      <c r="AU81" s="1">
        <f t="shared" si="24"/>
        <v>-13086.582838174421</v>
      </c>
      <c r="AW81" s="1">
        <v>71</v>
      </c>
      <c r="AX81" s="1">
        <f t="shared" si="34"/>
        <v>35.5</v>
      </c>
      <c r="AZ81" s="1">
        <f t="shared" si="35"/>
        <v>-20999.620327114204</v>
      </c>
      <c r="BA81" s="1">
        <f t="shared" si="36"/>
        <v>-25663.36078951809</v>
      </c>
      <c r="BC81" s="1">
        <f t="shared" si="37"/>
        <v>-3413.1949547701852</v>
      </c>
      <c r="BD81" s="1">
        <f t="shared" si="38"/>
        <v>868.94313599058648</v>
      </c>
      <c r="BF81" s="1">
        <f t="shared" si="25"/>
        <v>965.54566368215865</v>
      </c>
      <c r="BG81" s="1">
        <f t="shared" si="26"/>
        <v>794.06241656197676</v>
      </c>
      <c r="BJ81" s="1">
        <f t="shared" si="27"/>
        <v>138.83977880632537</v>
      </c>
      <c r="BK81" s="1">
        <f t="shared" si="28"/>
        <v>112.30332475654758</v>
      </c>
      <c r="BO81" s="1">
        <f t="shared" si="29"/>
        <v>3.7354459996392002</v>
      </c>
      <c r="BP81" s="1">
        <f t="shared" si="30"/>
        <v>133.26915708035119</v>
      </c>
      <c r="BT81" s="1">
        <f t="shared" si="31"/>
        <v>822.97043887619407</v>
      </c>
      <c r="BU81" s="1">
        <f t="shared" si="32"/>
        <v>548.489934725078</v>
      </c>
    </row>
    <row r="82" spans="37:73">
      <c r="AK82" s="1">
        <v>72</v>
      </c>
      <c r="AL82" s="1">
        <f t="shared" si="39"/>
        <v>28.27433388230811</v>
      </c>
      <c r="AN82" s="1">
        <f t="shared" si="33"/>
        <v>15000</v>
      </c>
      <c r="AO82" s="1">
        <f t="shared" si="20"/>
        <v>7500.0000000001473</v>
      </c>
      <c r="AQ82" s="1">
        <f t="shared" si="21"/>
        <v>-23500</v>
      </c>
      <c r="AR82" s="1">
        <f t="shared" si="22"/>
        <v>10000.000000000104</v>
      </c>
      <c r="AT82" s="1">
        <f t="shared" si="23"/>
        <v>-10000</v>
      </c>
      <c r="AU82" s="1">
        <f t="shared" si="24"/>
        <v>-14999.999999999853</v>
      </c>
      <c r="AW82" s="1">
        <v>72</v>
      </c>
      <c r="AX82" s="1">
        <f t="shared" si="34"/>
        <v>36</v>
      </c>
      <c r="AZ82" s="1">
        <f t="shared" si="35"/>
        <v>-22585.524596539028</v>
      </c>
      <c r="BA82" s="1">
        <f t="shared" si="36"/>
        <v>-25129.631419452551</v>
      </c>
      <c r="BC82" s="1">
        <f t="shared" si="37"/>
        <v>-2930.4221229291061</v>
      </c>
      <c r="BD82" s="1">
        <f t="shared" si="38"/>
        <v>1265.9743442715749</v>
      </c>
      <c r="BF82" s="1">
        <f t="shared" si="25"/>
        <v>942.325284870102</v>
      </c>
      <c r="BG82" s="1">
        <f t="shared" si="26"/>
        <v>699.32310202262761</v>
      </c>
      <c r="BJ82" s="1">
        <f t="shared" si="27"/>
        <v>137.19096612530186</v>
      </c>
      <c r="BK82" s="1">
        <f t="shared" si="28"/>
        <v>105.11765913788953</v>
      </c>
      <c r="BO82" s="1">
        <f t="shared" si="29"/>
        <v>10.024668236540641</v>
      </c>
      <c r="BP82" s="1">
        <f t="shared" si="30"/>
        <v>136.20558888643711</v>
      </c>
      <c r="BT82" s="1">
        <f t="shared" si="31"/>
        <v>795.10965050825951</v>
      </c>
      <c r="BU82" s="1">
        <f t="shared" si="32"/>
        <v>457.99985399830092</v>
      </c>
    </row>
    <row r="83" spans="37:73">
      <c r="AK83" s="1">
        <v>73</v>
      </c>
      <c r="AL83" s="1">
        <f t="shared" si="39"/>
        <v>28.667032964006832</v>
      </c>
      <c r="AN83" s="1">
        <f t="shared" si="33"/>
        <v>15380.602337443506</v>
      </c>
      <c r="AO83" s="1">
        <f t="shared" si="20"/>
        <v>5586.5828381746942</v>
      </c>
      <c r="AQ83" s="1">
        <f t="shared" si="21"/>
        <v>-23233.578363789544</v>
      </c>
      <c r="AR83" s="1">
        <f t="shared" si="22"/>
        <v>8660.6079867222852</v>
      </c>
      <c r="AT83" s="1">
        <f t="shared" si="23"/>
        <v>-9619.3976625564937</v>
      </c>
      <c r="AU83" s="1">
        <f t="shared" si="24"/>
        <v>-16913.417161825306</v>
      </c>
      <c r="AW83" s="1">
        <v>73</v>
      </c>
      <c r="AX83" s="1">
        <f t="shared" si="34"/>
        <v>36.5</v>
      </c>
      <c r="AZ83" s="1">
        <f t="shared" si="35"/>
        <v>-23932.944997394818</v>
      </c>
      <c r="BA83" s="1">
        <f t="shared" si="36"/>
        <v>-24409.228859563933</v>
      </c>
      <c r="BC83" s="1">
        <f t="shared" si="37"/>
        <v>-2459.259480494055</v>
      </c>
      <c r="BD83" s="1">
        <f t="shared" si="38"/>
        <v>1615.6358952828887</v>
      </c>
      <c r="BF83" s="1">
        <f t="shared" si="25"/>
        <v>927.59474687262093</v>
      </c>
      <c r="BG83" s="1">
        <f t="shared" si="26"/>
        <v>624.47019291753247</v>
      </c>
      <c r="BJ83" s="1">
        <f t="shared" si="27"/>
        <v>136.67901380487717</v>
      </c>
      <c r="BK83" s="1">
        <f t="shared" si="28"/>
        <v>99.272241641391119</v>
      </c>
      <c r="BO83" s="1">
        <f t="shared" si="29"/>
        <v>16.012054359425512</v>
      </c>
      <c r="BP83" s="1">
        <f t="shared" si="30"/>
        <v>140.08902828038745</v>
      </c>
      <c r="BT83" s="1">
        <f t="shared" si="31"/>
        <v>774.90367870831824</v>
      </c>
      <c r="BU83" s="1">
        <f t="shared" si="32"/>
        <v>385.10892299575391</v>
      </c>
    </row>
    <row r="84" spans="37:73">
      <c r="AK84" s="1">
        <v>74</v>
      </c>
      <c r="AL84" s="1">
        <f t="shared" si="39"/>
        <v>29.059732045705555</v>
      </c>
      <c r="AN84" s="1">
        <f t="shared" si="33"/>
        <v>16464.466094067149</v>
      </c>
      <c r="AO84" s="1">
        <f t="shared" si="20"/>
        <v>3964.4660940673766</v>
      </c>
      <c r="AQ84" s="1">
        <f t="shared" si="21"/>
        <v>-22474.873734152996</v>
      </c>
      <c r="AR84" s="1">
        <f t="shared" si="22"/>
        <v>7525.1262658471642</v>
      </c>
      <c r="AT84" s="1">
        <f t="shared" si="23"/>
        <v>-8535.5339059328508</v>
      </c>
      <c r="AU84" s="1">
        <f t="shared" si="24"/>
        <v>-18535.533905932622</v>
      </c>
      <c r="AW84" s="1">
        <v>74</v>
      </c>
      <c r="AX84" s="1">
        <f t="shared" si="34"/>
        <v>37</v>
      </c>
      <c r="AZ84" s="1">
        <f t="shared" si="35"/>
        <v>-25046.625394282768</v>
      </c>
      <c r="BA84" s="1">
        <f t="shared" si="36"/>
        <v>-23523.352137807797</v>
      </c>
      <c r="BC84" s="1">
        <f t="shared" si="37"/>
        <v>-1995.4621070577446</v>
      </c>
      <c r="BD84" s="1">
        <f t="shared" si="38"/>
        <v>1927.870991741655</v>
      </c>
      <c r="BF84" s="1">
        <f t="shared" si="25"/>
        <v>921.29080124160066</v>
      </c>
      <c r="BG84" s="1">
        <f t="shared" si="26"/>
        <v>563.72198508135875</v>
      </c>
      <c r="BJ84" s="1">
        <f t="shared" si="27"/>
        <v>137.2069363325827</v>
      </c>
      <c r="BK84" s="1">
        <f t="shared" si="28"/>
        <v>94.493628864277355</v>
      </c>
      <c r="BO84" s="1">
        <f t="shared" si="29"/>
        <v>21.850149161868334</v>
      </c>
      <c r="BP84" s="1">
        <f t="shared" si="30"/>
        <v>145.14456441462116</v>
      </c>
      <c r="BT84" s="1">
        <f t="shared" si="31"/>
        <v>762.23371574714963</v>
      </c>
      <c r="BU84" s="1">
        <f t="shared" si="32"/>
        <v>324.08379180246021</v>
      </c>
    </row>
    <row r="85" spans="37:73">
      <c r="AK85">
        <v>75</v>
      </c>
      <c r="AL85" s="1">
        <f t="shared" si="39"/>
        <v>29.452431127404278</v>
      </c>
      <c r="AN85" s="1">
        <f t="shared" si="33"/>
        <v>18086.582838174396</v>
      </c>
      <c r="AO85" s="1">
        <f t="shared" si="20"/>
        <v>2880.6023374436309</v>
      </c>
      <c r="AQ85" s="1">
        <f t="shared" si="21"/>
        <v>-21339.392013277924</v>
      </c>
      <c r="AR85" s="1">
        <f t="shared" si="22"/>
        <v>6766.4216362105417</v>
      </c>
      <c r="AT85" s="1">
        <f t="shared" si="23"/>
        <v>-6913.4171618256041</v>
      </c>
      <c r="AU85" s="1">
        <f t="shared" si="24"/>
        <v>-19619.39766255637</v>
      </c>
      <c r="AW85" s="1">
        <v>75</v>
      </c>
      <c r="AX85" s="1">
        <f t="shared" si="34"/>
        <v>37.5</v>
      </c>
      <c r="AZ85" s="1">
        <f t="shared" si="35"/>
        <v>-25929.19509765644</v>
      </c>
      <c r="BA85" s="1">
        <f t="shared" si="36"/>
        <v>-22488.951393801799</v>
      </c>
      <c r="BC85" s="1">
        <f t="shared" si="37"/>
        <v>-1534.8167064369443</v>
      </c>
      <c r="BD85" s="1">
        <f t="shared" si="38"/>
        <v>2209.7319842823345</v>
      </c>
      <c r="BF85" s="1">
        <f t="shared" si="25"/>
        <v>923.15000166614436</v>
      </c>
      <c r="BG85" s="1">
        <f t="shared" si="26"/>
        <v>513.01727168422099</v>
      </c>
      <c r="BJ85" s="1">
        <f t="shared" si="27"/>
        <v>138.73702562518571</v>
      </c>
      <c r="BK85" s="1">
        <f t="shared" si="28"/>
        <v>90.586780568393308</v>
      </c>
      <c r="BO85" s="1">
        <f t="shared" si="29"/>
        <v>27.67641985079641</v>
      </c>
      <c r="BP85" s="1">
        <f t="shared" si="30"/>
        <v>151.65260115026115</v>
      </c>
      <c r="BT85" s="1">
        <f t="shared" si="31"/>
        <v>756.73655619016222</v>
      </c>
      <c r="BU85" s="1">
        <f t="shared" si="32"/>
        <v>270.77788996556649</v>
      </c>
    </row>
    <row r="86" spans="37:73">
      <c r="AK86" s="1">
        <v>76</v>
      </c>
      <c r="AL86" s="1">
        <f t="shared" si="39"/>
        <v>29.845130209103001</v>
      </c>
      <c r="AN86" s="1">
        <f t="shared" si="33"/>
        <v>19999.999999999825</v>
      </c>
      <c r="AO86" s="1">
        <f t="shared" si="20"/>
        <v>2500</v>
      </c>
      <c r="AQ86" s="1">
        <f t="shared" si="21"/>
        <v>-20000.000000000124</v>
      </c>
      <c r="AR86" s="1">
        <f t="shared" si="22"/>
        <v>6500</v>
      </c>
      <c r="AT86" s="1">
        <f t="shared" si="23"/>
        <v>-5000.0000000001746</v>
      </c>
      <c r="AU86" s="1">
        <f t="shared" si="24"/>
        <v>-20000</v>
      </c>
      <c r="AW86" s="1">
        <v>76</v>
      </c>
      <c r="AX86" s="1">
        <f t="shared" si="34"/>
        <v>38</v>
      </c>
      <c r="AZ86" s="1">
        <f t="shared" si="35"/>
        <v>-26581.209700666644</v>
      </c>
      <c r="BA86" s="1">
        <f t="shared" si="36"/>
        <v>-21319.958242700104</v>
      </c>
      <c r="BC86" s="1">
        <f t="shared" si="37"/>
        <v>-1073.2417056038721</v>
      </c>
      <c r="BD86" s="1">
        <f t="shared" si="38"/>
        <v>2466.2406201244448</v>
      </c>
      <c r="BF86" s="1">
        <f t="shared" si="25"/>
        <v>932.94748147331995</v>
      </c>
      <c r="BG86" s="1">
        <f t="shared" si="26"/>
        <v>469.38095830760739</v>
      </c>
      <c r="BJ86" s="1">
        <f t="shared" si="27"/>
        <v>141.28074747942642</v>
      </c>
      <c r="BK86" s="1">
        <f t="shared" si="28"/>
        <v>87.410895273427286</v>
      </c>
      <c r="BO86" s="1">
        <f t="shared" si="29"/>
        <v>33.615985508580913</v>
      </c>
      <c r="BP86" s="1">
        <f t="shared" si="30"/>
        <v>159.97837940178644</v>
      </c>
      <c r="BT86" s="1">
        <f t="shared" si="31"/>
        <v>758.05074848531262</v>
      </c>
      <c r="BU86" s="1">
        <f t="shared" si="32"/>
        <v>221.99168363239366</v>
      </c>
    </row>
    <row r="87" spans="37:73">
      <c r="AK87" s="1">
        <v>77</v>
      </c>
      <c r="AL87" s="1">
        <f t="shared" si="39"/>
        <v>30.237829290801724</v>
      </c>
      <c r="AN87" s="1">
        <f t="shared" si="33"/>
        <v>21913.41716182528</v>
      </c>
      <c r="AO87" s="1">
        <f t="shared" si="20"/>
        <v>2880.6023374434972</v>
      </c>
      <c r="AQ87" s="1">
        <f t="shared" si="21"/>
        <v>-18660.607986722302</v>
      </c>
      <c r="AR87" s="1">
        <f t="shared" si="22"/>
        <v>6766.421636210448</v>
      </c>
      <c r="AT87" s="1">
        <f t="shared" si="23"/>
        <v>-3086.5828381747187</v>
      </c>
      <c r="AU87" s="1">
        <f t="shared" si="24"/>
        <v>-19619.397662556505</v>
      </c>
      <c r="AW87" s="1">
        <v>77</v>
      </c>
      <c r="AX87" s="1">
        <f t="shared" si="34"/>
        <v>38.5</v>
      </c>
      <c r="AZ87" s="1">
        <f t="shared" si="35"/>
        <v>-27001.212118284413</v>
      </c>
      <c r="BA87" s="1">
        <f t="shared" si="36"/>
        <v>-20028.165312849429</v>
      </c>
      <c r="BC87" s="1">
        <f t="shared" si="37"/>
        <v>-606.76796486721219</v>
      </c>
      <c r="BD87" s="1">
        <f t="shared" si="38"/>
        <v>2700.9310992782484</v>
      </c>
      <c r="BF87" s="1">
        <f t="shared" si="25"/>
        <v>950.55395946000897</v>
      </c>
      <c r="BG87" s="1">
        <f t="shared" si="26"/>
        <v>430.51125193857575</v>
      </c>
      <c r="BJ87" s="1">
        <f t="shared" si="27"/>
        <v>144.89564096845675</v>
      </c>
      <c r="BK87" s="1">
        <f t="shared" si="28"/>
        <v>84.864006222921788</v>
      </c>
      <c r="BO87" s="1">
        <f t="shared" si="29"/>
        <v>39.779235595580325</v>
      </c>
      <c r="BP87" s="1">
        <f t="shared" si="30"/>
        <v>170.61295134356988</v>
      </c>
      <c r="BT87" s="1">
        <f t="shared" si="31"/>
        <v>765.87908289597192</v>
      </c>
      <c r="BU87" s="1">
        <f t="shared" si="32"/>
        <v>175.0342943720841</v>
      </c>
    </row>
    <row r="88" spans="37:73">
      <c r="AK88" s="1">
        <v>78</v>
      </c>
      <c r="AL88" s="1">
        <f t="shared" si="39"/>
        <v>30.630528372500446</v>
      </c>
      <c r="AN88" s="1">
        <f t="shared" si="33"/>
        <v>23535.533905932603</v>
      </c>
      <c r="AO88" s="1">
        <f t="shared" si="20"/>
        <v>3964.4660940671297</v>
      </c>
      <c r="AQ88" s="1">
        <f t="shared" si="21"/>
        <v>-17525.126265847175</v>
      </c>
      <c r="AR88" s="1">
        <f t="shared" si="22"/>
        <v>7525.1262658469905</v>
      </c>
      <c r="AT88" s="1">
        <f t="shared" si="23"/>
        <v>-1464.4660940673953</v>
      </c>
      <c r="AU88" s="1">
        <f t="shared" si="24"/>
        <v>-18535.533905932869</v>
      </c>
      <c r="AW88" s="1">
        <v>78</v>
      </c>
      <c r="AX88" s="1">
        <f t="shared" si="34"/>
        <v>39</v>
      </c>
      <c r="AZ88" s="1">
        <f t="shared" si="35"/>
        <v>-27185.77685578552</v>
      </c>
      <c r="BA88" s="1">
        <f t="shared" si="36"/>
        <v>-18623.885856717981</v>
      </c>
      <c r="BC88" s="1">
        <f t="shared" si="37"/>
        <v>-131.4909851372077</v>
      </c>
      <c r="BD88" s="1">
        <f t="shared" si="38"/>
        <v>2916.1867252475363</v>
      </c>
      <c r="BF88" s="1">
        <f t="shared" si="25"/>
        <v>975.89866403943267</v>
      </c>
      <c r="BG88" s="1">
        <f t="shared" si="26"/>
        <v>394.50647324142284</v>
      </c>
      <c r="BJ88" s="1">
        <f t="shared" si="27"/>
        <v>149.68773042009741</v>
      </c>
      <c r="BK88" s="1">
        <f t="shared" si="28"/>
        <v>82.872963935663861</v>
      </c>
      <c r="BO88" s="1">
        <f t="shared" si="29"/>
        <v>46.24997184286574</v>
      </c>
      <c r="BP88" s="1">
        <f t="shared" si="30"/>
        <v>184.23253901082785</v>
      </c>
      <c r="BT88" s="1">
        <f t="shared" si="31"/>
        <v>779.9609617764695</v>
      </c>
      <c r="BU88" s="1">
        <f t="shared" si="32"/>
        <v>127.40097029493114</v>
      </c>
    </row>
    <row r="89" spans="37:73">
      <c r="AK89" s="1">
        <v>79</v>
      </c>
      <c r="AL89" s="1">
        <f t="shared" si="39"/>
        <v>31.023227454199169</v>
      </c>
      <c r="AN89" s="1">
        <f t="shared" si="33"/>
        <v>24619.397662556359</v>
      </c>
      <c r="AO89" s="1">
        <f t="shared" si="20"/>
        <v>5586.5828381743713</v>
      </c>
      <c r="AQ89" s="1">
        <f t="shared" si="21"/>
        <v>-16766.421636210547</v>
      </c>
      <c r="AR89" s="1">
        <f t="shared" si="22"/>
        <v>8660.6079867220596</v>
      </c>
      <c r="AT89" s="1">
        <f t="shared" si="23"/>
        <v>-380.60233744364086</v>
      </c>
      <c r="AU89" s="1">
        <f t="shared" si="24"/>
        <v>-16913.41716182563</v>
      </c>
      <c r="AW89" s="1">
        <v>79</v>
      </c>
      <c r="AX89" s="1">
        <f t="shared" si="34"/>
        <v>39.5</v>
      </c>
      <c r="AZ89" s="1">
        <f t="shared" si="35"/>
        <v>-27129.535015349193</v>
      </c>
      <c r="BA89" s="1">
        <f t="shared" si="36"/>
        <v>-17116.479184939035</v>
      </c>
      <c r="BC89" s="1">
        <f t="shared" si="37"/>
        <v>356.45834688250864</v>
      </c>
      <c r="BD89" s="1">
        <f t="shared" si="38"/>
        <v>3113.4399618682478</v>
      </c>
      <c r="BF89" s="1">
        <f t="shared" si="25"/>
        <v>1008.8487196824117</v>
      </c>
      <c r="BG89" s="1">
        <f t="shared" si="26"/>
        <v>359.68326338299784</v>
      </c>
      <c r="BJ89" s="1">
        <f t="shared" si="27"/>
        <v>155.81927095170428</v>
      </c>
      <c r="BK89" s="1">
        <f t="shared" si="28"/>
        <v>81.386795748054425</v>
      </c>
      <c r="BO89" s="1">
        <f t="shared" si="29"/>
        <v>53.054218909061412</v>
      </c>
      <c r="BP89" s="1">
        <f t="shared" si="30"/>
        <v>201.78645867135842</v>
      </c>
      <c r="BT89" s="1">
        <f t="shared" si="31"/>
        <v>799.97522982164605</v>
      </c>
      <c r="BU89" s="1">
        <f t="shared" si="32"/>
        <v>76.510008963584994</v>
      </c>
    </row>
    <row r="90" spans="37:73">
      <c r="AK90">
        <v>80</v>
      </c>
      <c r="AL90" s="1">
        <f t="shared" si="39"/>
        <v>31.415926535897892</v>
      </c>
      <c r="AN90" s="1">
        <f t="shared" si="33"/>
        <v>25000</v>
      </c>
      <c r="AO90" s="1">
        <f t="shared" si="20"/>
        <v>7499.9999999997981</v>
      </c>
      <c r="AQ90" s="1">
        <f t="shared" si="21"/>
        <v>-16500</v>
      </c>
      <c r="AR90" s="1">
        <f t="shared" si="22"/>
        <v>9999.9999999998581</v>
      </c>
      <c r="AT90" s="1">
        <f t="shared" si="23"/>
        <v>0</v>
      </c>
      <c r="AU90" s="1">
        <f t="shared" si="24"/>
        <v>-15000.000000000202</v>
      </c>
      <c r="AW90" s="1">
        <v>80</v>
      </c>
      <c r="AX90" s="1">
        <f t="shared" si="34"/>
        <v>40</v>
      </c>
      <c r="AZ90" s="1">
        <f t="shared" si="35"/>
        <v>-26825.199751947639</v>
      </c>
      <c r="BA90" s="1">
        <f t="shared" si="36"/>
        <v>-15514.798796082037</v>
      </c>
      <c r="BC90" s="1">
        <f t="shared" si="37"/>
        <v>860.88270672371448</v>
      </c>
      <c r="BD90" s="1">
        <f t="shared" si="38"/>
        <v>3293.2815935597469</v>
      </c>
      <c r="BF90" s="1">
        <f t="shared" si="25"/>
        <v>1048.9639396332898</v>
      </c>
      <c r="BG90" s="1">
        <f t="shared" si="26"/>
        <v>324.46765522948613</v>
      </c>
      <c r="BJ90" s="1">
        <f t="shared" si="27"/>
        <v>163.52269858384912</v>
      </c>
      <c r="BK90" s="1">
        <f t="shared" si="28"/>
        <v>80.372150603439138</v>
      </c>
      <c r="BO90" s="1">
        <f t="shared" si="29"/>
        <v>60.087803821288801</v>
      </c>
      <c r="BP90" s="1">
        <f t="shared" si="30"/>
        <v>224.62759777267178</v>
      </c>
      <c r="BT90" s="1">
        <f t="shared" si="31"/>
        <v>825.35343722815185</v>
      </c>
      <c r="BU90" s="1">
        <f t="shared" si="32"/>
        <v>19.46790685337519</v>
      </c>
    </row>
    <row r="91" spans="37:73">
      <c r="AK91" s="1">
        <v>81</v>
      </c>
      <c r="AL91" s="1">
        <f t="shared" si="39"/>
        <v>31.808625617596615</v>
      </c>
      <c r="AN91" s="1">
        <f t="shared" si="33"/>
        <v>24619.397662556512</v>
      </c>
      <c r="AO91" s="1">
        <f t="shared" si="20"/>
        <v>9413.4171618252567</v>
      </c>
      <c r="AQ91" s="1">
        <f t="shared" si="21"/>
        <v>-16766.421636210442</v>
      </c>
      <c r="AR91" s="1">
        <f t="shared" si="22"/>
        <v>11339.39201327768</v>
      </c>
      <c r="AT91" s="1">
        <f t="shared" si="23"/>
        <v>-380.60233744348625</v>
      </c>
      <c r="AU91" s="1">
        <f t="shared" si="24"/>
        <v>-13086.582838174743</v>
      </c>
      <c r="AW91" s="1">
        <v>81</v>
      </c>
      <c r="AX91" s="1">
        <f t="shared" si="34"/>
        <v>40.5</v>
      </c>
      <c r="AZ91" s="1">
        <f t="shared" si="35"/>
        <v>-26263.637906131622</v>
      </c>
      <c r="BA91" s="1">
        <f t="shared" si="36"/>
        <v>-13827.599542398479</v>
      </c>
      <c r="BC91" s="1">
        <f t="shared" si="37"/>
        <v>1385.3646765403594</v>
      </c>
      <c r="BD91" s="1">
        <f t="shared" si="38"/>
        <v>3455.5154211744898</v>
      </c>
      <c r="BF91" s="1">
        <f t="shared" si="25"/>
        <v>1095.0251596258488</v>
      </c>
      <c r="BG91" s="1">
        <f t="shared" si="26"/>
        <v>287.37138396438547</v>
      </c>
      <c r="BJ91" s="1">
        <f t="shared" si="27"/>
        <v>173.12275502535235</v>
      </c>
      <c r="BK91" s="1">
        <f t="shared" si="28"/>
        <v>79.80982382641605</v>
      </c>
      <c r="BO91" s="1">
        <f t="shared" si="29"/>
        <v>66.953900349416244</v>
      </c>
      <c r="BP91" s="1">
        <f t="shared" si="30"/>
        <v>254.70034335251364</v>
      </c>
      <c r="BT91" s="1">
        <f t="shared" si="31"/>
        <v>854.94850425108029</v>
      </c>
      <c r="BU91" s="1">
        <f t="shared" si="32"/>
        <v>-47.138783214544191</v>
      </c>
    </row>
    <row r="92" spans="37:73">
      <c r="AK92" s="1">
        <v>82</v>
      </c>
      <c r="AL92" s="1">
        <f t="shared" si="39"/>
        <v>32.201324699295341</v>
      </c>
      <c r="AN92" s="1">
        <f t="shared" si="33"/>
        <v>23535.533905932876</v>
      </c>
      <c r="AO92" s="1">
        <f t="shared" si="20"/>
        <v>11035.533905932598</v>
      </c>
      <c r="AQ92" s="1">
        <f t="shared" si="21"/>
        <v>-17525.126265846986</v>
      </c>
      <c r="AR92" s="1">
        <f t="shared" si="22"/>
        <v>12474.873734152818</v>
      </c>
      <c r="AT92" s="1">
        <f t="shared" si="23"/>
        <v>-1464.4660940671229</v>
      </c>
      <c r="AU92" s="1">
        <f t="shared" si="24"/>
        <v>-11464.466094067402</v>
      </c>
      <c r="AW92" s="1">
        <v>82</v>
      </c>
      <c r="AX92" s="1">
        <f t="shared" si="34"/>
        <v>41</v>
      </c>
      <c r="AZ92" s="1">
        <f t="shared" si="35"/>
        <v>-25434.077422908209</v>
      </c>
      <c r="BA92" s="1">
        <f t="shared" si="36"/>
        <v>-12063.920408815686</v>
      </c>
      <c r="BC92" s="1">
        <f t="shared" si="37"/>
        <v>1932.8772563532839</v>
      </c>
      <c r="BD92" s="1">
        <f t="shared" si="38"/>
        <v>3599.2011131566824</v>
      </c>
      <c r="BF92" s="1">
        <f t="shared" si="25"/>
        <v>1144.1376472607503</v>
      </c>
      <c r="BG92" s="1">
        <f t="shared" si="26"/>
        <v>247.1031869503804</v>
      </c>
      <c r="BJ92" s="1">
        <f t="shared" si="27"/>
        <v>185.07012218235124</v>
      </c>
      <c r="BK92" s="1">
        <f t="shared" si="28"/>
        <v>79.691221783227633</v>
      </c>
      <c r="BO92" s="1">
        <f t="shared" si="29"/>
        <v>72.601790372878696</v>
      </c>
      <c r="BP92" s="1">
        <f t="shared" si="30"/>
        <v>294.78419235834554</v>
      </c>
      <c r="BT92" s="1">
        <f t="shared" si="31"/>
        <v>886.4657347055205</v>
      </c>
      <c r="BU92" s="1">
        <f t="shared" si="32"/>
        <v>-127.37222719119278</v>
      </c>
    </row>
    <row r="93" spans="37:73">
      <c r="AK93" s="1">
        <v>83</v>
      </c>
      <c r="AL93" s="1">
        <f t="shared" si="39"/>
        <v>32.594023780994064</v>
      </c>
      <c r="AN93" s="1">
        <f t="shared" si="33"/>
        <v>21913.417161825637</v>
      </c>
      <c r="AO93" s="1">
        <f t="shared" si="20"/>
        <v>12119.397662556355</v>
      </c>
      <c r="AQ93" s="1">
        <f t="shared" si="21"/>
        <v>-18660.607986722054</v>
      </c>
      <c r="AR93" s="1">
        <f t="shared" si="22"/>
        <v>13233.578363789449</v>
      </c>
      <c r="AT93" s="1">
        <f t="shared" si="23"/>
        <v>-3086.5828381743627</v>
      </c>
      <c r="AU93" s="1">
        <f t="shared" si="24"/>
        <v>-10380.602337443645</v>
      </c>
      <c r="AW93" s="1">
        <v>83</v>
      </c>
      <c r="AX93" s="1">
        <f t="shared" si="34"/>
        <v>41.5</v>
      </c>
      <c r="AZ93" s="1">
        <f t="shared" si="35"/>
        <v>-24324.621588823975</v>
      </c>
      <c r="BA93" s="1">
        <f t="shared" si="36"/>
        <v>-10233.431953868547</v>
      </c>
      <c r="BC93" s="1">
        <f t="shared" si="37"/>
        <v>2504.9460799836588</v>
      </c>
      <c r="BD93" s="1">
        <f t="shared" si="38"/>
        <v>3722.7527066318726</v>
      </c>
      <c r="BF93" s="1">
        <f t="shared" si="25"/>
        <v>1190.0583313273023</v>
      </c>
      <c r="BG93" s="1">
        <f t="shared" si="26"/>
        <v>202.89214994116452</v>
      </c>
      <c r="BJ93" s="1">
        <f t="shared" si="27"/>
        <v>199.99163436963667</v>
      </c>
      <c r="BK93" s="1">
        <f t="shared" si="28"/>
        <v>80.012821594649211</v>
      </c>
      <c r="BO93" s="1">
        <f t="shared" si="29"/>
        <v>74.53062403558377</v>
      </c>
      <c r="BP93" s="1">
        <f t="shared" si="30"/>
        <v>348.70341345019915</v>
      </c>
      <c r="BT93" s="1">
        <f t="shared" si="31"/>
        <v>915.53607292208198</v>
      </c>
      <c r="BU93" s="1">
        <f t="shared" si="32"/>
        <v>-225.82408510368384</v>
      </c>
    </row>
    <row r="94" spans="37:73">
      <c r="AK94" s="1">
        <v>84</v>
      </c>
      <c r="AL94" s="1">
        <f t="shared" si="39"/>
        <v>32.986722862692787</v>
      </c>
      <c r="AN94" s="1">
        <f t="shared" si="33"/>
        <v>20000.000000000211</v>
      </c>
      <c r="AO94" s="1">
        <f t="shared" si="20"/>
        <v>12500</v>
      </c>
      <c r="AQ94" s="1">
        <f t="shared" si="21"/>
        <v>-19999.999999999851</v>
      </c>
      <c r="AR94" s="1">
        <f t="shared" si="22"/>
        <v>13500</v>
      </c>
      <c r="AT94" s="1">
        <f t="shared" si="23"/>
        <v>-4999.999999999789</v>
      </c>
      <c r="AU94" s="1">
        <f t="shared" si="24"/>
        <v>-10000</v>
      </c>
      <c r="AW94" s="1">
        <v>84</v>
      </c>
      <c r="AX94" s="1">
        <f t="shared" si="34"/>
        <v>42</v>
      </c>
      <c r="AZ94" s="1">
        <f t="shared" si="35"/>
        <v>-22923.391257416231</v>
      </c>
      <c r="BA94" s="1">
        <f t="shared" si="36"/>
        <v>-8346.6940818099647</v>
      </c>
      <c r="BC94" s="1">
        <f t="shared" si="37"/>
        <v>3099.9752456473097</v>
      </c>
      <c r="BD94" s="1">
        <f t="shared" si="38"/>
        <v>3824.1987816024548</v>
      </c>
      <c r="BF94" s="1">
        <f t="shared" si="25"/>
        <v>1220.2295908728706</v>
      </c>
      <c r="BG94" s="1">
        <f t="shared" si="26"/>
        <v>154.99672722329859</v>
      </c>
      <c r="BJ94" s="1">
        <f t="shared" si="27"/>
        <v>218.76393587895433</v>
      </c>
      <c r="BK94" s="1">
        <f t="shared" si="28"/>
        <v>80.764475183621755</v>
      </c>
      <c r="BO94" s="1">
        <f t="shared" si="29"/>
        <v>67.095236305507342</v>
      </c>
      <c r="BP94" s="1">
        <f t="shared" si="30"/>
        <v>421.07801058824418</v>
      </c>
      <c r="BT94" s="1">
        <f t="shared" si="31"/>
        <v>934.3704186884089</v>
      </c>
      <c r="BU94" s="1">
        <f t="shared" si="32"/>
        <v>-346.84575854856735</v>
      </c>
    </row>
    <row r="95" spans="37:73">
      <c r="AK95">
        <v>85</v>
      </c>
      <c r="AL95" s="1">
        <f t="shared" si="39"/>
        <v>33.37942194439151</v>
      </c>
      <c r="AN95" s="1">
        <f t="shared" si="33"/>
        <v>18086.582838174752</v>
      </c>
      <c r="AO95" s="1">
        <f t="shared" si="20"/>
        <v>12119.397662556517</v>
      </c>
      <c r="AQ95" s="1">
        <f t="shared" si="21"/>
        <v>-21339.392013277673</v>
      </c>
      <c r="AR95" s="1">
        <f t="shared" si="22"/>
        <v>13233.578363789562</v>
      </c>
      <c r="AT95" s="1">
        <f t="shared" si="23"/>
        <v>-6913.4171618252476</v>
      </c>
      <c r="AU95" s="1">
        <f t="shared" si="24"/>
        <v>-10380.602337443483</v>
      </c>
      <c r="AW95" s="1">
        <v>85</v>
      </c>
      <c r="AX95" s="1">
        <f t="shared" si="34"/>
        <v>42.5</v>
      </c>
      <c r="AZ95" s="1">
        <f t="shared" si="35"/>
        <v>-21220.874935733467</v>
      </c>
      <c r="BA95" s="1">
        <f t="shared" si="36"/>
        <v>-6415.2201001058247</v>
      </c>
      <c r="BC95" s="1">
        <f t="shared" si="37"/>
        <v>3710.0900410837448</v>
      </c>
      <c r="BD95" s="1">
        <f t="shared" si="38"/>
        <v>3901.6971452141042</v>
      </c>
      <c r="BF95" s="1">
        <f t="shared" si="25"/>
        <v>1211.2369963692365</v>
      </c>
      <c r="BG95" s="1">
        <f t="shared" si="26"/>
        <v>104.67333499051676</v>
      </c>
      <c r="BJ95" s="1">
        <f t="shared" si="27"/>
        <v>242.61757441146068</v>
      </c>
      <c r="BK95" s="1">
        <f t="shared" si="28"/>
        <v>81.902117637067221</v>
      </c>
      <c r="BO95" s="1">
        <f t="shared" si="29"/>
        <v>38.31252505359393</v>
      </c>
      <c r="BP95" s="1">
        <f t="shared" si="30"/>
        <v>515.1293657836726</v>
      </c>
      <c r="BT95" s="1">
        <f t="shared" si="31"/>
        <v>930.30689690418194</v>
      </c>
      <c r="BU95" s="1">
        <f t="shared" si="32"/>
        <v>-492.35814843022308</v>
      </c>
    </row>
    <row r="96" spans="37:73">
      <c r="AK96" s="1">
        <v>86</v>
      </c>
      <c r="AL96" s="1">
        <f t="shared" si="39"/>
        <v>33.772121026090232</v>
      </c>
      <c r="AN96" s="1">
        <f t="shared" si="33"/>
        <v>16464.466094067422</v>
      </c>
      <c r="AO96" s="1">
        <f t="shared" si="20"/>
        <v>11035.533905932896</v>
      </c>
      <c r="AQ96" s="1">
        <f t="shared" si="21"/>
        <v>-22474.873734152807</v>
      </c>
      <c r="AR96" s="1">
        <f t="shared" si="22"/>
        <v>12474.873734153027</v>
      </c>
      <c r="AT96" s="1">
        <f t="shared" si="23"/>
        <v>-8535.5339059325797</v>
      </c>
      <c r="AU96" s="1">
        <f t="shared" si="24"/>
        <v>-11464.466094067104</v>
      </c>
      <c r="AW96" s="1">
        <v>86</v>
      </c>
      <c r="AX96" s="1">
        <f t="shared" si="34"/>
        <v>43</v>
      </c>
      <c r="AZ96" s="1">
        <f t="shared" si="35"/>
        <v>-19214.425290645442</v>
      </c>
      <c r="BA96" s="1">
        <f t="shared" si="36"/>
        <v>-4451.2873606249577</v>
      </c>
      <c r="BC96" s="1">
        <f t="shared" si="37"/>
        <v>4315.708539268363</v>
      </c>
      <c r="BD96" s="1">
        <f t="shared" si="38"/>
        <v>3954.0338127093628</v>
      </c>
      <c r="BF96" s="1">
        <f t="shared" si="25"/>
        <v>1125.023250175997</v>
      </c>
      <c r="BG96" s="1">
        <f t="shared" si="26"/>
        <v>50.611235954688937</v>
      </c>
      <c r="BJ96" s="1">
        <f t="shared" si="27"/>
        <v>273.27084900301583</v>
      </c>
      <c r="BK96" s="1">
        <f t="shared" si="28"/>
        <v>83.284108322660543</v>
      </c>
      <c r="BO96" s="1">
        <f t="shared" si="29"/>
        <v>-33.954567709114947</v>
      </c>
      <c r="BP96" s="1">
        <f t="shared" si="30"/>
        <v>624.62196061960094</v>
      </c>
      <c r="BT96" s="1">
        <f t="shared" si="31"/>
        <v>885.70696888209602</v>
      </c>
      <c r="BU96" s="1">
        <f t="shared" si="32"/>
        <v>-657.29483298757259</v>
      </c>
    </row>
    <row r="97" spans="37:73">
      <c r="AK97" s="1">
        <v>87</v>
      </c>
      <c r="AL97" s="1">
        <f t="shared" si="39"/>
        <v>34.164820107788955</v>
      </c>
      <c r="AN97" s="1">
        <f t="shared" si="33"/>
        <v>15380.602337443655</v>
      </c>
      <c r="AO97" s="1">
        <f t="shared" si="20"/>
        <v>9413.4171618256623</v>
      </c>
      <c r="AQ97" s="1">
        <f t="shared" si="21"/>
        <v>-23233.578363789442</v>
      </c>
      <c r="AR97" s="1">
        <f t="shared" si="22"/>
        <v>11339.392013277964</v>
      </c>
      <c r="AT97" s="1">
        <f t="shared" si="23"/>
        <v>-9619.3976625563446</v>
      </c>
      <c r="AU97" s="1">
        <f t="shared" si="24"/>
        <v>-13086.582838174338</v>
      </c>
      <c r="AW97" s="1">
        <v>87</v>
      </c>
      <c r="AX97" s="1">
        <f t="shared" si="34"/>
        <v>43.5</v>
      </c>
      <c r="AZ97" s="1">
        <f t="shared" si="35"/>
        <v>-16915.943114739261</v>
      </c>
      <c r="BA97" s="1">
        <f t="shared" si="36"/>
        <v>-2467.9440497759401</v>
      </c>
      <c r="BC97" s="1">
        <f t="shared" si="37"/>
        <v>4878.2201643563612</v>
      </c>
      <c r="BD97" s="1">
        <f t="shared" si="38"/>
        <v>3979.3394306867071</v>
      </c>
      <c r="BF97" s="1">
        <f t="shared" si="25"/>
        <v>918.7926245257695</v>
      </c>
      <c r="BG97" s="1">
        <f t="shared" si="26"/>
        <v>-23.183864882604098</v>
      </c>
      <c r="BJ97" s="1">
        <f t="shared" si="27"/>
        <v>313.06162837512767</v>
      </c>
      <c r="BK97" s="1">
        <f t="shared" si="28"/>
        <v>84.532062097827875</v>
      </c>
      <c r="BO97" s="1">
        <f t="shared" si="29"/>
        <v>-176.97547438442888</v>
      </c>
      <c r="BP97" s="1">
        <f t="shared" si="30"/>
        <v>715.46031571368565</v>
      </c>
      <c r="BT97" s="1">
        <f t="shared" si="31"/>
        <v>782.70647053507071</v>
      </c>
      <c r="BU97" s="1">
        <f t="shared" si="32"/>
        <v>-823.1762426941176</v>
      </c>
    </row>
    <row r="98" spans="37:73">
      <c r="AK98" s="1">
        <v>88</v>
      </c>
      <c r="AL98" s="1">
        <f t="shared" si="39"/>
        <v>34.557519189487678</v>
      </c>
      <c r="AN98" s="1">
        <f t="shared" si="33"/>
        <v>15000</v>
      </c>
      <c r="AO98" s="1">
        <f t="shared" si="20"/>
        <v>7500.0000000002374</v>
      </c>
      <c r="AQ98" s="1">
        <f t="shared" si="21"/>
        <v>-23500</v>
      </c>
      <c r="AR98" s="1">
        <f t="shared" si="22"/>
        <v>10000.000000000166</v>
      </c>
      <c r="AT98" s="1">
        <f t="shared" si="23"/>
        <v>-10000</v>
      </c>
      <c r="AU98" s="1">
        <f t="shared" si="24"/>
        <v>-14999.999999999762</v>
      </c>
      <c r="AW98" s="1">
        <v>88</v>
      </c>
      <c r="AX98" s="1">
        <f t="shared" si="34"/>
        <v>44</v>
      </c>
      <c r="AZ98" s="1">
        <f t="shared" si="35"/>
        <v>-14361.983954495359</v>
      </c>
      <c r="BA98" s="1">
        <f t="shared" si="36"/>
        <v>-481.17231754291208</v>
      </c>
      <c r="BC98" s="1">
        <f t="shared" si="37"/>
        <v>5337.616476619246</v>
      </c>
      <c r="BD98" s="1">
        <f t="shared" si="38"/>
        <v>3967.747498245405</v>
      </c>
      <c r="BF98" s="1">
        <f t="shared" si="25"/>
        <v>596.63766480476488</v>
      </c>
      <c r="BG98" s="1">
        <f t="shared" si="26"/>
        <v>-155.94646924360961</v>
      </c>
      <c r="BJ98" s="1">
        <f t="shared" si="27"/>
        <v>364.97428538348885</v>
      </c>
      <c r="BK98" s="1">
        <f t="shared" si="28"/>
        <v>84.771667054359042</v>
      </c>
      <c r="BO98" s="1">
        <f t="shared" si="29"/>
        <v>-384.67192852976501</v>
      </c>
      <c r="BP98" s="1">
        <f t="shared" si="30"/>
        <v>715.11197132131326</v>
      </c>
      <c r="BT98" s="1">
        <f t="shared" si="31"/>
        <v>616.33530795104105</v>
      </c>
      <c r="BU98" s="1">
        <f t="shared" si="32"/>
        <v>-955.83010761928188</v>
      </c>
    </row>
    <row r="99" spans="37:73">
      <c r="AK99" s="1">
        <v>89</v>
      </c>
      <c r="AL99" s="1">
        <f t="shared" si="39"/>
        <v>34.950218271186401</v>
      </c>
      <c r="AN99" s="1">
        <f t="shared" si="33"/>
        <v>15380.602337443474</v>
      </c>
      <c r="AO99" s="1">
        <f t="shared" si="20"/>
        <v>5586.582838174777</v>
      </c>
      <c r="AQ99" s="1">
        <f t="shared" si="21"/>
        <v>-23233.578363789569</v>
      </c>
      <c r="AR99" s="1">
        <f t="shared" si="22"/>
        <v>8660.6079867223434</v>
      </c>
      <c r="AT99" s="1">
        <f t="shared" si="23"/>
        <v>-9619.3976625565265</v>
      </c>
      <c r="AU99" s="1">
        <f t="shared" si="24"/>
        <v>-16913.417161825222</v>
      </c>
      <c r="AW99" s="1">
        <v>89</v>
      </c>
      <c r="AX99" s="1">
        <f t="shared" si="34"/>
        <v>44.5</v>
      </c>
      <c r="AZ99" s="1">
        <f t="shared" si="35"/>
        <v>-11618.596008085142</v>
      </c>
      <c r="BA99" s="1">
        <f t="shared" si="36"/>
        <v>1483.2081229243392</v>
      </c>
      <c r="BC99" s="1">
        <f t="shared" si="37"/>
        <v>5635.9353090216282</v>
      </c>
      <c r="BD99" s="1">
        <f t="shared" si="38"/>
        <v>3889.7742636236003</v>
      </c>
      <c r="BF99" s="1">
        <f t="shared" si="25"/>
        <v>274.84415769889489</v>
      </c>
      <c r="BG99" s="1">
        <f t="shared" si="26"/>
        <v>-360.82262456074716</v>
      </c>
      <c r="BJ99" s="1">
        <f t="shared" si="27"/>
        <v>432.42381812278194</v>
      </c>
      <c r="BK99" s="1">
        <f t="shared" si="28"/>
        <v>82.287148856005302</v>
      </c>
      <c r="BO99" s="1">
        <f t="shared" si="29"/>
        <v>-566.75068845770465</v>
      </c>
      <c r="BP99" s="1">
        <f t="shared" si="30"/>
        <v>575.90561968375414</v>
      </c>
      <c r="BT99" s="1">
        <f t="shared" si="31"/>
        <v>409.17102803381761</v>
      </c>
      <c r="BU99" s="1">
        <f t="shared" si="32"/>
        <v>-1019.0153931005066</v>
      </c>
    </row>
    <row r="100" spans="37:73">
      <c r="AK100">
        <v>90</v>
      </c>
      <c r="AL100" s="1">
        <f t="shared" si="39"/>
        <v>35.342917352885124</v>
      </c>
      <c r="AN100" s="1">
        <f t="shared" si="33"/>
        <v>16464.466094067084</v>
      </c>
      <c r="AO100" s="1">
        <f t="shared" si="20"/>
        <v>3964.4660940674398</v>
      </c>
      <c r="AQ100" s="1">
        <f t="shared" si="21"/>
        <v>-22474.87373415304</v>
      </c>
      <c r="AR100" s="1">
        <f t="shared" si="22"/>
        <v>7525.1262658472078</v>
      </c>
      <c r="AT100" s="1">
        <f t="shared" si="23"/>
        <v>-8535.5339059329144</v>
      </c>
      <c r="AU100" s="1">
        <f t="shared" si="24"/>
        <v>-18535.53390593256</v>
      </c>
      <c r="AW100" s="1">
        <v>90</v>
      </c>
      <c r="AX100" s="1">
        <f t="shared" si="34"/>
        <v>45</v>
      </c>
      <c r="AZ100" s="1">
        <f t="shared" si="35"/>
        <v>-8766.2728338619654</v>
      </c>
      <c r="BA100" s="1">
        <f t="shared" si="36"/>
        <v>3382.992426666046</v>
      </c>
      <c r="BC100" s="1">
        <f t="shared" si="37"/>
        <v>5773.3573878710758</v>
      </c>
      <c r="BD100" s="1">
        <f t="shared" si="38"/>
        <v>3709.3629513432265</v>
      </c>
      <c r="BF100" s="1">
        <f t="shared" si="25"/>
        <v>101.47312560732558</v>
      </c>
      <c r="BG100" s="1">
        <f t="shared" si="26"/>
        <v>-560.23605674362148</v>
      </c>
      <c r="BJ100" s="1">
        <f t="shared" si="27"/>
        <v>518.9374337620626</v>
      </c>
      <c r="BK100" s="1">
        <f t="shared" si="28"/>
        <v>74.269939565127558</v>
      </c>
      <c r="BO100" s="1">
        <f t="shared" si="29"/>
        <v>-622.59514093347389</v>
      </c>
      <c r="BP100" s="1">
        <f t="shared" si="30"/>
        <v>366.72750742031826</v>
      </c>
      <c r="BT100" s="1">
        <f t="shared" si="31"/>
        <v>205.13083277873687</v>
      </c>
      <c r="BU100" s="1">
        <f t="shared" si="32"/>
        <v>-1001.2335037290674</v>
      </c>
    </row>
    <row r="101" spans="37:73">
      <c r="AK101" s="1">
        <v>91</v>
      </c>
      <c r="AL101" s="1">
        <f t="shared" si="39"/>
        <v>35.735616434583847</v>
      </c>
      <c r="AN101" s="1">
        <f t="shared" si="33"/>
        <v>18086.582838174312</v>
      </c>
      <c r="AO101" s="1">
        <f t="shared" si="20"/>
        <v>2880.6023374436654</v>
      </c>
      <c r="AQ101" s="1">
        <f t="shared" si="21"/>
        <v>-21339.392013277982</v>
      </c>
      <c r="AR101" s="1">
        <f t="shared" si="22"/>
        <v>6766.4216362105653</v>
      </c>
      <c r="AT101" s="1">
        <f t="shared" si="23"/>
        <v>-6913.4171618256869</v>
      </c>
      <c r="AU101" s="1">
        <f t="shared" si="24"/>
        <v>-19619.397662556334</v>
      </c>
      <c r="AW101" s="1">
        <v>91</v>
      </c>
      <c r="AX101" s="1">
        <f t="shared" si="34"/>
        <v>45.5</v>
      </c>
      <c r="AZ101" s="1">
        <f t="shared" si="35"/>
        <v>-5866.9099992255115</v>
      </c>
      <c r="BA101" s="1">
        <f t="shared" si="36"/>
        <v>5167.6443952447071</v>
      </c>
      <c r="BC101" s="1">
        <f t="shared" si="37"/>
        <v>5824.0939506747391</v>
      </c>
      <c r="BD101" s="1">
        <f t="shared" si="38"/>
        <v>3429.2449229714157</v>
      </c>
      <c r="BF101" s="1">
        <f t="shared" si="25"/>
        <v>102.50439645358921</v>
      </c>
      <c r="BG101" s="1">
        <f t="shared" si="26"/>
        <v>-673.658585009543</v>
      </c>
      <c r="BJ101" s="1">
        <f t="shared" si="27"/>
        <v>628.31870925070154</v>
      </c>
      <c r="BK101" s="1">
        <f t="shared" si="28"/>
        <v>56.653951443653803</v>
      </c>
      <c r="BO101" s="1">
        <f t="shared" si="29"/>
        <v>-565.51858949281416</v>
      </c>
      <c r="BP101" s="1">
        <f t="shared" si="30"/>
        <v>193.36089456581345</v>
      </c>
      <c r="BT101" s="1">
        <f t="shared" si="31"/>
        <v>39.704276695701815</v>
      </c>
      <c r="BU101" s="1">
        <f t="shared" si="32"/>
        <v>-923.6734310190102</v>
      </c>
    </row>
    <row r="102" spans="37:73">
      <c r="AK102" s="1">
        <v>92</v>
      </c>
      <c r="AL102" s="1">
        <f t="shared" si="39"/>
        <v>36.128315516282569</v>
      </c>
      <c r="AN102" s="1">
        <f t="shared" si="33"/>
        <v>19999.999999999734</v>
      </c>
      <c r="AO102" s="1">
        <f t="shared" si="20"/>
        <v>2500</v>
      </c>
      <c r="AQ102" s="1">
        <f t="shared" si="21"/>
        <v>-20000.000000000186</v>
      </c>
      <c r="AR102" s="1">
        <f t="shared" si="22"/>
        <v>6500</v>
      </c>
      <c r="AT102" s="1">
        <f t="shared" si="23"/>
        <v>-5000.0000000002647</v>
      </c>
      <c r="AU102" s="1">
        <f t="shared" si="24"/>
        <v>-20000</v>
      </c>
      <c r="AW102" s="1">
        <v>92</v>
      </c>
      <c r="AX102" s="1">
        <f t="shared" si="34"/>
        <v>46</v>
      </c>
      <c r="AZ102" s="1">
        <f t="shared" si="35"/>
        <v>-2942.0499743314431</v>
      </c>
      <c r="BA102" s="1">
        <f t="shared" si="36"/>
        <v>6798.0595336042225</v>
      </c>
      <c r="BC102" s="1">
        <f t="shared" si="37"/>
        <v>5875.3461489015335</v>
      </c>
      <c r="BD102" s="1">
        <f t="shared" si="38"/>
        <v>3092.415630466644</v>
      </c>
      <c r="BF102" s="1">
        <f t="shared" si="25"/>
        <v>220.75793724714259</v>
      </c>
      <c r="BG102" s="1">
        <f t="shared" si="26"/>
        <v>-707.23176336268466</v>
      </c>
      <c r="BJ102" s="1">
        <f t="shared" si="27"/>
        <v>765.43054870490903</v>
      </c>
      <c r="BK102" s="1">
        <f t="shared" si="28"/>
        <v>23.419296747790163</v>
      </c>
      <c r="BO102" s="1">
        <f t="shared" si="29"/>
        <v>-467.408764692445</v>
      </c>
      <c r="BP102" s="1">
        <f t="shared" si="30"/>
        <v>87.737098289344075</v>
      </c>
      <c r="BT102" s="1">
        <f t="shared" si="31"/>
        <v>-77.263846765321418</v>
      </c>
      <c r="BU102" s="1">
        <f t="shared" si="32"/>
        <v>-818.38815839981896</v>
      </c>
    </row>
    <row r="103" spans="37:73">
      <c r="AK103" s="1">
        <v>93</v>
      </c>
      <c r="AL103" s="1">
        <f t="shared" si="39"/>
        <v>36.521014597981292</v>
      </c>
      <c r="AN103" s="1">
        <f t="shared" si="33"/>
        <v>21913.417161825197</v>
      </c>
      <c r="AO103" s="1">
        <f t="shared" si="20"/>
        <v>2880.6023374434626</v>
      </c>
      <c r="AQ103" s="1">
        <f t="shared" si="21"/>
        <v>-18660.60798672236</v>
      </c>
      <c r="AR103" s="1">
        <f t="shared" si="22"/>
        <v>6766.4216362104235</v>
      </c>
      <c r="AT103" s="1">
        <f t="shared" si="23"/>
        <v>-3086.5828381748015</v>
      </c>
      <c r="AU103" s="1">
        <f t="shared" si="24"/>
        <v>-19619.397662556537</v>
      </c>
      <c r="AW103" s="1">
        <v>93</v>
      </c>
      <c r="AX103" s="1">
        <f t="shared" si="34"/>
        <v>46.5</v>
      </c>
      <c r="AZ103" s="1">
        <f t="shared" si="35"/>
        <v>23.217842275216505</v>
      </c>
      <c r="BA103" s="1">
        <f t="shared" si="36"/>
        <v>8255.8633784172089</v>
      </c>
      <c r="BC103" s="1">
        <f t="shared" si="37"/>
        <v>5985.7251175251049</v>
      </c>
      <c r="BD103" s="1">
        <f t="shared" si="38"/>
        <v>2738.7997487853017</v>
      </c>
      <c r="BF103" s="1">
        <f t="shared" si="25"/>
        <v>410.54289145196663</v>
      </c>
      <c r="BG103" s="1">
        <f t="shared" si="26"/>
        <v>-711.30415115293863</v>
      </c>
      <c r="BJ103" s="1">
        <f t="shared" si="27"/>
        <v>936.55706256767644</v>
      </c>
      <c r="BK103" s="1">
        <f t="shared" si="28"/>
        <v>-35.436597336030971</v>
      </c>
      <c r="BO103" s="1">
        <f t="shared" si="29"/>
        <v>-373.0101376210871</v>
      </c>
      <c r="BP103" s="1">
        <f t="shared" si="30"/>
        <v>32.491313153123549</v>
      </c>
      <c r="BT103" s="1">
        <f t="shared" si="31"/>
        <v>-153.00403349462275</v>
      </c>
      <c r="BU103" s="1">
        <f t="shared" si="32"/>
        <v>-708.35886697003116</v>
      </c>
    </row>
    <row r="104" spans="37:73">
      <c r="AK104" s="1">
        <v>94</v>
      </c>
      <c r="AL104" s="1">
        <f t="shared" si="39"/>
        <v>36.913713679680015</v>
      </c>
      <c r="AN104" s="1">
        <f t="shared" si="33"/>
        <v>23535.533905932542</v>
      </c>
      <c r="AO104" s="1">
        <f t="shared" si="20"/>
        <v>3964.4660940670656</v>
      </c>
      <c r="AQ104" s="1">
        <f t="shared" si="21"/>
        <v>-17525.126265847222</v>
      </c>
      <c r="AR104" s="1">
        <f t="shared" si="22"/>
        <v>7525.1262658469459</v>
      </c>
      <c r="AT104" s="1">
        <f t="shared" si="23"/>
        <v>-1464.4660940674594</v>
      </c>
      <c r="AU104" s="1">
        <f t="shared" si="24"/>
        <v>-18535.533905932934</v>
      </c>
      <c r="AW104" s="1">
        <v>94</v>
      </c>
      <c r="AX104" s="1">
        <f t="shared" si="34"/>
        <v>47</v>
      </c>
      <c r="AZ104" s="1">
        <f t="shared" si="35"/>
        <v>3067.3982624692644</v>
      </c>
      <c r="BA104" s="1">
        <f t="shared" si="36"/>
        <v>9536.3502339157421</v>
      </c>
      <c r="BC104" s="1">
        <f t="shared" si="37"/>
        <v>6190.9965632510884</v>
      </c>
      <c r="BD104" s="1">
        <f t="shared" si="38"/>
        <v>2383.1476732088322</v>
      </c>
      <c r="BF104" s="1">
        <f t="shared" si="25"/>
        <v>652.94988301187152</v>
      </c>
      <c r="BG104" s="1">
        <f t="shared" si="26"/>
        <v>-736.70889288802732</v>
      </c>
      <c r="BJ104" s="1">
        <f t="shared" si="27"/>
        <v>1147.3368295627897</v>
      </c>
      <c r="BK104" s="1">
        <f t="shared" si="28"/>
        <v>-137.98113588662511</v>
      </c>
      <c r="BO104" s="1">
        <f t="shared" si="29"/>
        <v>-295.57564450605724</v>
      </c>
      <c r="BP104" s="1">
        <f t="shared" si="30"/>
        <v>5.9410071684767143</v>
      </c>
      <c r="BT104" s="1">
        <f t="shared" si="31"/>
        <v>-198.81130204486101</v>
      </c>
      <c r="BU104" s="1">
        <f t="shared" si="32"/>
        <v>-604.66876416987895</v>
      </c>
    </row>
    <row r="105" spans="37:73">
      <c r="AK105">
        <v>95</v>
      </c>
      <c r="AL105" s="1">
        <f t="shared" si="39"/>
        <v>37.306412761378738</v>
      </c>
      <c r="AN105" s="1">
        <f t="shared" si="33"/>
        <v>24619.397662556323</v>
      </c>
      <c r="AO105" s="1">
        <f t="shared" si="20"/>
        <v>5586.5828381742876</v>
      </c>
      <c r="AQ105" s="1">
        <f t="shared" si="21"/>
        <v>-16766.421636210573</v>
      </c>
      <c r="AR105" s="1">
        <f t="shared" si="22"/>
        <v>8660.6079867220014</v>
      </c>
      <c r="AT105" s="1">
        <f t="shared" si="23"/>
        <v>-380.60233744367542</v>
      </c>
      <c r="AU105" s="1">
        <f t="shared" si="24"/>
        <v>-16913.417161825713</v>
      </c>
      <c r="AW105" s="1">
        <v>95</v>
      </c>
      <c r="AX105" s="1">
        <f t="shared" si="34"/>
        <v>47.5</v>
      </c>
      <c r="AZ105" s="1">
        <f t="shared" si="35"/>
        <v>6244.5152794712922</v>
      </c>
      <c r="BA105" s="1">
        <f t="shared" si="36"/>
        <v>10635.835458909156</v>
      </c>
      <c r="BC105" s="1">
        <f t="shared" si="37"/>
        <v>6517.4715047570244</v>
      </c>
      <c r="BD105" s="1">
        <f t="shared" si="38"/>
        <v>2014.7932267648184</v>
      </c>
      <c r="BF105" s="1">
        <f t="shared" si="25"/>
        <v>933.5693571619679</v>
      </c>
      <c r="BG105" s="1">
        <f t="shared" si="26"/>
        <v>-834.21171524763099</v>
      </c>
      <c r="BJ105" s="1">
        <f t="shared" si="27"/>
        <v>1392.7261489623945</v>
      </c>
      <c r="BK105" s="1">
        <f t="shared" si="28"/>
        <v>-317.49953790784389</v>
      </c>
      <c r="BO105" s="1">
        <f t="shared" si="29"/>
        <v>-235.0113757790152</v>
      </c>
      <c r="BP105" s="1">
        <f t="shared" si="30"/>
        <v>-5.6937064516564586</v>
      </c>
      <c r="BT105" s="1">
        <f t="shared" si="31"/>
        <v>-224.14541602141139</v>
      </c>
      <c r="BU105" s="1">
        <f t="shared" si="32"/>
        <v>-511.01847088813071</v>
      </c>
    </row>
    <row r="106" spans="37:73">
      <c r="AK106" s="1">
        <v>96</v>
      </c>
      <c r="AL106" s="1">
        <f t="shared" si="39"/>
        <v>37.699111843077461</v>
      </c>
      <c r="AN106" s="1">
        <f t="shared" si="33"/>
        <v>25000</v>
      </c>
      <c r="AO106" s="1">
        <f t="shared" si="20"/>
        <v>7499.9999999997081</v>
      </c>
      <c r="AQ106" s="1">
        <f t="shared" si="21"/>
        <v>-16500</v>
      </c>
      <c r="AR106" s="1">
        <f t="shared" si="22"/>
        <v>9999.9999999997963</v>
      </c>
      <c r="AT106" s="1">
        <f t="shared" si="23"/>
        <v>0</v>
      </c>
      <c r="AU106" s="1">
        <f t="shared" si="24"/>
        <v>-15000.000000000291</v>
      </c>
      <c r="AW106" s="1">
        <v>96</v>
      </c>
      <c r="AX106" s="1">
        <f t="shared" si="34"/>
        <v>48</v>
      </c>
      <c r="AZ106" s="1">
        <f t="shared" si="35"/>
        <v>9619.9472014950497</v>
      </c>
      <c r="BA106" s="1">
        <f t="shared" si="36"/>
        <v>11538.955607885611</v>
      </c>
      <c r="BC106" s="1">
        <f t="shared" si="37"/>
        <v>6984.2561833380087</v>
      </c>
      <c r="BD106" s="1">
        <f t="shared" si="38"/>
        <v>1597.6873691410028</v>
      </c>
      <c r="BF106" s="1">
        <f t="shared" si="25"/>
        <v>1196.9085441347956</v>
      </c>
      <c r="BG106" s="1">
        <f t="shared" si="26"/>
        <v>-1068.106194879748</v>
      </c>
      <c r="BJ106" s="1">
        <f t="shared" si="27"/>
        <v>1620.5244494125402</v>
      </c>
      <c r="BK106" s="1">
        <f t="shared" si="28"/>
        <v>-630.5580944263827</v>
      </c>
      <c r="BO106" s="1">
        <f t="shared" si="29"/>
        <v>-187.95638365000826</v>
      </c>
      <c r="BP106" s="1">
        <f t="shared" si="30"/>
        <v>-9.7655991311652155</v>
      </c>
      <c r="BT106" s="1">
        <f t="shared" si="31"/>
        <v>-235.65952162773624</v>
      </c>
      <c r="BU106" s="1">
        <f t="shared" si="32"/>
        <v>-427.78250132220006</v>
      </c>
    </row>
    <row r="107" spans="37:73">
      <c r="AK107" s="1">
        <v>97</v>
      </c>
      <c r="AL107" s="1">
        <f t="shared" si="39"/>
        <v>38.091810924776183</v>
      </c>
      <c r="AN107" s="1">
        <f t="shared" si="33"/>
        <v>24619.397662556548</v>
      </c>
      <c r="AO107" s="1">
        <f t="shared" si="20"/>
        <v>9413.417161825173</v>
      </c>
      <c r="AQ107" s="1">
        <f t="shared" si="21"/>
        <v>-16766.421636210416</v>
      </c>
      <c r="AR107" s="1">
        <f t="shared" si="22"/>
        <v>11339.392013277622</v>
      </c>
      <c r="AT107" s="1">
        <f t="shared" si="23"/>
        <v>-380.60233744345169</v>
      </c>
      <c r="AU107" s="1">
        <f t="shared" si="24"/>
        <v>-13086.582838174827</v>
      </c>
      <c r="AW107" s="1">
        <v>97</v>
      </c>
      <c r="AX107" s="1">
        <f t="shared" si="34"/>
        <v>48.5</v>
      </c>
      <c r="AZ107" s="1">
        <f t="shared" si="35"/>
        <v>13261.688861180904</v>
      </c>
      <c r="BA107" s="1">
        <f t="shared" si="36"/>
        <v>12204.286018096145</v>
      </c>
      <c r="BC107" s="1">
        <f t="shared" si="37"/>
        <v>7582.7104554054067</v>
      </c>
      <c r="BD107" s="1">
        <f t="shared" si="38"/>
        <v>1063.6342717011289</v>
      </c>
      <c r="BF107" s="1">
        <f t="shared" si="25"/>
        <v>1238.0141713424234</v>
      </c>
      <c r="BG107" s="1">
        <f t="shared" si="26"/>
        <v>-1500.2046662372732</v>
      </c>
      <c r="BJ107" s="1">
        <f t="shared" si="27"/>
        <v>1627.0121573930885</v>
      </c>
      <c r="BK107" s="1">
        <f t="shared" si="28"/>
        <v>-1135.882624832032</v>
      </c>
      <c r="BO107" s="1">
        <f t="shared" si="29"/>
        <v>-151.16053084603732</v>
      </c>
      <c r="BP107" s="1">
        <f t="shared" si="30"/>
        <v>-10.017562428129853</v>
      </c>
      <c r="BT107" s="1">
        <f t="shared" si="31"/>
        <v>-237.8374552046277</v>
      </c>
      <c r="BU107" s="1">
        <f t="shared" si="32"/>
        <v>-354.30447897711144</v>
      </c>
    </row>
    <row r="108" spans="37:73">
      <c r="AK108" s="1">
        <v>98</v>
      </c>
      <c r="AL108" s="1">
        <f t="shared" si="39"/>
        <v>38.484510006474906</v>
      </c>
      <c r="AN108" s="1">
        <f t="shared" si="33"/>
        <v>23535.533905932953</v>
      </c>
      <c r="AO108" s="1">
        <f t="shared" si="20"/>
        <v>11035.533905932522</v>
      </c>
      <c r="AQ108" s="1">
        <f t="shared" si="21"/>
        <v>-17525.126265846931</v>
      </c>
      <c r="AR108" s="1">
        <f t="shared" si="22"/>
        <v>12474.873734152765</v>
      </c>
      <c r="AT108" s="1">
        <f t="shared" si="23"/>
        <v>-1464.4660940670469</v>
      </c>
      <c r="AU108" s="1">
        <f t="shared" si="24"/>
        <v>-11464.466094067478</v>
      </c>
      <c r="AW108" s="1">
        <v>98</v>
      </c>
      <c r="AX108" s="1">
        <f t="shared" si="34"/>
        <v>49</v>
      </c>
      <c r="AZ108" s="1">
        <f t="shared" si="35"/>
        <v>17207.795860301412</v>
      </c>
      <c r="BA108" s="1">
        <f t="shared" si="36"/>
        <v>12548.57757066705</v>
      </c>
      <c r="BC108" s="1">
        <f t="shared" si="37"/>
        <v>8201.7175410766176</v>
      </c>
      <c r="BD108" s="1">
        <f t="shared" si="38"/>
        <v>313.53193858249233</v>
      </c>
      <c r="BF108" s="1">
        <f t="shared" si="25"/>
        <v>593.94023368174066</v>
      </c>
      <c r="BG108" s="1">
        <f t="shared" si="26"/>
        <v>-2016.398677337947</v>
      </c>
      <c r="BJ108" s="1">
        <f t="shared" si="27"/>
        <v>950.11489254535661</v>
      </c>
      <c r="BK108" s="1">
        <f t="shared" si="28"/>
        <v>-1717.9004456955709</v>
      </c>
      <c r="BO108" s="1">
        <f t="shared" si="29"/>
        <v>-122.29853573234665</v>
      </c>
      <c r="BP108" s="1">
        <f t="shared" si="30"/>
        <v>-8.3769354751119227</v>
      </c>
      <c r="BT108" s="1">
        <f t="shared" si="31"/>
        <v>-233.87612313126925</v>
      </c>
      <c r="BU108" s="1">
        <f t="shared" si="32"/>
        <v>-290.12129616726423</v>
      </c>
    </row>
    <row r="109" spans="37:73">
      <c r="AK109" s="1">
        <v>99</v>
      </c>
      <c r="AL109" s="1">
        <f t="shared" si="39"/>
        <v>38.877209088173629</v>
      </c>
      <c r="AN109" s="1">
        <f t="shared" si="33"/>
        <v>21913.417161825739</v>
      </c>
      <c r="AO109" s="1">
        <f t="shared" si="20"/>
        <v>12119.397662556315</v>
      </c>
      <c r="AQ109" s="1">
        <f t="shared" si="21"/>
        <v>-18660.607986721985</v>
      </c>
      <c r="AR109" s="1">
        <f t="shared" si="22"/>
        <v>13233.57836378942</v>
      </c>
      <c r="AT109" s="1">
        <f t="shared" si="23"/>
        <v>-3086.5828381742631</v>
      </c>
      <c r="AU109" s="1">
        <f t="shared" si="24"/>
        <v>-10380.602337443685</v>
      </c>
      <c r="AW109" s="1">
        <v>99</v>
      </c>
      <c r="AX109" s="1">
        <f t="shared" si="34"/>
        <v>49.5</v>
      </c>
      <c r="AZ109" s="1">
        <f t="shared" si="35"/>
        <v>21382.897160049939</v>
      </c>
      <c r="BA109" s="1">
        <f t="shared" si="36"/>
        <v>12453.293705291053</v>
      </c>
      <c r="BC109" s="1">
        <f t="shared" si="37"/>
        <v>8498.6876579174877</v>
      </c>
      <c r="BD109" s="1">
        <f t="shared" si="38"/>
        <v>-694.66740008648117</v>
      </c>
      <c r="BF109" s="1">
        <f t="shared" si="25"/>
        <v>-835.68170170755775</v>
      </c>
      <c r="BG109" s="1">
        <f t="shared" si="26"/>
        <v>-2065.5548533757956</v>
      </c>
      <c r="BJ109" s="1">
        <f t="shared" si="27"/>
        <v>-509.24059530524761</v>
      </c>
      <c r="BK109" s="1">
        <f t="shared" si="28"/>
        <v>-1824.0099900943192</v>
      </c>
      <c r="BO109" s="1">
        <f t="shared" si="29"/>
        <v>-100.01182326250122</v>
      </c>
      <c r="BP109" s="1">
        <f t="shared" si="30"/>
        <v>-5.9289801657830443</v>
      </c>
      <c r="BT109" s="1">
        <f t="shared" si="31"/>
        <v>-226.42928313980894</v>
      </c>
      <c r="BU109" s="1">
        <f t="shared" si="32"/>
        <v>-235.61588311569326</v>
      </c>
    </row>
    <row r="110" spans="37:73">
      <c r="AK110">
        <v>100</v>
      </c>
      <c r="AL110" s="1">
        <f t="shared" si="39"/>
        <v>39.269908169872352</v>
      </c>
      <c r="AN110" s="1">
        <f t="shared" si="33"/>
        <v>20000.00000000032</v>
      </c>
      <c r="AO110" s="1">
        <f t="shared" si="20"/>
        <v>12500</v>
      </c>
      <c r="AQ110" s="1">
        <f t="shared" si="21"/>
        <v>-19999.999999999778</v>
      </c>
      <c r="AR110" s="1">
        <f t="shared" si="22"/>
        <v>13500</v>
      </c>
      <c r="AT110" s="1">
        <f t="shared" si="23"/>
        <v>-4999.9999999996817</v>
      </c>
      <c r="AU110" s="1">
        <f t="shared" si="24"/>
        <v>-10000</v>
      </c>
      <c r="AW110" s="1">
        <v>100</v>
      </c>
      <c r="AX110" s="1">
        <f t="shared" si="34"/>
        <v>50</v>
      </c>
      <c r="AZ110" s="1">
        <f t="shared" si="35"/>
        <v>25527.780776295236</v>
      </c>
      <c r="BA110" s="1">
        <f t="shared" si="36"/>
        <v>11847.765648575838</v>
      </c>
      <c r="BC110" s="1">
        <f t="shared" si="37"/>
        <v>8080.8468070637091</v>
      </c>
      <c r="BD110" s="1">
        <f t="shared" si="38"/>
        <v>-1727.444826774379</v>
      </c>
      <c r="BF110" s="1">
        <f t="shared" si="25"/>
        <v>-1885.3210685858332</v>
      </c>
      <c r="BG110" s="1">
        <f t="shared" si="26"/>
        <v>-1440.8474809543436</v>
      </c>
      <c r="BJ110" s="1">
        <f t="shared" si="27"/>
        <v>-1584.0338812481118</v>
      </c>
      <c r="BK110" s="1">
        <f t="shared" si="28"/>
        <v>-1245.8902358437103</v>
      </c>
      <c r="BO110" s="1">
        <f t="shared" si="29"/>
        <v>-83.458704714525624</v>
      </c>
      <c r="BP110" s="1">
        <f t="shared" si="30"/>
        <v>-3.3872094140469899</v>
      </c>
      <c r="BT110" s="1">
        <f t="shared" si="31"/>
        <v>-217.82848262319595</v>
      </c>
      <c r="BU110" s="1">
        <f t="shared" si="32"/>
        <v>-191.57003569658627</v>
      </c>
    </row>
    <row r="111" spans="37:73">
      <c r="AK111">
        <v>101</v>
      </c>
      <c r="AL111" s="1">
        <f t="shared" si="39"/>
        <v>39.662607251571075</v>
      </c>
      <c r="AN111" s="1">
        <f t="shared" si="33"/>
        <v>18086.582838174851</v>
      </c>
      <c r="AO111" s="1">
        <f t="shared" si="20"/>
        <v>12119.397662556559</v>
      </c>
      <c r="AQ111" s="1">
        <f t="shared" si="21"/>
        <v>-21339.392013277604</v>
      </c>
      <c r="AR111" s="1">
        <f t="shared" si="22"/>
        <v>13233.578363789591</v>
      </c>
      <c r="AT111" s="1">
        <f t="shared" si="23"/>
        <v>-6913.4171618251485</v>
      </c>
      <c r="AU111" s="1">
        <f t="shared" si="24"/>
        <v>-10380.602337443441</v>
      </c>
      <c r="AW111" s="1">
        <v>101</v>
      </c>
      <c r="AX111" s="1">
        <f t="shared" si="34"/>
        <v>50.5</v>
      </c>
      <c r="AZ111" s="1">
        <f t="shared" si="35"/>
        <v>29332.539046253863</v>
      </c>
      <c r="BA111" s="1">
        <f t="shared" si="36"/>
        <v>10803.937300069356</v>
      </c>
      <c r="BC111" s="1">
        <f t="shared" si="37"/>
        <v>7138.1862727707921</v>
      </c>
      <c r="BD111" s="1">
        <f t="shared" si="38"/>
        <v>-2447.8685672515508</v>
      </c>
      <c r="BF111" s="1">
        <f t="shared" si="25"/>
        <v>-2034.951051325196</v>
      </c>
      <c r="BG111" s="1">
        <f t="shared" si="26"/>
        <v>-779.58621491934696</v>
      </c>
      <c r="BJ111" s="1">
        <f t="shared" si="27"/>
        <v>-1753.7198960975188</v>
      </c>
      <c r="BK111" s="1">
        <f t="shared" si="28"/>
        <v>-620.85789835684284</v>
      </c>
      <c r="BO111" s="1">
        <f t="shared" si="29"/>
        <v>-71.592978894655317</v>
      </c>
      <c r="BP111" s="1">
        <f t="shared" si="30"/>
        <v>-1.16669985509011</v>
      </c>
      <c r="BT111" s="1">
        <f t="shared" si="31"/>
        <v>-209.63817633302179</v>
      </c>
      <c r="BU111" s="1">
        <f t="shared" si="32"/>
        <v>-157.56161670741403</v>
      </c>
    </row>
    <row r="112" spans="37:73">
      <c r="AK112" s="1">
        <v>102</v>
      </c>
      <c r="AL112" s="1">
        <f t="shared" si="39"/>
        <v>40.055306333269797</v>
      </c>
      <c r="AN112" s="1">
        <f t="shared" si="33"/>
        <v>16464.466094067498</v>
      </c>
      <c r="AO112" s="1">
        <f t="shared" si="20"/>
        <v>11035.533905932973</v>
      </c>
      <c r="AQ112" s="1">
        <f t="shared" si="21"/>
        <v>-22474.873734152752</v>
      </c>
      <c r="AR112" s="1">
        <f t="shared" si="22"/>
        <v>12474.87373415308</v>
      </c>
      <c r="AT112" s="1">
        <f t="shared" si="23"/>
        <v>-8535.5339059325033</v>
      </c>
      <c r="AU112" s="1">
        <f t="shared" si="24"/>
        <v>-11464.466094067027</v>
      </c>
      <c r="AW112" s="1">
        <v>102</v>
      </c>
      <c r="AX112" s="1">
        <f t="shared" si="34"/>
        <v>51</v>
      </c>
      <c r="AZ112" s="1">
        <f t="shared" si="35"/>
        <v>32647.263301223611</v>
      </c>
      <c r="BA112" s="1">
        <f t="shared" si="36"/>
        <v>9482.5547395786634</v>
      </c>
      <c r="BC112" s="1">
        <f t="shared" si="37"/>
        <v>6120.7107471081945</v>
      </c>
      <c r="BD112" s="1">
        <f t="shared" si="38"/>
        <v>-2837.6616747112244</v>
      </c>
      <c r="BF112" s="1">
        <f t="shared" si="25"/>
        <v>-1810.3320987292968</v>
      </c>
      <c r="BG112" s="1">
        <f t="shared" si="26"/>
        <v>-373.17344508080731</v>
      </c>
      <c r="BJ112" s="1">
        <f t="shared" si="27"/>
        <v>-1544.813682427442</v>
      </c>
      <c r="BK112" s="1">
        <f t="shared" si="28"/>
        <v>-242.16129726390548</v>
      </c>
      <c r="BO112" s="1">
        <f t="shared" si="29"/>
        <v>-63.104950858364582</v>
      </c>
      <c r="BP112" s="1">
        <f t="shared" si="30"/>
        <v>0.62022896696366714</v>
      </c>
      <c r="BT112" s="1">
        <f t="shared" si="31"/>
        <v>-202.41346544349005</v>
      </c>
      <c r="BU112" s="1">
        <f t="shared" si="32"/>
        <v>-131.63237678386551</v>
      </c>
    </row>
    <row r="113" spans="37:73">
      <c r="AK113" s="1">
        <v>103</v>
      </c>
      <c r="AL113" s="1">
        <f t="shared" si="39"/>
        <v>40.44800541496852</v>
      </c>
      <c r="AN113" s="1">
        <f t="shared" si="33"/>
        <v>15380.602337443695</v>
      </c>
      <c r="AO113" s="1">
        <f t="shared" si="20"/>
        <v>9413.4171618257624</v>
      </c>
      <c r="AQ113" s="1">
        <f t="shared" si="21"/>
        <v>-23233.578363789413</v>
      </c>
      <c r="AR113" s="1">
        <f t="shared" si="22"/>
        <v>11339.392013278033</v>
      </c>
      <c r="AT113" s="1">
        <f t="shared" si="23"/>
        <v>-9619.3976625563046</v>
      </c>
      <c r="AU113" s="1">
        <f t="shared" si="24"/>
        <v>-13086.582838174238</v>
      </c>
      <c r="AW113" s="1">
        <v>103</v>
      </c>
      <c r="AX113" s="1">
        <f t="shared" si="34"/>
        <v>51.5</v>
      </c>
      <c r="AZ113" s="1">
        <f t="shared" si="35"/>
        <v>35481.327162436552</v>
      </c>
      <c r="BA113" s="1">
        <f t="shared" si="36"/>
        <v>8017.0772215879506</v>
      </c>
      <c r="BC113" s="1">
        <f t="shared" si="37"/>
        <v>5215.5446977435458</v>
      </c>
      <c r="BD113" s="1">
        <f t="shared" si="38"/>
        <v>-3024.2483972516279</v>
      </c>
      <c r="BF113" s="1">
        <f t="shared" si="25"/>
        <v>-1546.3625894324077</v>
      </c>
      <c r="BG113" s="1">
        <f t="shared" si="26"/>
        <v>-152.70514254838213</v>
      </c>
      <c r="BJ113" s="1">
        <f t="shared" si="27"/>
        <v>-1293.3188017684374</v>
      </c>
      <c r="BK113" s="1">
        <f t="shared" si="28"/>
        <v>-43.196922694619261</v>
      </c>
      <c r="BO113" s="1">
        <f t="shared" si="29"/>
        <v>-56.871170826516725</v>
      </c>
      <c r="BP113" s="1">
        <f t="shared" si="30"/>
        <v>2.0325962956274446</v>
      </c>
      <c r="BT113" s="1">
        <f t="shared" si="31"/>
        <v>-196.17261683745366</v>
      </c>
      <c r="BU113" s="1">
        <f t="shared" si="32"/>
        <v>-111.54081614939031</v>
      </c>
    </row>
    <row r="114" spans="37:73">
      <c r="AK114" s="1">
        <v>104</v>
      </c>
      <c r="AL114" s="1">
        <f t="shared" si="39"/>
        <v>40.840704496667243</v>
      </c>
      <c r="AN114" s="1">
        <f t="shared" si="33"/>
        <v>15000</v>
      </c>
      <c r="AO114" s="1">
        <f t="shared" si="20"/>
        <v>7500.0000000003456</v>
      </c>
      <c r="AQ114" s="1">
        <f t="shared" si="21"/>
        <v>-23500</v>
      </c>
      <c r="AR114" s="1">
        <f t="shared" si="22"/>
        <v>10000.000000000242</v>
      </c>
      <c r="AT114" s="1">
        <f t="shared" si="23"/>
        <v>-10000</v>
      </c>
      <c r="AU114" s="1">
        <f t="shared" si="24"/>
        <v>-14999.999999999654</v>
      </c>
      <c r="AW114" s="1">
        <v>104</v>
      </c>
      <c r="AX114" s="1">
        <f t="shared" si="34"/>
        <v>52</v>
      </c>
      <c r="AZ114" s="1">
        <f t="shared" si="35"/>
        <v>37895.804187629277</v>
      </c>
      <c r="BA114" s="1">
        <f t="shared" si="36"/>
        <v>6485.8648801435893</v>
      </c>
      <c r="BC114" s="1">
        <f t="shared" si="37"/>
        <v>4442.3634030273424</v>
      </c>
      <c r="BD114" s="1">
        <f t="shared" si="38"/>
        <v>-3100.6009685258191</v>
      </c>
      <c r="BF114" s="1">
        <f t="shared" si="25"/>
        <v>-1326.5967828425305</v>
      </c>
      <c r="BG114" s="1">
        <f t="shared" si="26"/>
        <v>-31.008918171162065</v>
      </c>
      <c r="BJ114" s="1">
        <f t="shared" si="27"/>
        <v>-1083.6293990981815</v>
      </c>
      <c r="BK114" s="1">
        <f t="shared" si="28"/>
        <v>61.408060739400952</v>
      </c>
      <c r="BO114" s="1">
        <f t="shared" si="29"/>
        <v>-52.141466304809853</v>
      </c>
      <c r="BP114" s="1">
        <f t="shared" si="30"/>
        <v>3.1648607444629571</v>
      </c>
      <c r="BT114" s="1">
        <f t="shared" si="31"/>
        <v>-190.8259174395391</v>
      </c>
      <c r="BU114" s="1">
        <f t="shared" si="32"/>
        <v>-95.581839655025973</v>
      </c>
    </row>
    <row r="115" spans="37:73">
      <c r="AK115" s="1">
        <v>105</v>
      </c>
      <c r="AL115" s="1">
        <f t="shared" si="39"/>
        <v>41.233403578365966</v>
      </c>
      <c r="AN115" s="1">
        <f t="shared" si="33"/>
        <v>15380.602337443432</v>
      </c>
      <c r="AO115" s="1">
        <f t="shared" si="20"/>
        <v>5586.582838174877</v>
      </c>
      <c r="AQ115" s="1">
        <f t="shared" si="21"/>
        <v>-23233.578363789598</v>
      </c>
      <c r="AR115" s="1">
        <f t="shared" si="22"/>
        <v>8660.6079867224144</v>
      </c>
      <c r="AT115" s="1">
        <f t="shared" si="23"/>
        <v>-9619.3976625565683</v>
      </c>
      <c r="AU115" s="1">
        <f t="shared" si="24"/>
        <v>-16913.417161825124</v>
      </c>
      <c r="AW115" s="1">
        <v>105</v>
      </c>
      <c r="AX115" s="1">
        <f t="shared" si="34"/>
        <v>52.5</v>
      </c>
      <c r="AZ115" s="1">
        <f t="shared" si="35"/>
        <v>39951.16129128763</v>
      </c>
      <c r="BA115" s="1">
        <f t="shared" si="36"/>
        <v>4931.6882811092846</v>
      </c>
      <c r="BC115" s="1">
        <f t="shared" si="37"/>
        <v>3779.065011606077</v>
      </c>
      <c r="BD115" s="1">
        <f t="shared" si="38"/>
        <v>-3116.1054276114</v>
      </c>
      <c r="BF115" s="1">
        <f t="shared" si="25"/>
        <v>-1156.2235122574721</v>
      </c>
      <c r="BG115" s="1">
        <f t="shared" si="26"/>
        <v>40.116642297902501</v>
      </c>
      <c r="BJ115" s="1">
        <f t="shared" si="27"/>
        <v>-921.48391755150874</v>
      </c>
      <c r="BK115" s="1">
        <f t="shared" si="28"/>
        <v>118.6225658578756</v>
      </c>
      <c r="BO115" s="1">
        <f t="shared" si="29"/>
        <v>-48.450587105726122</v>
      </c>
      <c r="BP115" s="1">
        <f t="shared" si="30"/>
        <v>4.0960453997206105</v>
      </c>
      <c r="BT115" s="1">
        <f t="shared" si="31"/>
        <v>-186.28900760023723</v>
      </c>
      <c r="BU115" s="1">
        <f t="shared" si="32"/>
        <v>-82.601968959693707</v>
      </c>
    </row>
    <row r="116" spans="37:73">
      <c r="AK116">
        <v>106</v>
      </c>
      <c r="AL116" s="1">
        <f t="shared" si="39"/>
        <v>41.626102660064689</v>
      </c>
      <c r="AN116" s="1">
        <f t="shared" si="33"/>
        <v>16464.466094067007</v>
      </c>
      <c r="AO116" s="1">
        <f t="shared" si="20"/>
        <v>3964.4660940675162</v>
      </c>
      <c r="AQ116" s="1">
        <f t="shared" si="21"/>
        <v>-22474.873734153094</v>
      </c>
      <c r="AR116" s="1">
        <f t="shared" si="22"/>
        <v>7525.1262658472615</v>
      </c>
      <c r="AT116" s="1">
        <f t="shared" si="23"/>
        <v>-8535.5339059329926</v>
      </c>
      <c r="AU116" s="1">
        <f t="shared" si="24"/>
        <v>-18535.533905932483</v>
      </c>
      <c r="AW116" s="1">
        <v>106</v>
      </c>
      <c r="AX116" s="1">
        <f t="shared" si="34"/>
        <v>53</v>
      </c>
      <c r="AZ116" s="1">
        <f t="shared" si="35"/>
        <v>41696.165858058484</v>
      </c>
      <c r="BA116" s="1">
        <f t="shared" si="36"/>
        <v>3378.6501475908226</v>
      </c>
      <c r="BC116" s="1">
        <f t="shared" si="37"/>
        <v>3200.9532554773409</v>
      </c>
      <c r="BD116" s="1">
        <f t="shared" si="38"/>
        <v>-3096.0471064624489</v>
      </c>
      <c r="BF116" s="1">
        <f t="shared" si="25"/>
        <v>-1025.3308720165724</v>
      </c>
      <c r="BG116" s="1">
        <f t="shared" si="26"/>
        <v>84.516704387782539</v>
      </c>
      <c r="BJ116" s="1">
        <f t="shared" si="27"/>
        <v>-797.32971531147712</v>
      </c>
      <c r="BK116" s="1">
        <f t="shared" si="28"/>
        <v>151.45877506738728</v>
      </c>
      <c r="BO116" s="1">
        <f t="shared" si="29"/>
        <v>-45.506953987369613</v>
      </c>
      <c r="BP116" s="1">
        <f t="shared" si="30"/>
        <v>4.8838928461306352</v>
      </c>
      <c r="BT116" s="1">
        <f t="shared" si="31"/>
        <v>-182.4942027177257</v>
      </c>
      <c r="BU116" s="1">
        <f t="shared" si="32"/>
        <v>-71.825963525735375</v>
      </c>
    </row>
    <row r="117" spans="37:73">
      <c r="AK117">
        <v>107</v>
      </c>
      <c r="AL117" s="1">
        <f t="shared" si="39"/>
        <v>42.018801741763411</v>
      </c>
      <c r="AN117" s="1">
        <f t="shared" si="33"/>
        <v>18086.582838174214</v>
      </c>
      <c r="AO117" s="1">
        <f t="shared" si="20"/>
        <v>2880.6023374437063</v>
      </c>
      <c r="AQ117" s="1">
        <f t="shared" si="21"/>
        <v>-21339.392013278051</v>
      </c>
      <c r="AR117" s="1">
        <f t="shared" si="22"/>
        <v>6766.4216362105944</v>
      </c>
      <c r="AT117" s="1">
        <f t="shared" si="23"/>
        <v>-6913.4171618257869</v>
      </c>
      <c r="AU117" s="1">
        <f t="shared" si="24"/>
        <v>-19619.397662556294</v>
      </c>
      <c r="AW117" s="1">
        <v>107</v>
      </c>
      <c r="AX117" s="1">
        <f t="shared" si="34"/>
        <v>53.5</v>
      </c>
      <c r="AZ117" s="1">
        <f t="shared" si="35"/>
        <v>43168.476126795089</v>
      </c>
      <c r="BA117" s="1">
        <f t="shared" si="36"/>
        <v>1841.191182408071</v>
      </c>
      <c r="BC117" s="1">
        <f t="shared" si="37"/>
        <v>2688.2878194690547</v>
      </c>
      <c r="BD117" s="1">
        <f t="shared" si="38"/>
        <v>-3053.7887542685576</v>
      </c>
      <c r="BF117" s="1">
        <f t="shared" si="25"/>
        <v>-923.88588400910533</v>
      </c>
      <c r="BG117" s="1">
        <f t="shared" si="26"/>
        <v>114.1584735094155</v>
      </c>
      <c r="BJ117" s="1">
        <f t="shared" si="27"/>
        <v>-701.37664853938725</v>
      </c>
      <c r="BK117" s="1">
        <f t="shared" si="28"/>
        <v>171.30847715174215</v>
      </c>
      <c r="BO117" s="1">
        <f t="shared" si="29"/>
        <v>-43.121402840693804</v>
      </c>
      <c r="BP117" s="1">
        <f t="shared" si="30"/>
        <v>5.5695388474687295</v>
      </c>
      <c r="BT117" s="1">
        <f t="shared" si="31"/>
        <v>-179.3878326290243</v>
      </c>
      <c r="BU117" s="1">
        <f t="shared" si="32"/>
        <v>-62.71954248979538</v>
      </c>
    </row>
    <row r="118" spans="37:73">
      <c r="AK118" s="1">
        <v>108</v>
      </c>
      <c r="AL118" s="1">
        <f t="shared" si="39"/>
        <v>42.411500823462134</v>
      </c>
      <c r="AN118" s="1">
        <f t="shared" si="33"/>
        <v>19999.999999999629</v>
      </c>
      <c r="AO118" s="1">
        <f t="shared" si="20"/>
        <v>2500</v>
      </c>
      <c r="AQ118" s="1">
        <f t="shared" si="21"/>
        <v>-20000.000000000262</v>
      </c>
      <c r="AR118" s="1">
        <f t="shared" si="22"/>
        <v>6500</v>
      </c>
      <c r="AT118" s="1">
        <f t="shared" si="23"/>
        <v>-5000.000000000372</v>
      </c>
      <c r="AU118" s="1">
        <f t="shared" si="24"/>
        <v>-20000</v>
      </c>
      <c r="AW118" s="1">
        <v>108</v>
      </c>
      <c r="AX118" s="1">
        <f t="shared" si="34"/>
        <v>54</v>
      </c>
      <c r="AZ118" s="1">
        <f t="shared" si="35"/>
        <v>44397.134301028476</v>
      </c>
      <c r="BA118" s="1">
        <f t="shared" si="36"/>
        <v>328.56661446246915</v>
      </c>
      <c r="BC118" s="1">
        <f t="shared" si="37"/>
        <v>2226.3448774645021</v>
      </c>
      <c r="BD118" s="1">
        <f t="shared" si="38"/>
        <v>-2996.7095175138497</v>
      </c>
      <c r="BF118" s="1">
        <f t="shared" si="25"/>
        <v>-844.22102722986244</v>
      </c>
      <c r="BG118" s="1">
        <f t="shared" si="26"/>
        <v>135.32684584214695</v>
      </c>
      <c r="BJ118" s="1">
        <f t="shared" si="27"/>
        <v>-626.12661883837768</v>
      </c>
      <c r="BK118" s="1">
        <f t="shared" si="28"/>
        <v>184.04724434057755</v>
      </c>
      <c r="BO118" s="1">
        <f t="shared" si="29"/>
        <v>-41.166609017039583</v>
      </c>
      <c r="BP118" s="1">
        <f t="shared" si="30"/>
        <v>6.1825750654623217</v>
      </c>
      <c r="BT118" s="1">
        <f t="shared" si="31"/>
        <v>-176.92779937444519</v>
      </c>
      <c r="BU118" s="1">
        <f t="shared" si="32"/>
        <v>-54.9029735638929</v>
      </c>
    </row>
    <row r="119" spans="37:73">
      <c r="AK119" s="1">
        <v>109</v>
      </c>
      <c r="AL119" s="1">
        <f t="shared" si="39"/>
        <v>42.804199905160857</v>
      </c>
      <c r="AN119" s="1">
        <f t="shared" si="33"/>
        <v>21913.417161825098</v>
      </c>
      <c r="AO119" s="1">
        <f t="shared" si="20"/>
        <v>2880.6023374434208</v>
      </c>
      <c r="AQ119" s="1">
        <f t="shared" si="21"/>
        <v>-18660.607986722433</v>
      </c>
      <c r="AR119" s="1">
        <f t="shared" si="22"/>
        <v>6766.4216362103944</v>
      </c>
      <c r="AT119" s="1">
        <f t="shared" si="23"/>
        <v>-3086.5828381749016</v>
      </c>
      <c r="AU119" s="1">
        <f t="shared" si="24"/>
        <v>-19619.397662556577</v>
      </c>
      <c r="AW119" s="1">
        <v>109</v>
      </c>
      <c r="AX119" s="1">
        <f t="shared" si="34"/>
        <v>54.5</v>
      </c>
      <c r="AZ119" s="1">
        <f t="shared" si="35"/>
        <v>45404.779111356998</v>
      </c>
      <c r="BA119" s="1">
        <f t="shared" si="36"/>
        <v>-1152.8722885641876</v>
      </c>
      <c r="BC119" s="1">
        <f t="shared" si="37"/>
        <v>1804.2343638495709</v>
      </c>
      <c r="BD119" s="1">
        <f t="shared" si="38"/>
        <v>-2929.0460945927762</v>
      </c>
      <c r="BF119" s="1">
        <f t="shared" si="25"/>
        <v>-780.84269542513584</v>
      </c>
      <c r="BG119" s="1">
        <f t="shared" si="26"/>
        <v>151.49648306016792</v>
      </c>
      <c r="BJ119" s="1">
        <f t="shared" si="27"/>
        <v>-566.2064753290731</v>
      </c>
      <c r="BK119" s="1">
        <f t="shared" si="28"/>
        <v>192.85002630825241</v>
      </c>
      <c r="BO119" s="1">
        <f t="shared" si="29"/>
        <v>-39.55402705576369</v>
      </c>
      <c r="BP119" s="1">
        <f t="shared" si="30"/>
        <v>6.7447825410474405</v>
      </c>
      <c r="BT119" s="1">
        <f t="shared" si="31"/>
        <v>-175.08219304029913</v>
      </c>
      <c r="BU119" s="1">
        <f t="shared" si="32"/>
        <v>-48.09832578913192</v>
      </c>
    </row>
    <row r="120" spans="37:73">
      <c r="AK120" s="1">
        <v>110</v>
      </c>
      <c r="AL120" s="1">
        <f t="shared" si="39"/>
        <v>43.19689898685958</v>
      </c>
      <c r="AN120" s="1">
        <f t="shared" si="33"/>
        <v>23535.533905932465</v>
      </c>
      <c r="AO120" s="1">
        <f t="shared" si="20"/>
        <v>3964.4660940669896</v>
      </c>
      <c r="AQ120" s="1">
        <f t="shared" si="21"/>
        <v>-17525.126265847273</v>
      </c>
      <c r="AR120" s="1">
        <f t="shared" si="22"/>
        <v>7525.1262658468931</v>
      </c>
      <c r="AT120" s="1">
        <f t="shared" si="23"/>
        <v>-1464.4660940675353</v>
      </c>
      <c r="AU120" s="1">
        <f t="shared" si="24"/>
        <v>-18535.533905933011</v>
      </c>
      <c r="AW120" s="1">
        <v>110</v>
      </c>
      <c r="AX120" s="1">
        <f t="shared" si="34"/>
        <v>55</v>
      </c>
      <c r="AZ120" s="1">
        <f t="shared" si="35"/>
        <v>46209.290956353638</v>
      </c>
      <c r="BA120" s="1">
        <f t="shared" si="36"/>
        <v>-2598.4582754780549</v>
      </c>
      <c r="BC120" s="1">
        <f t="shared" si="37"/>
        <v>1413.8130161370029</v>
      </c>
      <c r="BD120" s="1">
        <f t="shared" si="38"/>
        <v>-2853.2978530626924</v>
      </c>
      <c r="BF120" s="1">
        <f t="shared" si="25"/>
        <v>-729.85877141867763</v>
      </c>
      <c r="BG120" s="1">
        <f t="shared" si="26"/>
        <v>164.6884631745985</v>
      </c>
      <c r="BJ120" s="1">
        <f t="shared" si="27"/>
        <v>-517.80982956876699</v>
      </c>
      <c r="BK120" s="1">
        <f t="shared" si="28"/>
        <v>199.5124922395112</v>
      </c>
      <c r="BO120" s="1">
        <f t="shared" si="29"/>
        <v>-38.220398460072687</v>
      </c>
      <c r="BP120" s="1">
        <f t="shared" si="30"/>
        <v>7.2726665444702743</v>
      </c>
      <c r="BT120" s="1">
        <f t="shared" si="31"/>
        <v>-173.82854338983788</v>
      </c>
      <c r="BU120" s="1">
        <f t="shared" si="32"/>
        <v>-42.096695609382984</v>
      </c>
    </row>
    <row r="121" spans="37:73">
      <c r="AK121" s="1">
        <v>111</v>
      </c>
      <c r="AL121" s="1">
        <f t="shared" si="39"/>
        <v>43.589598068558303</v>
      </c>
      <c r="AN121" s="1">
        <f t="shared" si="33"/>
        <v>24619.397662556283</v>
      </c>
      <c r="AO121" s="1">
        <f t="shared" si="20"/>
        <v>5586.5828381741885</v>
      </c>
      <c r="AQ121" s="1">
        <f t="shared" si="21"/>
        <v>-16766.421636210602</v>
      </c>
      <c r="AR121" s="1">
        <f t="shared" si="22"/>
        <v>8660.6079867219323</v>
      </c>
      <c r="AT121" s="1">
        <f t="shared" si="23"/>
        <v>-380.60233744371635</v>
      </c>
      <c r="AU121" s="1">
        <f t="shared" si="24"/>
        <v>-16913.417161825811</v>
      </c>
      <c r="AW121" s="1">
        <v>111</v>
      </c>
      <c r="AX121" s="1">
        <f t="shared" si="34"/>
        <v>55.5</v>
      </c>
      <c r="AZ121" s="1">
        <f t="shared" si="35"/>
        <v>46824.965117994805</v>
      </c>
      <c r="BA121" s="1">
        <f t="shared" si="36"/>
        <v>-4004.5211441125762</v>
      </c>
      <c r="BC121" s="1">
        <f t="shared" si="37"/>
        <v>1048.8836304276642</v>
      </c>
      <c r="BD121" s="1">
        <f t="shared" si="38"/>
        <v>-2770.953621475393</v>
      </c>
      <c r="BF121" s="1">
        <f t="shared" si="25"/>
        <v>-688.493729368598</v>
      </c>
      <c r="BG121" s="1">
        <f t="shared" si="26"/>
        <v>176.13820568408178</v>
      </c>
      <c r="BJ121" s="1">
        <f t="shared" si="27"/>
        <v>-478.22070848083041</v>
      </c>
      <c r="BK121" s="1">
        <f t="shared" si="28"/>
        <v>205.09626864638651</v>
      </c>
      <c r="BO121" s="1">
        <f t="shared" si="29"/>
        <v>-37.119571671015741</v>
      </c>
      <c r="BP121" s="1">
        <f t="shared" si="30"/>
        <v>7.7791559697673165</v>
      </c>
      <c r="BT121" s="1">
        <f t="shared" si="31"/>
        <v>-173.15344921675188</v>
      </c>
      <c r="BU121" s="1">
        <f t="shared" si="32"/>
        <v>-36.737218932072047</v>
      </c>
    </row>
    <row r="122" spans="37:73">
      <c r="AK122">
        <v>112</v>
      </c>
      <c r="AL122" s="1">
        <f>14*PI()</f>
        <v>43.982297150257104</v>
      </c>
      <c r="AN122" s="1">
        <f t="shared" si="33"/>
        <v>25000</v>
      </c>
      <c r="AO122" s="1">
        <f t="shared" si="20"/>
        <v>7499.9999999999918</v>
      </c>
      <c r="AQ122" s="1">
        <f t="shared" si="21"/>
        <v>-16500</v>
      </c>
      <c r="AR122" s="1">
        <f t="shared" si="22"/>
        <v>9999.9999999999945</v>
      </c>
      <c r="AT122" s="1">
        <f t="shared" si="23"/>
        <v>0</v>
      </c>
      <c r="AU122" s="1">
        <f t="shared" si="24"/>
        <v>-15000.000000000009</v>
      </c>
      <c r="AW122" s="1">
        <v>112</v>
      </c>
      <c r="AX122" s="1">
        <f t="shared" si="34"/>
        <v>56</v>
      </c>
      <c r="AZ122" s="1">
        <f t="shared" si="35"/>
        <v>47263.34521703756</v>
      </c>
      <c r="BA122" s="1">
        <f t="shared" si="36"/>
        <v>-5367.9806791397623</v>
      </c>
      <c r="BC122" s="1">
        <f t="shared" si="37"/>
        <v>704.63676574336523</v>
      </c>
      <c r="BD122" s="1">
        <f t="shared" si="38"/>
        <v>-2682.8845186333519</v>
      </c>
      <c r="BF122" s="1">
        <f t="shared" si="25"/>
        <v>-654.7432615750962</v>
      </c>
      <c r="BG122" s="1">
        <f t="shared" si="26"/>
        <v>186.63980917213249</v>
      </c>
      <c r="BJ122" s="1">
        <f t="shared" si="27"/>
        <v>-445.47340013751756</v>
      </c>
      <c r="BK122" s="1">
        <f t="shared" si="28"/>
        <v>210.25824455533007</v>
      </c>
      <c r="BO122" s="1">
        <f t="shared" si="29"/>
        <v>-36.217370602618942</v>
      </c>
      <c r="BP122" s="1">
        <f t="shared" si="30"/>
        <v>8.2747572228880237</v>
      </c>
      <c r="BT122" s="1">
        <f t="shared" si="31"/>
        <v>-173.05249083495974</v>
      </c>
      <c r="BU122" s="1">
        <f t="shared" si="32"/>
        <v>-31.893192606085595</v>
      </c>
    </row>
    <row r="123" spans="37:73">
      <c r="AW123" s="1">
        <v>113</v>
      </c>
      <c r="AX123" s="1">
        <f t="shared" si="34"/>
        <v>56.5</v>
      </c>
      <c r="AZ123" s="1">
        <f t="shared" si="35"/>
        <v>47533.82069221235</v>
      </c>
      <c r="BA123" s="1">
        <f t="shared" si="36"/>
        <v>-6686.0929623099219</v>
      </c>
      <c r="BC123" s="1">
        <f t="shared" si="37"/>
        <v>377.26513495581713</v>
      </c>
      <c r="BD123" s="1">
        <f t="shared" si="38"/>
        <v>-2589.5646140472859</v>
      </c>
      <c r="BF123" s="1">
        <f t="shared" si="25"/>
        <v>-627.13960192167985</v>
      </c>
      <c r="BG123" s="1">
        <f t="shared" si="26"/>
        <v>196.73179643096128</v>
      </c>
      <c r="BJ123" s="1">
        <f t="shared" si="27"/>
        <v>-418.12091213128855</v>
      </c>
      <c r="BK123" s="1">
        <f t="shared" si="28"/>
        <v>215.42604621733227</v>
      </c>
      <c r="BO123" s="1">
        <f t="shared" si="29"/>
        <v>-35.488278344061946</v>
      </c>
      <c r="BP123" s="1">
        <f t="shared" si="30"/>
        <v>8.7683579198064336</v>
      </c>
      <c r="BT123" s="1">
        <f t="shared" si="31"/>
        <v>-173.5304114463294</v>
      </c>
      <c r="BU123" s="1">
        <f t="shared" si="32"/>
        <v>-27.462607706177405</v>
      </c>
    </row>
    <row r="124" spans="37:73">
      <c r="AW124" s="1">
        <v>114</v>
      </c>
      <c r="AX124" s="1">
        <f t="shared" si="34"/>
        <v>57</v>
      </c>
      <c r="AZ124" s="1">
        <f t="shared" si="35"/>
        <v>47644.060809450049</v>
      </c>
      <c r="BA124" s="1">
        <f t="shared" si="36"/>
        <v>-7956.2837947796943</v>
      </c>
      <c r="BC124" s="1">
        <f t="shared" si="37"/>
        <v>63.695333994977204</v>
      </c>
      <c r="BD124" s="1">
        <f t="shared" si="38"/>
        <v>-2491.1987158318052</v>
      </c>
      <c r="BF124" s="1">
        <f t="shared" si="25"/>
        <v>-604.59348659633929</v>
      </c>
      <c r="BG124" s="1">
        <f t="shared" si="26"/>
        <v>206.80177891759877</v>
      </c>
      <c r="BJ124" s="1">
        <f t="shared" si="27"/>
        <v>-395.0786528082844</v>
      </c>
      <c r="BK124" s="1">
        <f t="shared" si="28"/>
        <v>220.89546905411981</v>
      </c>
      <c r="BO124" s="1">
        <f t="shared" si="29"/>
        <v>-34.913242012225034</v>
      </c>
      <c r="BP124" s="1">
        <f t="shared" si="30"/>
        <v>9.2678067263483506</v>
      </c>
      <c r="BT124" s="1">
        <f t="shared" si="31"/>
        <v>-174.60159177582989</v>
      </c>
      <c r="BU124" s="1">
        <f t="shared" si="32"/>
        <v>-23.361496862869402</v>
      </c>
    </row>
    <row r="125" spans="37:73">
      <c r="AW125" s="1">
        <v>115</v>
      </c>
      <c r="AX125" s="1">
        <f t="shared" si="34"/>
        <v>57.5</v>
      </c>
      <c r="AZ125" s="1">
        <f t="shared" si="35"/>
        <v>47600.334290622995</v>
      </c>
      <c r="BA125" s="1">
        <f t="shared" si="36"/>
        <v>-9176.0329303308972</v>
      </c>
      <c r="BC125" s="1">
        <f t="shared" si="37"/>
        <v>-238.60140930319244</v>
      </c>
      <c r="BD125" s="1">
        <f t="shared" si="38"/>
        <v>-2387.7978263730056</v>
      </c>
      <c r="BF125" s="1">
        <f t="shared" si="25"/>
        <v>-586.28711572889142</v>
      </c>
      <c r="BG125" s="1">
        <f t="shared" si="26"/>
        <v>217.1480279819136</v>
      </c>
      <c r="BJ125" s="1">
        <f t="shared" si="27"/>
        <v>-375.51805310981467</v>
      </c>
      <c r="BK125" s="1">
        <f t="shared" si="28"/>
        <v>226.8867961400212</v>
      </c>
      <c r="BO125" s="1">
        <f t="shared" si="29"/>
        <v>-34.478195508554236</v>
      </c>
      <c r="BP125" s="1">
        <f t="shared" si="30"/>
        <v>9.7803512273774835</v>
      </c>
      <c r="BT125" s="1">
        <f t="shared" si="31"/>
        <v>-176.29086711052256</v>
      </c>
      <c r="BU125" s="1">
        <f t="shared" si="32"/>
        <v>-19.519119385485087</v>
      </c>
    </row>
    <row r="126" spans="37:73">
      <c r="AW126" s="1">
        <v>116</v>
      </c>
      <c r="AX126" s="1">
        <f t="shared" si="34"/>
        <v>58</v>
      </c>
      <c r="AZ126" s="1">
        <f t="shared" si="35"/>
        <v>47407.747696505285</v>
      </c>
      <c r="BA126" s="1">
        <f t="shared" si="36"/>
        <v>-10342.788340019661</v>
      </c>
      <c r="BC126" s="1">
        <f t="shared" si="37"/>
        <v>-531.74496716763815</v>
      </c>
      <c r="BD126" s="1">
        <f t="shared" si="38"/>
        <v>-2279.2238123820489</v>
      </c>
      <c r="BF126" s="1">
        <f t="shared" si="25"/>
        <v>-571.60079395654589</v>
      </c>
      <c r="BG126" s="1">
        <f t="shared" si="26"/>
        <v>228.01735747655232</v>
      </c>
      <c r="BJ126" s="1">
        <f t="shared" si="27"/>
        <v>-358.79297466080567</v>
      </c>
      <c r="BK126" s="1">
        <f t="shared" si="28"/>
        <v>233.57873750330398</v>
      </c>
      <c r="BO126" s="1">
        <f t="shared" si="29"/>
        <v>-34.173059194422962</v>
      </c>
      <c r="BP126" s="1">
        <f t="shared" si="30"/>
        <v>10.312988252523235</v>
      </c>
      <c r="BT126" s="1">
        <f t="shared" si="31"/>
        <v>-178.63476010131731</v>
      </c>
      <c r="BU126" s="1">
        <f t="shared" si="32"/>
        <v>-15.874368279274901</v>
      </c>
    </row>
    <row r="127" spans="37:73">
      <c r="AW127" s="1">
        <v>117</v>
      </c>
      <c r="AX127" s="1">
        <f t="shared" si="34"/>
        <v>58.5</v>
      </c>
      <c r="AZ127" s="1">
        <f t="shared" si="35"/>
        <v>47070.425113676894</v>
      </c>
      <c r="BA127" s="1">
        <f t="shared" si="36"/>
        <v>-11453.898076526117</v>
      </c>
      <c r="BC127" s="1">
        <f t="shared" si="37"/>
        <v>-817.54536414591109</v>
      </c>
      <c r="BD127" s="1">
        <f t="shared" si="38"/>
        <v>-2165.2151336437728</v>
      </c>
      <c r="BF127" s="1">
        <f t="shared" si="25"/>
        <v>-560.061919112802</v>
      </c>
      <c r="BG127" s="1">
        <f t="shared" si="26"/>
        <v>239.62962508985743</v>
      </c>
      <c r="BJ127" s="1">
        <f t="shared" si="27"/>
        <v>-344.38761627656913</v>
      </c>
      <c r="BK127" s="1">
        <f t="shared" si="28"/>
        <v>241.12985851950918</v>
      </c>
      <c r="BO127" s="1">
        <f t="shared" si="29"/>
        <v>-33.991069422666911</v>
      </c>
      <c r="BP127" s="1">
        <f t="shared" si="30"/>
        <v>10.87276452579564</v>
      </c>
      <c r="BT127" s="1">
        <f t="shared" si="31"/>
        <v>-181.68323341356597</v>
      </c>
      <c r="BU127" s="1">
        <f t="shared" si="32"/>
        <v>-12.372997955447394</v>
      </c>
    </row>
    <row r="128" spans="37:73">
      <c r="AW128" s="1">
        <v>118</v>
      </c>
      <c r="AX128" s="1">
        <f t="shared" si="34"/>
        <v>59</v>
      </c>
      <c r="AZ128" s="1">
        <f t="shared" si="35"/>
        <v>46591.644691714835</v>
      </c>
      <c r="BA128" s="1">
        <f t="shared" si="36"/>
        <v>-12506.55194021177</v>
      </c>
      <c r="BC128" s="1">
        <f t="shared" si="37"/>
        <v>-1097.576323702312</v>
      </c>
      <c r="BD128" s="1">
        <f t="shared" si="38"/>
        <v>-2045.400321098844</v>
      </c>
      <c r="BF128" s="1">
        <f t="shared" si="25"/>
        <v>-551.3089442384528</v>
      </c>
      <c r="BG128" s="1">
        <f t="shared" si="26"/>
        <v>252.19452784010991</v>
      </c>
      <c r="BJ128" s="1">
        <f t="shared" si="27"/>
        <v>-331.87848787352789</v>
      </c>
      <c r="BK128" s="1">
        <f t="shared" si="28"/>
        <v>249.69287467763982</v>
      </c>
      <c r="BO128" s="1">
        <f t="shared" si="29"/>
        <v>-33.928347423746679</v>
      </c>
      <c r="BP128" s="1">
        <f t="shared" si="30"/>
        <v>11.467055920802498</v>
      </c>
      <c r="BT128" s="1">
        <f t="shared" si="31"/>
        <v>-185.50210894117825</v>
      </c>
      <c r="BU128" s="1">
        <f t="shared" si="32"/>
        <v>-8.9654027583324112</v>
      </c>
    </row>
    <row r="129" spans="49:73">
      <c r="AW129" s="1">
        <v>119</v>
      </c>
      <c r="AX129" s="1">
        <f t="shared" si="34"/>
        <v>59.5</v>
      </c>
      <c r="AZ129" s="1">
        <f t="shared" si="35"/>
        <v>45973.942911833874</v>
      </c>
      <c r="BA129" s="1">
        <f t="shared" si="36"/>
        <v>-13497.727784781178</v>
      </c>
      <c r="BC129" s="1">
        <f t="shared" si="37"/>
        <v>-1373.2307958215383</v>
      </c>
      <c r="BD129" s="1">
        <f t="shared" si="38"/>
        <v>-1919.303057178789</v>
      </c>
      <c r="BF129" s="1">
        <f t="shared" si="25"/>
        <v>-545.06547733143202</v>
      </c>
      <c r="BG129" s="1">
        <f t="shared" si="26"/>
        <v>265.92391362585926</v>
      </c>
      <c r="BJ129" s="1">
        <f t="shared" si="27"/>
        <v>-320.90546345548182</v>
      </c>
      <c r="BK129" s="1">
        <f t="shared" si="28"/>
        <v>259.4248239152497</v>
      </c>
      <c r="BO129" s="1">
        <f t="shared" si="29"/>
        <v>-33.98365274292734</v>
      </c>
      <c r="BP129" s="1">
        <f t="shared" si="30"/>
        <v>12.103848671785288</v>
      </c>
      <c r="BT129" s="1">
        <f t="shared" si="31"/>
        <v>-190.17636113302291</v>
      </c>
      <c r="BU129" s="1">
        <f t="shared" si="32"/>
        <v>-5.6047589611757296</v>
      </c>
    </row>
    <row r="130" spans="49:73">
      <c r="AW130" s="1">
        <v>120</v>
      </c>
      <c r="AX130" s="1">
        <f t="shared" si="34"/>
        <v>60</v>
      </c>
      <c r="AZ130" s="1">
        <f t="shared" si="35"/>
        <v>45219.194329256672</v>
      </c>
      <c r="BA130" s="1">
        <f t="shared" si="36"/>
        <v>-14424.138824167341</v>
      </c>
      <c r="BC130" s="1">
        <f t="shared" si="37"/>
        <v>-1645.7635344872542</v>
      </c>
      <c r="BD130" s="1">
        <f t="shared" si="38"/>
        <v>-1786.3411003658593</v>
      </c>
      <c r="BF130" s="1">
        <f t="shared" si="25"/>
        <v>-541.12130405684331</v>
      </c>
      <c r="BG130" s="1">
        <f t="shared" si="26"/>
        <v>281.0414684822058</v>
      </c>
      <c r="BJ130" s="1">
        <f t="shared" si="27"/>
        <v>-311.14843353881201</v>
      </c>
      <c r="BK130" s="1">
        <f t="shared" si="28"/>
        <v>270.49482084022571</v>
      </c>
      <c r="BO130" s="1">
        <f t="shared" si="29"/>
        <v>-34.158290421756533</v>
      </c>
      <c r="BP130" s="1">
        <f t="shared" si="30"/>
        <v>12.792044364199613</v>
      </c>
      <c r="BT130" s="1">
        <f t="shared" si="31"/>
        <v>-195.81458009627474</v>
      </c>
      <c r="BU130" s="1">
        <f t="shared" si="32"/>
        <v>-2.2453967222195415</v>
      </c>
    </row>
    <row r="131" spans="49:73">
      <c r="AW131" s="1">
        <v>121</v>
      </c>
      <c r="AX131" s="1">
        <f t="shared" si="34"/>
        <v>60.5</v>
      </c>
      <c r="AZ131" s="1">
        <f t="shared" si="35"/>
        <v>44328.67239900594</v>
      </c>
      <c r="BA131" s="1">
        <f t="shared" si="36"/>
        <v>-15282.179190789995</v>
      </c>
      <c r="BC131" s="1">
        <f t="shared" si="37"/>
        <v>-1916.3241865156758</v>
      </c>
      <c r="BD131" s="1">
        <f t="shared" si="38"/>
        <v>-1645.8203661247564</v>
      </c>
      <c r="BF131" s="1">
        <f t="shared" si="25"/>
        <v>-539.31816074135054</v>
      </c>
      <c r="BG131" s="1">
        <f t="shared" si="26"/>
        <v>297.79082386103585</v>
      </c>
      <c r="BJ131" s="1">
        <f t="shared" si="27"/>
        <v>-302.30697241824544</v>
      </c>
      <c r="BK131" s="1">
        <f t="shared" si="28"/>
        <v>283.09031842358502</v>
      </c>
      <c r="BO131" s="1">
        <f t="shared" si="29"/>
        <v>-34.456158794883812</v>
      </c>
      <c r="BP131" s="1">
        <f t="shared" si="30"/>
        <v>13.541811891831124</v>
      </c>
      <c r="BT131" s="1">
        <f t="shared" si="31"/>
        <v>-202.55502952822133</v>
      </c>
      <c r="BU131" s="1">
        <f t="shared" si="32"/>
        <v>1.1586935456197049</v>
      </c>
    </row>
    <row r="132" spans="49:73">
      <c r="AW132" s="1">
        <v>122</v>
      </c>
      <c r="AX132" s="1">
        <f t="shared" si="34"/>
        <v>61</v>
      </c>
      <c r="AZ132" s="1">
        <f t="shared" si="35"/>
        <v>43303.095535655433</v>
      </c>
      <c r="BA132" s="1">
        <f t="shared" si="36"/>
        <v>-16067.865520869744</v>
      </c>
      <c r="BC132" s="1">
        <f t="shared" si="37"/>
        <v>-2185.983266886351</v>
      </c>
      <c r="BD132" s="1">
        <f t="shared" si="38"/>
        <v>-1496.9249541942386</v>
      </c>
      <c r="BF132" s="1">
        <f t="shared" si="25"/>
        <v>-539.5387721578079</v>
      </c>
      <c r="BG132" s="1">
        <f t="shared" si="26"/>
        <v>316.4425631700858</v>
      </c>
      <c r="BJ132" s="1">
        <f t="shared" si="27"/>
        <v>-294.08091527312376</v>
      </c>
      <c r="BK132" s="1">
        <f t="shared" si="28"/>
        <v>297.42226532979498</v>
      </c>
      <c r="BO132" s="1">
        <f t="shared" si="29"/>
        <v>-34.883939588148849</v>
      </c>
      <c r="BP132" s="1">
        <f t="shared" si="30"/>
        <v>14.365013880084549</v>
      </c>
      <c r="BT132" s="1">
        <f t="shared" si="31"/>
        <v>-210.57391729653534</v>
      </c>
      <c r="BU132" s="1">
        <f t="shared" si="32"/>
        <v>4.6552839602062539</v>
      </c>
    </row>
    <row r="133" spans="49:73">
      <c r="AW133" s="1">
        <v>123</v>
      </c>
      <c r="AX133" s="1">
        <f t="shared" si="34"/>
        <v>61.5</v>
      </c>
      <c r="AZ133" s="1">
        <f t="shared" si="35"/>
        <v>42142.661555692532</v>
      </c>
      <c r="BA133" s="1">
        <f t="shared" si="36"/>
        <v>-16776.772677570603</v>
      </c>
      <c r="BC133" s="1">
        <f t="shared" si="37"/>
        <v>-2455.752652965255</v>
      </c>
      <c r="BD133" s="1">
        <f t="shared" si="38"/>
        <v>-1338.7036726091956</v>
      </c>
      <c r="BF133" s="1">
        <f t="shared" si="25"/>
        <v>-541.69815679569979</v>
      </c>
      <c r="BG133" s="1">
        <f t="shared" si="26"/>
        <v>337.30010078145921</v>
      </c>
      <c r="BJ133" s="1">
        <f t="shared" si="27"/>
        <v>-286.14992211668317</v>
      </c>
      <c r="BK133" s="1">
        <f t="shared" si="28"/>
        <v>313.7290697172462</v>
      </c>
      <c r="BO133" s="1">
        <f t="shared" si="29"/>
        <v>-35.451446527942416</v>
      </c>
      <c r="BP133" s="1">
        <f t="shared" si="30"/>
        <v>15.275742959915213</v>
      </c>
      <c r="BT133" s="1">
        <f t="shared" si="31"/>
        <v>-220.09678815107421</v>
      </c>
      <c r="BU133" s="1">
        <f t="shared" si="32"/>
        <v>8.2952881042978088</v>
      </c>
    </row>
    <row r="134" spans="49:73">
      <c r="AW134" s="1">
        <v>124</v>
      </c>
      <c r="AX134" s="1">
        <f t="shared" si="34"/>
        <v>62</v>
      </c>
      <c r="AZ134" s="1">
        <f t="shared" si="35"/>
        <v>40847.072959610443</v>
      </c>
      <c r="BA134" s="1">
        <f t="shared" si="36"/>
        <v>-17403.962001277519</v>
      </c>
      <c r="BC134" s="1">
        <f t="shared" si="37"/>
        <v>-2726.601731363105</v>
      </c>
      <c r="BD134" s="1">
        <f t="shared" si="38"/>
        <v>-1170.053622218466</v>
      </c>
      <c r="BF134" s="1">
        <f t="shared" si="25"/>
        <v>-545.73662321246286</v>
      </c>
      <c r="BG134" s="1">
        <f t="shared" si="26"/>
        <v>360.70379461433737</v>
      </c>
      <c r="BJ134" s="1">
        <f t="shared" si="27"/>
        <v>-278.15006143638374</v>
      </c>
      <c r="BK134" s="1">
        <f t="shared" si="28"/>
        <v>332.27871241614099</v>
      </c>
      <c r="BO134" s="1">
        <f t="shared" si="29"/>
        <v>-36.172165267573355</v>
      </c>
      <c r="BP134" s="1">
        <f t="shared" si="30"/>
        <v>16.291016055192951</v>
      </c>
      <c r="BT134" s="1">
        <f t="shared" si="31"/>
        <v>-231.4143965085058</v>
      </c>
      <c r="BU134" s="1">
        <f t="shared" si="32"/>
        <v>12.134066143003427</v>
      </c>
    </row>
    <row r="135" spans="49:73">
      <c r="AW135" s="1">
        <v>125</v>
      </c>
      <c r="AX135" s="1">
        <f t="shared" si="34"/>
        <v>62.5</v>
      </c>
      <c r="AZ135" s="1">
        <f t="shared" si="35"/>
        <v>39415.555016027334</v>
      </c>
      <c r="BA135" s="1">
        <f t="shared" si="36"/>
        <v>-17943.900838059963</v>
      </c>
      <c r="BC135" s="1">
        <f t="shared" si="37"/>
        <v>-2999.4700429693366</v>
      </c>
      <c r="BD135" s="1">
        <f t="shared" si="38"/>
        <v>-989.70172491129733</v>
      </c>
      <c r="BF135" s="1">
        <f t="shared" si="25"/>
        <v>-551.6143901282054</v>
      </c>
      <c r="BG135" s="1">
        <f t="shared" si="26"/>
        <v>387.03173708785232</v>
      </c>
      <c r="BJ135" s="1">
        <f t="shared" si="27"/>
        <v>-269.6452329821168</v>
      </c>
      <c r="BK135" s="1">
        <f t="shared" si="28"/>
        <v>353.36752226701816</v>
      </c>
      <c r="BO135" s="1">
        <f t="shared" si="29"/>
        <v>-37.064038816357154</v>
      </c>
      <c r="BP135" s="1">
        <f t="shared" si="30"/>
        <v>17.431694866149211</v>
      </c>
      <c r="BT135" s="1">
        <f t="shared" si="31"/>
        <v>-244.90511832973144</v>
      </c>
      <c r="BU135" s="1">
        <f t="shared" si="32"/>
        <v>16.232519954684946</v>
      </c>
    </row>
    <row r="136" spans="49:73">
      <c r="AW136" s="1">
        <v>126</v>
      </c>
      <c r="AX136" s="1">
        <f t="shared" si="34"/>
        <v>63</v>
      </c>
      <c r="AZ136" s="1">
        <f t="shared" si="35"/>
        <v>37846.868195776638</v>
      </c>
      <c r="BA136" s="1">
        <f t="shared" si="36"/>
        <v>-18390.372733379631</v>
      </c>
      <c r="BC136" s="1">
        <f t="shared" si="37"/>
        <v>-3275.2772380334395</v>
      </c>
      <c r="BD136" s="1">
        <f t="shared" si="38"/>
        <v>-796.18585636737112</v>
      </c>
      <c r="BF136" s="1">
        <f t="shared" si="25"/>
        <v>-559.30861059801418</v>
      </c>
      <c r="BG136" s="1">
        <f t="shared" si="26"/>
        <v>416.69415465425084</v>
      </c>
      <c r="BJ136" s="1">
        <f t="shared" si="27"/>
        <v>-260.09095238426909</v>
      </c>
      <c r="BK136" s="1">
        <f t="shared" si="28"/>
        <v>377.31279392772956</v>
      </c>
      <c r="BO136" s="1">
        <f t="shared" si="29"/>
        <v>-38.15058250990414</v>
      </c>
      <c r="BP136" s="1">
        <f t="shared" si="30"/>
        <v>18.723732005440002</v>
      </c>
      <c r="BT136" s="1">
        <f t="shared" si="31"/>
        <v>-261.06707570384094</v>
      </c>
      <c r="BU136" s="1">
        <f t="shared" si="32"/>
        <v>20.657628721081249</v>
      </c>
    </row>
    <row r="137" spans="49:73">
      <c r="AW137" s="1">
        <v>127</v>
      </c>
      <c r="AX137" s="1">
        <f t="shared" si="34"/>
        <v>63.5</v>
      </c>
      <c r="AZ137" s="1">
        <f t="shared" si="35"/>
        <v>36139.316000435167</v>
      </c>
      <c r="BA137" s="1">
        <f t="shared" si="36"/>
        <v>-18736.378892231536</v>
      </c>
      <c r="BC137" s="1">
        <f t="shared" si="37"/>
        <v>-3554.9315433324464</v>
      </c>
      <c r="BD137" s="1">
        <f t="shared" si="38"/>
        <v>-587.83877904024575</v>
      </c>
      <c r="BF137" s="1">
        <f t="shared" si="25"/>
        <v>-568.81524046418701</v>
      </c>
      <c r="BG137" s="1">
        <f t="shared" si="26"/>
        <v>450.11575798048739</v>
      </c>
      <c r="BJ137" s="1">
        <f t="shared" si="27"/>
        <v>-248.78783459226591</v>
      </c>
      <c r="BK137" s="1">
        <f t="shared" si="28"/>
        <v>404.43423327014102</v>
      </c>
      <c r="BO137" s="1">
        <f t="shared" si="29"/>
        <v>-39.462456433773127</v>
      </c>
      <c r="BP137" s="1">
        <f t="shared" si="30"/>
        <v>20.199891642610936</v>
      </c>
      <c r="BT137" s="1">
        <f t="shared" si="31"/>
        <v>-280.56494943814801</v>
      </c>
      <c r="BU137" s="1">
        <f t="shared" si="32"/>
        <v>25.481633067735391</v>
      </c>
    </row>
    <row r="138" spans="49:73">
      <c r="AW138" s="1">
        <v>128</v>
      </c>
      <c r="AX138" s="1">
        <f t="shared" si="34"/>
        <v>64</v>
      </c>
      <c r="AZ138" s="1">
        <f t="shared" si="35"/>
        <v>34290.748323710919</v>
      </c>
      <c r="BA138" s="1">
        <f t="shared" si="36"/>
        <v>-18974.033812004098</v>
      </c>
      <c r="BC138" s="1">
        <f t="shared" si="37"/>
        <v>-3839.3391635645398</v>
      </c>
      <c r="BD138" s="1">
        <f t="shared" si="38"/>
        <v>-362.78090005000206</v>
      </c>
      <c r="BF138" s="1">
        <f t="shared" si="25"/>
        <v>-580.1616061350453</v>
      </c>
      <c r="BG138" s="1">
        <f t="shared" si="26"/>
        <v>487.69594366448155</v>
      </c>
      <c r="BJ138" s="1">
        <f t="shared" si="27"/>
        <v>-234.8225033380302</v>
      </c>
      <c r="BK138" s="1">
        <f t="shared" si="28"/>
        <v>435.01563055839671</v>
      </c>
      <c r="BO138" s="1">
        <f t="shared" si="29"/>
        <v>-41.039689925862156</v>
      </c>
      <c r="BP138" s="1">
        <f t="shared" si="30"/>
        <v>21.902173026905455</v>
      </c>
      <c r="BT138" s="1">
        <f t="shared" si="31"/>
        <v>-304.29941287115298</v>
      </c>
      <c r="BU138" s="1">
        <f t="shared" si="32"/>
        <v>30.778140079179376</v>
      </c>
    </row>
    <row r="139" spans="49:73">
      <c r="AW139" s="1">
        <v>129</v>
      </c>
      <c r="AX139" s="1">
        <f t="shared" si="34"/>
        <v>64.5</v>
      </c>
      <c r="AZ139" s="1">
        <f t="shared" si="35"/>
        <v>32298.558541161769</v>
      </c>
      <c r="BA139" s="1">
        <f t="shared" si="36"/>
        <v>-19094.462269071042</v>
      </c>
      <c r="BC139" s="1">
        <f t="shared" si="37"/>
        <v>-4129.4199666320628</v>
      </c>
      <c r="BD139" s="1">
        <f t="shared" si="38"/>
        <v>-118.93292821776129</v>
      </c>
      <c r="BF139" s="1">
        <f t="shared" ref="BF139:BF202" si="40">BJ139 + BO139 + BT139</f>
        <v>-593.44257632567815</v>
      </c>
      <c r="BG139" s="1">
        <f t="shared" ref="BG139:BG202" si="41">BK139 + BP139 + BU139</f>
        <v>529.72920313112979</v>
      </c>
      <c r="BJ139" s="1">
        <f t="shared" ref="BJ139:BJ202" si="42">$M$22*($M$18 - AZ139)/ (SQRT(($M$18 - AZ139)^2 + ($N$18 - BA139)^2 )^2 + $M$23^2)^(3/2)</f>
        <v>-216.99568095130789</v>
      </c>
      <c r="BK139" s="1">
        <f t="shared" ref="BK139:BK202" si="43">$M$22*($N$18 - BA139)/ (SQRT(($M$18 - AZ139)^2 + ($N$18 - BA139)^2 )^2 + $M$23^2)^(3/2)</f>
        <v>469.23250641906498</v>
      </c>
      <c r="BO139" s="1">
        <f t="shared" ref="BO139:BO202" si="44">$M$30*($M$26 - AZ139)/ (SQRT(($M$26 - AZ139)^2 + ($N$26 - BA139)^2 )^2 + $M$31^2)^(3/2)</f>
        <v>-42.934856811885815</v>
      </c>
      <c r="BP139" s="1">
        <f t="shared" ref="BP139:BP202" si="45">$M$30*($N$26 - BA139)/ (SQRT(($M$26 - AZ139)^2 + ($N$26 - BA139)^2 )^2 + $M$31^2)^(3/2)</f>
        <v>23.885296390305271</v>
      </c>
      <c r="BT139" s="1">
        <f t="shared" ref="BT139:BT202" si="46">$M$38*($M$34 - AZ139)/ (SQRT(($M$34 - AZ139)^2 + ($N$34 - BA139)^2 )^2 + $M$39^2)^(3/2)</f>
        <v>-333.51203856248446</v>
      </c>
      <c r="BU139" s="1">
        <f t="shared" ref="BU139:BU202" si="47">$M$38*($N$34 - BA139)/ (SQRT(($M$34 - AZ139)^2 + ($N$34 - BA139)^2 )^2 + $M$39^2)^(3/2)</f>
        <v>36.611400321759596</v>
      </c>
    </row>
    <row r="140" spans="49:73">
      <c r="AW140" s="1">
        <v>130</v>
      </c>
      <c r="AX140" s="1">
        <f t="shared" ref="AX140:AX203" si="48">AX139+$M$5</f>
        <v>65</v>
      </c>
      <c r="AZ140" s="1">
        <f t="shared" ref="AZ140:AZ203" si="49">AZ139 + BC139 * $M$5 + 0.5 * BF139 * POWER($M$5, 2)</f>
        <v>30159.668235805028</v>
      </c>
      <c r="BA140" s="1">
        <f t="shared" ref="BA140:BA203" si="50">BA139+BD139*$M$5+0.5*BG139* POWER($M$5, 2)</f>
        <v>-19087.712582788532</v>
      </c>
      <c r="BC140" s="1">
        <f t="shared" ref="BC140:BC203" si="51">BC139 + BF139 * $M$5</f>
        <v>-4426.1412547949021</v>
      </c>
      <c r="BD140" s="1">
        <f t="shared" ref="BD140:BD203" si="52">BD139+BG139*$M$5</f>
        <v>145.93167334780361</v>
      </c>
      <c r="BF140" s="1">
        <f t="shared" si="40"/>
        <v>-608.90757528623567</v>
      </c>
      <c r="BG140" s="1">
        <f t="shared" si="41"/>
        <v>576.25553162363474</v>
      </c>
      <c r="BJ140" s="1">
        <f t="shared" si="42"/>
        <v>-193.7431489491139</v>
      </c>
      <c r="BK140" s="1">
        <f t="shared" si="43"/>
        <v>507.02316646418137</v>
      </c>
      <c r="BO140" s="1">
        <f t="shared" si="44"/>
        <v>-45.217665646180862</v>
      </c>
      <c r="BP140" s="1">
        <f t="shared" si="45"/>
        <v>26.221833362164588</v>
      </c>
      <c r="BT140" s="1">
        <f t="shared" si="46"/>
        <v>-369.94676069094089</v>
      </c>
      <c r="BU140" s="1">
        <f t="shared" si="47"/>
        <v>43.010531797288792</v>
      </c>
    </row>
    <row r="141" spans="49:73">
      <c r="AW141" s="1">
        <v>131</v>
      </c>
      <c r="AX141" s="1">
        <f t="shared" si="48"/>
        <v>65.5</v>
      </c>
      <c r="AZ141" s="1">
        <f t="shared" si="49"/>
        <v>27870.484161496799</v>
      </c>
      <c r="BA141" s="1">
        <f t="shared" si="50"/>
        <v>-18942.714804661675</v>
      </c>
      <c r="BC141" s="1">
        <f t="shared" si="51"/>
        <v>-4730.5950424380198</v>
      </c>
      <c r="BD141" s="1">
        <f t="shared" si="52"/>
        <v>434.05943915962098</v>
      </c>
      <c r="BF141" s="1">
        <f t="shared" si="40"/>
        <v>-627.15394813065075</v>
      </c>
      <c r="BG141" s="1">
        <f t="shared" si="41"/>
        <v>626.7903218000846</v>
      </c>
      <c r="BJ141" s="1">
        <f t="shared" si="42"/>
        <v>-163.06960591918397</v>
      </c>
      <c r="BK141" s="1">
        <f t="shared" si="43"/>
        <v>547.87011753664456</v>
      </c>
      <c r="BO141" s="1">
        <f t="shared" si="44"/>
        <v>-47.981697727287084</v>
      </c>
      <c r="BP141" s="1">
        <f t="shared" si="45"/>
        <v>29.009955037833716</v>
      </c>
      <c r="BT141" s="1">
        <f t="shared" si="46"/>
        <v>-416.10264448417968</v>
      </c>
      <c r="BU141" s="1">
        <f t="shared" si="47"/>
        <v>49.910249225606272</v>
      </c>
    </row>
    <row r="142" spans="49:73">
      <c r="AW142" s="1">
        <v>132</v>
      </c>
      <c r="AX142" s="1">
        <f t="shared" si="48"/>
        <v>66</v>
      </c>
      <c r="AZ142" s="1">
        <f t="shared" si="49"/>
        <v>25426.792396761459</v>
      </c>
      <c r="BA142" s="1">
        <f t="shared" si="50"/>
        <v>-18647.336294856854</v>
      </c>
      <c r="BC142" s="1">
        <f t="shared" si="51"/>
        <v>-5044.1720165033448</v>
      </c>
      <c r="BD142" s="1">
        <f t="shared" si="52"/>
        <v>747.45460005966333</v>
      </c>
      <c r="BF142" s="1">
        <f t="shared" si="40"/>
        <v>-649.53495922258367</v>
      </c>
      <c r="BG142" s="1">
        <f t="shared" si="41"/>
        <v>679.85146411556946</v>
      </c>
      <c r="BJ142" s="1">
        <f t="shared" si="42"/>
        <v>-122.54602619673318</v>
      </c>
      <c r="BK142" s="1">
        <f t="shared" si="43"/>
        <v>590.45047687405884</v>
      </c>
      <c r="BO142" s="1">
        <f t="shared" si="44"/>
        <v>-51.35446768941074</v>
      </c>
      <c r="BP142" s="1">
        <f t="shared" si="45"/>
        <v>32.385485052358476</v>
      </c>
      <c r="BT142" s="1">
        <f t="shared" si="46"/>
        <v>-475.63446533643975</v>
      </c>
      <c r="BU142" s="1">
        <f t="shared" si="47"/>
        <v>57.015502189152151</v>
      </c>
    </row>
    <row r="143" spans="49:73">
      <c r="AW143" s="1">
        <v>133</v>
      </c>
      <c r="AX143" s="1">
        <f t="shared" si="48"/>
        <v>66.5</v>
      </c>
      <c r="AZ143" s="1">
        <f t="shared" si="49"/>
        <v>22823.51451860696</v>
      </c>
      <c r="BA143" s="1">
        <f t="shared" si="50"/>
        <v>-18188.627561812576</v>
      </c>
      <c r="BC143" s="1">
        <f t="shared" si="51"/>
        <v>-5368.9394961146363</v>
      </c>
      <c r="BD143" s="1">
        <f t="shared" si="52"/>
        <v>1087.380332117448</v>
      </c>
      <c r="BF143" s="1">
        <f t="shared" si="40"/>
        <v>-678.9786327130131</v>
      </c>
      <c r="BG143" s="1">
        <f t="shared" si="41"/>
        <v>732.15194961346606</v>
      </c>
      <c r="BJ143" s="1">
        <f t="shared" si="42"/>
        <v>-69.478504596954295</v>
      </c>
      <c r="BK143" s="1">
        <f t="shared" si="43"/>
        <v>632.12263169923915</v>
      </c>
      <c r="BO143" s="1">
        <f t="shared" si="44"/>
        <v>-55.51271644664233</v>
      </c>
      <c r="BP143" s="1">
        <f t="shared" si="45"/>
        <v>36.54130928882509</v>
      </c>
      <c r="BT143" s="1">
        <f t="shared" si="46"/>
        <v>-553.98741166941647</v>
      </c>
      <c r="BU143" s="1">
        <f t="shared" si="47"/>
        <v>63.488008625401818</v>
      </c>
    </row>
    <row r="144" spans="49:73">
      <c r="AW144" s="1">
        <v>134</v>
      </c>
      <c r="AX144" s="1">
        <f t="shared" si="48"/>
        <v>67</v>
      </c>
      <c r="AZ144" s="1">
        <f t="shared" si="49"/>
        <v>20054.172441460516</v>
      </c>
      <c r="BA144" s="1">
        <f t="shared" si="50"/>
        <v>-17553.418402052168</v>
      </c>
      <c r="BC144" s="1">
        <f t="shared" si="51"/>
        <v>-5708.4288124711429</v>
      </c>
      <c r="BD144" s="1">
        <f t="shared" si="52"/>
        <v>1453.456306924181</v>
      </c>
      <c r="BF144" s="1">
        <f t="shared" si="40"/>
        <v>-721.52103761043259</v>
      </c>
      <c r="BG144" s="1">
        <f t="shared" si="41"/>
        <v>777.23934966437491</v>
      </c>
      <c r="BJ144" s="1">
        <f t="shared" si="42"/>
        <v>-1.4450049010701174</v>
      </c>
      <c r="BK144" s="1">
        <f t="shared" si="43"/>
        <v>668.27913609749339</v>
      </c>
      <c r="BO144" s="1">
        <f t="shared" si="44"/>
        <v>-60.706063382370672</v>
      </c>
      <c r="BP144" s="1">
        <f t="shared" si="45"/>
        <v>41.759933159536928</v>
      </c>
      <c r="BT144" s="1">
        <f t="shared" si="46"/>
        <v>-659.36996932699185</v>
      </c>
      <c r="BU144" s="1">
        <f t="shared" si="47"/>
        <v>67.200280407344678</v>
      </c>
    </row>
    <row r="145" spans="49:73">
      <c r="AW145" s="1">
        <v>135</v>
      </c>
      <c r="AX145" s="1">
        <f t="shared" si="48"/>
        <v>67.5</v>
      </c>
      <c r="AZ145" s="1">
        <f t="shared" si="49"/>
        <v>17109.76790552364</v>
      </c>
      <c r="BA145" s="1">
        <f t="shared" si="50"/>
        <v>-16729.535329882034</v>
      </c>
      <c r="BC145" s="1">
        <f t="shared" si="51"/>
        <v>-6069.1893312763596</v>
      </c>
      <c r="BD145" s="1">
        <f t="shared" si="52"/>
        <v>1842.0759817563685</v>
      </c>
      <c r="BF145" s="1">
        <f t="shared" si="40"/>
        <v>-788.82605214188561</v>
      </c>
      <c r="BG145" s="1">
        <f t="shared" si="41"/>
        <v>803.14982782096251</v>
      </c>
      <c r="BJ145" s="1">
        <f t="shared" si="42"/>
        <v>82.519577290609092</v>
      </c>
      <c r="BK145" s="1">
        <f t="shared" si="43"/>
        <v>691.78216420435581</v>
      </c>
      <c r="BO145" s="1">
        <f t="shared" si="44"/>
        <v>-67.294071661820595</v>
      </c>
      <c r="BP145" s="1">
        <f t="shared" si="45"/>
        <v>48.470776496247282</v>
      </c>
      <c r="BT145" s="1">
        <f t="shared" si="46"/>
        <v>-804.05155777067409</v>
      </c>
      <c r="BU145" s="1">
        <f t="shared" si="47"/>
        <v>62.896887120359423</v>
      </c>
    </row>
    <row r="146" spans="49:73">
      <c r="AW146" s="1">
        <v>136</v>
      </c>
      <c r="AX146" s="1">
        <f t="shared" si="48"/>
        <v>68</v>
      </c>
      <c r="AZ146" s="1">
        <f t="shared" si="49"/>
        <v>13976.569983367724</v>
      </c>
      <c r="BA146" s="1">
        <f t="shared" si="50"/>
        <v>-15708.10361052623</v>
      </c>
      <c r="BC146" s="1">
        <f t="shared" si="51"/>
        <v>-6463.6023573473021</v>
      </c>
      <c r="BD146" s="1">
        <f t="shared" si="52"/>
        <v>2243.6508956668499</v>
      </c>
      <c r="BF146" s="1">
        <f t="shared" si="40"/>
        <v>-901.03414959861175</v>
      </c>
      <c r="BG146" s="1">
        <f t="shared" si="41"/>
        <v>787.93871104061247</v>
      </c>
      <c r="BJ146" s="1">
        <f t="shared" si="42"/>
        <v>179.88108128880475</v>
      </c>
      <c r="BK146" s="1">
        <f t="shared" si="43"/>
        <v>693.07666239943535</v>
      </c>
      <c r="BO146" s="1">
        <f t="shared" si="44"/>
        <v>-75.804278746811974</v>
      </c>
      <c r="BP146" s="1">
        <f t="shared" si="45"/>
        <v>57.356709435302818</v>
      </c>
      <c r="BT146" s="1">
        <f t="shared" si="46"/>
        <v>-1005.1109521406046</v>
      </c>
      <c r="BU146" s="1">
        <f t="shared" si="47"/>
        <v>37.505339205874307</v>
      </c>
    </row>
    <row r="147" spans="49:73">
      <c r="AW147" s="1">
        <v>137</v>
      </c>
      <c r="AX147" s="1">
        <f t="shared" si="48"/>
        <v>68.5</v>
      </c>
      <c r="AZ147" s="1">
        <f t="shared" si="49"/>
        <v>10632.139535994247</v>
      </c>
      <c r="BA147" s="1">
        <f t="shared" si="50"/>
        <v>-14487.785823812728</v>
      </c>
      <c r="BC147" s="1">
        <f t="shared" si="51"/>
        <v>-6914.1194321466082</v>
      </c>
      <c r="BD147" s="1">
        <f t="shared" si="52"/>
        <v>2637.6202511871561</v>
      </c>
      <c r="BF147" s="1">
        <f t="shared" si="40"/>
        <v>-1084.3240678387897</v>
      </c>
      <c r="BG147" s="1">
        <f t="shared" si="41"/>
        <v>689.68196193277709</v>
      </c>
      <c r="BJ147" s="1">
        <f t="shared" si="42"/>
        <v>282.06042374714372</v>
      </c>
      <c r="BK147" s="1">
        <f t="shared" si="43"/>
        <v>662.03848899710181</v>
      </c>
      <c r="BO147" s="1">
        <f t="shared" si="44"/>
        <v>-87.018791322833678</v>
      </c>
      <c r="BP147" s="1">
        <f t="shared" si="45"/>
        <v>69.564110011208882</v>
      </c>
      <c r="BT147" s="1">
        <f t="shared" si="46"/>
        <v>-1279.3657002630998</v>
      </c>
      <c r="BU147" s="1">
        <f t="shared" si="47"/>
        <v>-41.920637075533634</v>
      </c>
    </row>
    <row r="148" spans="49:73">
      <c r="AW148" s="1">
        <v>138</v>
      </c>
      <c r="AX148" s="1">
        <f t="shared" si="48"/>
        <v>69</v>
      </c>
      <c r="AZ148" s="1">
        <f t="shared" si="49"/>
        <v>7039.5393114410945</v>
      </c>
      <c r="BA148" s="1">
        <f t="shared" si="50"/>
        <v>-13082.765452977554</v>
      </c>
      <c r="BC148" s="1">
        <f t="shared" si="51"/>
        <v>-7456.2814660660033</v>
      </c>
      <c r="BD148" s="1">
        <f t="shared" si="52"/>
        <v>2982.4612321535446</v>
      </c>
      <c r="BF148" s="1">
        <f t="shared" si="40"/>
        <v>-1336.9913821378539</v>
      </c>
      <c r="BG148" s="1">
        <f t="shared" si="41"/>
        <v>423.58370956731522</v>
      </c>
      <c r="BJ148" s="1">
        <f t="shared" si="42"/>
        <v>373.09049975373688</v>
      </c>
      <c r="BK148" s="1">
        <f t="shared" si="43"/>
        <v>592.51244486581697</v>
      </c>
      <c r="BO148" s="1">
        <f t="shared" si="44"/>
        <v>-102.07499759637746</v>
      </c>
      <c r="BP148" s="1">
        <f t="shared" si="45"/>
        <v>87.138068477870604</v>
      </c>
      <c r="BT148" s="1">
        <f t="shared" si="46"/>
        <v>-1608.0068842952132</v>
      </c>
      <c r="BU148" s="1">
        <f t="shared" si="47"/>
        <v>-256.06680377637241</v>
      </c>
    </row>
    <row r="149" spans="49:73">
      <c r="AW149" s="1">
        <v>139</v>
      </c>
      <c r="AX149" s="1">
        <f t="shared" si="48"/>
        <v>69.5</v>
      </c>
      <c r="AZ149" s="1">
        <f t="shared" si="49"/>
        <v>3144.2746556408611</v>
      </c>
      <c r="BA149" s="1">
        <f t="shared" si="50"/>
        <v>-11538.586873204866</v>
      </c>
      <c r="BC149" s="1">
        <f t="shared" si="51"/>
        <v>-8124.7771571349303</v>
      </c>
      <c r="BD149" s="1">
        <f t="shared" si="52"/>
        <v>3194.2530869372022</v>
      </c>
      <c r="BF149" s="1">
        <f t="shared" si="40"/>
        <v>-1480.7325585034778</v>
      </c>
      <c r="BG149" s="1">
        <f t="shared" si="41"/>
        <v>-158.5839804537344</v>
      </c>
      <c r="BJ149" s="1">
        <f t="shared" si="42"/>
        <v>432.64201279198795</v>
      </c>
      <c r="BK149" s="1">
        <f t="shared" si="43"/>
        <v>488.67031096321193</v>
      </c>
      <c r="BO149" s="1">
        <f t="shared" si="44"/>
        <v>-122.41688069763183</v>
      </c>
      <c r="BP149" s="1">
        <f t="shared" si="45"/>
        <v>113.92392541496521</v>
      </c>
      <c r="BT149" s="1">
        <f t="shared" si="46"/>
        <v>-1790.9576905978338</v>
      </c>
      <c r="BU149" s="1">
        <f t="shared" si="47"/>
        <v>-761.17821683191153</v>
      </c>
    </row>
    <row r="150" spans="49:73">
      <c r="AW150" s="1">
        <v>140</v>
      </c>
      <c r="AX150" s="1">
        <f t="shared" si="48"/>
        <v>70</v>
      </c>
      <c r="AZ150" s="1">
        <f t="shared" si="49"/>
        <v>-1103.2054927395388</v>
      </c>
      <c r="BA150" s="1">
        <f t="shared" si="50"/>
        <v>-9961.283327292982</v>
      </c>
      <c r="BC150" s="1">
        <f t="shared" si="51"/>
        <v>-8865.1434363866683</v>
      </c>
      <c r="BD150" s="1">
        <f t="shared" si="52"/>
        <v>3114.9610967103349</v>
      </c>
      <c r="BF150" s="1">
        <f t="shared" si="40"/>
        <v>-927.21924295603685</v>
      </c>
      <c r="BG150" s="1">
        <f t="shared" si="41"/>
        <v>-1057.0648255303799</v>
      </c>
      <c r="BJ150" s="1">
        <f t="shared" si="42"/>
        <v>445.69057535351021</v>
      </c>
      <c r="BK150" s="1">
        <f t="shared" si="43"/>
        <v>368.77475392206827</v>
      </c>
      <c r="BO150" s="1">
        <f t="shared" si="44"/>
        <v>-148.7161264278522</v>
      </c>
      <c r="BP150" s="1">
        <f t="shared" si="45"/>
        <v>157.0935607001129</v>
      </c>
      <c r="BT150" s="1">
        <f t="shared" si="46"/>
        <v>-1224.1936918816948</v>
      </c>
      <c r="BU150" s="1">
        <f t="shared" si="47"/>
        <v>-1582.933140152561</v>
      </c>
    </row>
    <row r="151" spans="49:73">
      <c r="AW151" s="1">
        <v>141</v>
      </c>
      <c r="AX151" s="1">
        <f t="shared" si="48"/>
        <v>70.5</v>
      </c>
      <c r="AZ151" s="1">
        <f t="shared" si="49"/>
        <v>-5651.6796163023773</v>
      </c>
      <c r="BA151" s="1">
        <f t="shared" si="50"/>
        <v>-8535.9358821291116</v>
      </c>
      <c r="BC151" s="1">
        <f t="shared" si="51"/>
        <v>-9328.7530578646874</v>
      </c>
      <c r="BD151" s="1">
        <f t="shared" si="52"/>
        <v>2586.4286839451452</v>
      </c>
      <c r="BF151" s="1">
        <f t="shared" si="40"/>
        <v>440.44628771738383</v>
      </c>
      <c r="BG151" s="1">
        <f t="shared" si="41"/>
        <v>-1508.8126141298917</v>
      </c>
      <c r="BJ151" s="1">
        <f t="shared" si="42"/>
        <v>415.25296642479628</v>
      </c>
      <c r="BK151" s="1">
        <f t="shared" si="43"/>
        <v>259.59196606447478</v>
      </c>
      <c r="BO151" s="1">
        <f t="shared" si="44"/>
        <v>-176.01363908588007</v>
      </c>
      <c r="BP151" s="1">
        <f t="shared" si="45"/>
        <v>227.38393353573187</v>
      </c>
      <c r="BT151" s="1">
        <f t="shared" si="46"/>
        <v>201.20696037846764</v>
      </c>
      <c r="BU151" s="1">
        <f t="shared" si="47"/>
        <v>-1995.7885137300982</v>
      </c>
    </row>
    <row r="152" spans="49:73">
      <c r="AW152" s="1">
        <v>142</v>
      </c>
      <c r="AX152" s="1">
        <f t="shared" si="48"/>
        <v>71</v>
      </c>
      <c r="AZ152" s="1">
        <f t="shared" si="49"/>
        <v>-10261.000359270049</v>
      </c>
      <c r="BA152" s="1">
        <f t="shared" si="50"/>
        <v>-7431.3231169227756</v>
      </c>
      <c r="BC152" s="1">
        <f t="shared" si="51"/>
        <v>-9108.529914005996</v>
      </c>
      <c r="BD152" s="1">
        <f t="shared" si="52"/>
        <v>1832.0223768801993</v>
      </c>
      <c r="BF152" s="1">
        <f t="shared" si="40"/>
        <v>1273.8756984391521</v>
      </c>
      <c r="BG152" s="1">
        <f t="shared" si="41"/>
        <v>-1065.5890459709817</v>
      </c>
      <c r="BJ152" s="1">
        <f t="shared" si="42"/>
        <v>363.45205729315086</v>
      </c>
      <c r="BK152" s="1">
        <f t="shared" si="43"/>
        <v>179.3337973142032</v>
      </c>
      <c r="BO152" s="1">
        <f t="shared" si="44"/>
        <v>-184.64081248723375</v>
      </c>
      <c r="BP152" s="1">
        <f t="shared" si="45"/>
        <v>330.47887686284872</v>
      </c>
      <c r="BT152" s="1">
        <f t="shared" si="46"/>
        <v>1095.064453633235</v>
      </c>
      <c r="BU152" s="1">
        <f t="shared" si="47"/>
        <v>-1575.4017201480335</v>
      </c>
    </row>
    <row r="153" spans="49:73">
      <c r="AW153" s="1">
        <v>143</v>
      </c>
      <c r="AX153" s="1">
        <f t="shared" si="48"/>
        <v>71.5</v>
      </c>
      <c r="AZ153" s="1">
        <f t="shared" si="49"/>
        <v>-14656.030853968152</v>
      </c>
      <c r="BA153" s="1">
        <f t="shared" si="50"/>
        <v>-6648.5105592290492</v>
      </c>
      <c r="BC153" s="1">
        <f t="shared" si="51"/>
        <v>-8471.5920647864205</v>
      </c>
      <c r="BD153" s="1">
        <f t="shared" si="52"/>
        <v>1299.2278538947085</v>
      </c>
      <c r="BF153" s="1">
        <f t="shared" si="40"/>
        <v>1353.8066355519527</v>
      </c>
      <c r="BG153" s="1">
        <f t="shared" si="41"/>
        <v>-450.43797131172278</v>
      </c>
      <c r="BJ153" s="1">
        <f t="shared" si="42"/>
        <v>311.96837671830195</v>
      </c>
      <c r="BK153" s="1">
        <f t="shared" si="43"/>
        <v>127.36276380706902</v>
      </c>
      <c r="BO153" s="1">
        <f t="shared" si="44"/>
        <v>-143.65082837485818</v>
      </c>
      <c r="BP153" s="1">
        <f t="shared" si="45"/>
        <v>447.52734675062317</v>
      </c>
      <c r="BT153" s="1">
        <f t="shared" si="46"/>
        <v>1185.4890872085089</v>
      </c>
      <c r="BU153" s="1">
        <f t="shared" si="47"/>
        <v>-1025.328081869415</v>
      </c>
    </row>
    <row r="154" spans="49:73">
      <c r="AW154" s="1">
        <v>144</v>
      </c>
      <c r="AX154" s="1">
        <f t="shared" si="48"/>
        <v>72</v>
      </c>
      <c r="AZ154" s="1">
        <f t="shared" si="49"/>
        <v>-18722.60105691737</v>
      </c>
      <c r="BA154" s="1">
        <f t="shared" si="50"/>
        <v>-6055.2013786956604</v>
      </c>
      <c r="BC154" s="1">
        <f t="shared" si="51"/>
        <v>-7794.6887470104439</v>
      </c>
      <c r="BD154" s="1">
        <f t="shared" si="52"/>
        <v>1074.0088682388471</v>
      </c>
      <c r="BF154" s="1">
        <f t="shared" si="40"/>
        <v>1243.3786426763315</v>
      </c>
      <c r="BG154" s="1">
        <f t="shared" si="41"/>
        <v>-35.919554409701504</v>
      </c>
      <c r="BJ154" s="1">
        <f t="shared" si="42"/>
        <v>269.25833480851264</v>
      </c>
      <c r="BK154" s="1">
        <f t="shared" si="43"/>
        <v>94.256347755586603</v>
      </c>
      <c r="BO154" s="1">
        <f t="shared" si="44"/>
        <v>-42.358943817262478</v>
      </c>
      <c r="BP154" s="1">
        <f t="shared" si="45"/>
        <v>532.39544063957544</v>
      </c>
      <c r="BT154" s="1">
        <f t="shared" si="46"/>
        <v>1016.4792516850813</v>
      </c>
      <c r="BU154" s="1">
        <f t="shared" si="47"/>
        <v>-662.57134280486355</v>
      </c>
    </row>
    <row r="155" spans="49:73">
      <c r="AW155" s="1">
        <v>145</v>
      </c>
      <c r="AX155" s="1">
        <f t="shared" si="48"/>
        <v>72.5</v>
      </c>
      <c r="AZ155" s="1">
        <f t="shared" si="49"/>
        <v>-22464.523100088049</v>
      </c>
      <c r="BA155" s="1">
        <f t="shared" si="50"/>
        <v>-5522.6868888774497</v>
      </c>
      <c r="BC155" s="1">
        <f t="shared" si="51"/>
        <v>-7172.9994256722784</v>
      </c>
      <c r="BD155" s="1">
        <f t="shared" si="52"/>
        <v>1056.0490910339963</v>
      </c>
      <c r="BF155" s="1">
        <f t="shared" si="40"/>
        <v>1153.2586400325338</v>
      </c>
      <c r="BG155" s="1">
        <f t="shared" si="41"/>
        <v>168.77999492395509</v>
      </c>
      <c r="BJ155" s="1">
        <f t="shared" si="42"/>
        <v>235.60286756532818</v>
      </c>
      <c r="BK155" s="1">
        <f t="shared" si="43"/>
        <v>72.252839557229549</v>
      </c>
      <c r="BO155" s="1">
        <f t="shared" si="44"/>
        <v>86.901475017453649</v>
      </c>
      <c r="BP155" s="1">
        <f t="shared" si="45"/>
        <v>547.34499621015766</v>
      </c>
      <c r="BT155" s="1">
        <f t="shared" si="46"/>
        <v>830.7542974497519</v>
      </c>
      <c r="BU155" s="1">
        <f t="shared" si="47"/>
        <v>-450.81784084343212</v>
      </c>
    </row>
    <row r="156" spans="49:73">
      <c r="AW156" s="1">
        <v>146</v>
      </c>
      <c r="AX156" s="1">
        <f t="shared" si="48"/>
        <v>73</v>
      </c>
      <c r="AZ156" s="1">
        <f t="shared" si="49"/>
        <v>-25906.865482920122</v>
      </c>
      <c r="BA156" s="1">
        <f t="shared" si="50"/>
        <v>-4973.5648439949573</v>
      </c>
      <c r="BC156" s="1">
        <f t="shared" si="51"/>
        <v>-6596.3701056560112</v>
      </c>
      <c r="BD156" s="1">
        <f t="shared" si="52"/>
        <v>1140.4390884959739</v>
      </c>
      <c r="BF156" s="1">
        <f t="shared" si="40"/>
        <v>1085.3045010259302</v>
      </c>
      <c r="BG156" s="1">
        <f t="shared" si="41"/>
        <v>228.05810528505441</v>
      </c>
      <c r="BJ156" s="1">
        <f t="shared" si="42"/>
        <v>209.25332950634447</v>
      </c>
      <c r="BK156" s="1">
        <f t="shared" si="43"/>
        <v>56.857181316165985</v>
      </c>
      <c r="BO156" s="1">
        <f t="shared" si="44"/>
        <v>196.16206106248629</v>
      </c>
      <c r="BP156" s="1">
        <f t="shared" si="45"/>
        <v>497.25956173269384</v>
      </c>
      <c r="BT156" s="1">
        <f t="shared" si="46"/>
        <v>679.8891104570996</v>
      </c>
      <c r="BU156" s="1">
        <f t="shared" si="47"/>
        <v>-326.05863776380539</v>
      </c>
    </row>
    <row r="157" spans="49:73">
      <c r="AW157" s="1">
        <v>147</v>
      </c>
      <c r="AX157" s="1">
        <f t="shared" si="48"/>
        <v>73.5</v>
      </c>
      <c r="AZ157" s="1">
        <f t="shared" si="49"/>
        <v>-29069.387473119885</v>
      </c>
      <c r="BA157" s="1">
        <f t="shared" si="50"/>
        <v>-4374.8380365863386</v>
      </c>
      <c r="BC157" s="1">
        <f t="shared" si="51"/>
        <v>-6053.7178551430461</v>
      </c>
      <c r="BD157" s="1">
        <f t="shared" si="52"/>
        <v>1254.4681411385011</v>
      </c>
      <c r="BF157" s="1">
        <f t="shared" si="40"/>
        <v>1015.8913732738389</v>
      </c>
      <c r="BG157" s="1">
        <f t="shared" si="41"/>
        <v>211.77132171242911</v>
      </c>
      <c r="BJ157" s="1">
        <f t="shared" si="42"/>
        <v>188.46531444247182</v>
      </c>
      <c r="BK157" s="1">
        <f t="shared" si="43"/>
        <v>45.60878380119658</v>
      </c>
      <c r="BO157" s="1">
        <f t="shared" si="44"/>
        <v>262.24556841666924</v>
      </c>
      <c r="BP157" s="1">
        <f t="shared" si="45"/>
        <v>415.65514572786753</v>
      </c>
      <c r="BT157" s="1">
        <f t="shared" si="46"/>
        <v>565.18049041469783</v>
      </c>
      <c r="BU157" s="1">
        <f t="shared" si="47"/>
        <v>-249.492607816635</v>
      </c>
    </row>
    <row r="158" spans="49:73">
      <c r="AW158" s="1">
        <v>148</v>
      </c>
      <c r="AX158" s="1">
        <f t="shared" si="48"/>
        <v>74</v>
      </c>
      <c r="AZ158" s="1">
        <f t="shared" si="49"/>
        <v>-31969.25997903218</v>
      </c>
      <c r="BA158" s="1">
        <f t="shared" si="50"/>
        <v>-3721.1325508030345</v>
      </c>
      <c r="BC158" s="1">
        <f t="shared" si="51"/>
        <v>-5545.7721685061269</v>
      </c>
      <c r="BD158" s="1">
        <f t="shared" si="52"/>
        <v>1360.3538019947157</v>
      </c>
      <c r="BF158" s="1">
        <f t="shared" si="40"/>
        <v>940.25620263279779</v>
      </c>
      <c r="BG158" s="1">
        <f t="shared" si="41"/>
        <v>168.82877987536114</v>
      </c>
      <c r="BJ158" s="1">
        <f t="shared" si="42"/>
        <v>171.85963376733568</v>
      </c>
      <c r="BK158" s="1">
        <f t="shared" si="43"/>
        <v>37.107700425478569</v>
      </c>
      <c r="BO158" s="1">
        <f t="shared" si="44"/>
        <v>289.58237934793999</v>
      </c>
      <c r="BP158" s="1">
        <f t="shared" si="45"/>
        <v>331.96690675702871</v>
      </c>
      <c r="BT158" s="1">
        <f t="shared" si="46"/>
        <v>478.81418951752204</v>
      </c>
      <c r="BU158" s="1">
        <f t="shared" si="47"/>
        <v>-200.24582730714616</v>
      </c>
    </row>
    <row r="159" spans="49:73">
      <c r="AW159" s="1">
        <v>149</v>
      </c>
      <c r="AX159" s="1">
        <f t="shared" si="48"/>
        <v>74.5</v>
      </c>
      <c r="AZ159" s="1">
        <f t="shared" si="49"/>
        <v>-34624.614037956148</v>
      </c>
      <c r="BA159" s="1">
        <f t="shared" si="50"/>
        <v>-3019.8520523212565</v>
      </c>
      <c r="BC159" s="1">
        <f t="shared" si="51"/>
        <v>-5075.644067189728</v>
      </c>
      <c r="BD159" s="1">
        <f t="shared" si="52"/>
        <v>1444.7681919323963</v>
      </c>
      <c r="BF159" s="1">
        <f t="shared" si="40"/>
        <v>863.7247462052087</v>
      </c>
      <c r="BG159" s="1">
        <f t="shared" si="41"/>
        <v>123.47129059258373</v>
      </c>
      <c r="BJ159" s="1">
        <f t="shared" si="42"/>
        <v>158.4088546870077</v>
      </c>
      <c r="BK159" s="1">
        <f t="shared" si="43"/>
        <v>30.507084478931905</v>
      </c>
      <c r="BO159" s="1">
        <f t="shared" si="44"/>
        <v>292.11565351459149</v>
      </c>
      <c r="BP159" s="1">
        <f t="shared" si="45"/>
        <v>260.06174118894199</v>
      </c>
      <c r="BT159" s="1">
        <f t="shared" si="46"/>
        <v>413.20023800360957</v>
      </c>
      <c r="BU159" s="1">
        <f t="shared" si="47"/>
        <v>-167.09753507529018</v>
      </c>
    </row>
    <row r="160" spans="49:73">
      <c r="AW160" s="1">
        <v>150</v>
      </c>
      <c r="AX160" s="1">
        <f t="shared" si="48"/>
        <v>75</v>
      </c>
      <c r="AZ160" s="1">
        <f t="shared" si="49"/>
        <v>-37054.470478275362</v>
      </c>
      <c r="BA160" s="1">
        <f t="shared" si="50"/>
        <v>-2282.034045030985</v>
      </c>
      <c r="BC160" s="1">
        <f t="shared" si="51"/>
        <v>-4643.7816940871235</v>
      </c>
      <c r="BD160" s="1">
        <f t="shared" si="52"/>
        <v>1506.5038372286881</v>
      </c>
      <c r="BF160" s="1">
        <f t="shared" si="40"/>
        <v>791.7057799281481</v>
      </c>
      <c r="BG160" s="1">
        <f t="shared" si="41"/>
        <v>84.33747418864138</v>
      </c>
      <c r="BJ160" s="1">
        <f t="shared" si="42"/>
        <v>147.36338542520795</v>
      </c>
      <c r="BK160" s="1">
        <f t="shared" si="43"/>
        <v>25.265568870178058</v>
      </c>
      <c r="BO160" s="1">
        <f t="shared" si="44"/>
        <v>281.7750157313119</v>
      </c>
      <c r="BP160" s="1">
        <f t="shared" si="45"/>
        <v>202.92452589833124</v>
      </c>
      <c r="BT160" s="1">
        <f t="shared" si="46"/>
        <v>362.56737877162823</v>
      </c>
      <c r="BU160" s="1">
        <f t="shared" si="47"/>
        <v>-143.85262057986793</v>
      </c>
    </row>
    <row r="161" spans="49:73">
      <c r="AW161" s="1">
        <v>151</v>
      </c>
      <c r="AX161" s="1">
        <f t="shared" si="48"/>
        <v>75.5</v>
      </c>
      <c r="AZ161" s="1">
        <f t="shared" si="49"/>
        <v>-39277.398102827909</v>
      </c>
      <c r="BA161" s="1">
        <f t="shared" si="50"/>
        <v>-1518.2399421430607</v>
      </c>
      <c r="BC161" s="1">
        <f t="shared" si="51"/>
        <v>-4247.9288041230493</v>
      </c>
      <c r="BD161" s="1">
        <f t="shared" si="52"/>
        <v>1548.6725743230088</v>
      </c>
      <c r="BF161" s="1">
        <f t="shared" si="40"/>
        <v>727.01283452439679</v>
      </c>
      <c r="BG161" s="1">
        <f t="shared" si="41"/>
        <v>53.00187938989643</v>
      </c>
      <c r="BJ161" s="1">
        <f t="shared" si="42"/>
        <v>138.17887726316874</v>
      </c>
      <c r="BK161" s="1">
        <f t="shared" si="43"/>
        <v>21.022013616952993</v>
      </c>
      <c r="BO161" s="1">
        <f t="shared" si="44"/>
        <v>266.02004678347834</v>
      </c>
      <c r="BP161" s="1">
        <f t="shared" si="45"/>
        <v>158.94690310009929</v>
      </c>
      <c r="BT161" s="1">
        <f t="shared" si="46"/>
        <v>322.81391047774974</v>
      </c>
      <c r="BU161" s="1">
        <f t="shared" si="47"/>
        <v>-126.96703732715585</v>
      </c>
    </row>
    <row r="162" spans="49:73">
      <c r="AW162" s="1">
        <v>152</v>
      </c>
      <c r="AX162" s="1">
        <f t="shared" si="48"/>
        <v>76</v>
      </c>
      <c r="AZ162" s="1">
        <f t="shared" si="49"/>
        <v>-41310.485900573884</v>
      </c>
      <c r="BA162" s="1">
        <f t="shared" si="50"/>
        <v>-737.27842005781929</v>
      </c>
      <c r="BC162" s="1">
        <f t="shared" si="51"/>
        <v>-3884.422386860851</v>
      </c>
      <c r="BD162" s="1">
        <f t="shared" si="52"/>
        <v>1575.1735140179571</v>
      </c>
      <c r="BF162" s="1">
        <f t="shared" si="40"/>
        <v>670.39197650154892</v>
      </c>
      <c r="BG162" s="1">
        <f t="shared" si="41"/>
        <v>28.581597938308747</v>
      </c>
      <c r="BJ162" s="1">
        <f t="shared" si="42"/>
        <v>130.45793181663228</v>
      </c>
      <c r="BK162" s="1">
        <f t="shared" si="43"/>
        <v>17.527479854281513</v>
      </c>
      <c r="BO162" s="1">
        <f t="shared" si="44"/>
        <v>248.85967500905369</v>
      </c>
      <c r="BP162" s="1">
        <f t="shared" si="45"/>
        <v>125.38783163200218</v>
      </c>
      <c r="BT162" s="1">
        <f t="shared" si="46"/>
        <v>291.0743696758629</v>
      </c>
      <c r="BU162" s="1">
        <f t="shared" si="47"/>
        <v>-114.33371354797494</v>
      </c>
    </row>
    <row r="163" spans="49:73">
      <c r="AW163" s="1">
        <v>153</v>
      </c>
      <c r="AX163" s="1">
        <f t="shared" si="48"/>
        <v>76.5</v>
      </c>
      <c r="AZ163" s="1">
        <f t="shared" si="49"/>
        <v>-43168.898096941615</v>
      </c>
      <c r="BA163" s="1">
        <f t="shared" si="50"/>
        <v>53.881036693447868</v>
      </c>
      <c r="BC163" s="1">
        <f t="shared" si="51"/>
        <v>-3549.2263986100766</v>
      </c>
      <c r="BD163" s="1">
        <f t="shared" si="52"/>
        <v>1589.4643129871115</v>
      </c>
      <c r="BF163" s="1">
        <f t="shared" si="40"/>
        <v>621.48212587161925</v>
      </c>
      <c r="BG163" s="1">
        <f t="shared" si="41"/>
        <v>9.6498854478878116</v>
      </c>
      <c r="BJ163" s="1">
        <f t="shared" si="42"/>
        <v>123.90720826377726</v>
      </c>
      <c r="BK163" s="1">
        <f t="shared" si="43"/>
        <v>14.605729099902666</v>
      </c>
      <c r="BO163" s="1">
        <f t="shared" si="44"/>
        <v>232.23390879575496</v>
      </c>
      <c r="BP163" s="1">
        <f t="shared" si="45"/>
        <v>99.695120351932857</v>
      </c>
      <c r="BT163" s="1">
        <f t="shared" si="46"/>
        <v>265.34100881208695</v>
      </c>
      <c r="BU163" s="1">
        <f t="shared" si="47"/>
        <v>-104.65096400394771</v>
      </c>
    </row>
    <row r="164" spans="49:73">
      <c r="AW164" s="1">
        <v>154</v>
      </c>
      <c r="AX164" s="1">
        <f t="shared" si="48"/>
        <v>77</v>
      </c>
      <c r="AZ164" s="1">
        <f t="shared" si="49"/>
        <v>-44865.826030512697</v>
      </c>
      <c r="BA164" s="1">
        <f t="shared" si="50"/>
        <v>849.81942886798959</v>
      </c>
      <c r="BC164" s="1">
        <f t="shared" si="51"/>
        <v>-3238.4853356742669</v>
      </c>
      <c r="BD164" s="1">
        <f t="shared" si="52"/>
        <v>1594.2892557110554</v>
      </c>
      <c r="BF164" s="1">
        <f t="shared" si="40"/>
        <v>579.47040507147256</v>
      </c>
      <c r="BG164" s="1">
        <f t="shared" si="41"/>
        <v>-5.1137912947286566</v>
      </c>
      <c r="BJ164" s="1">
        <f t="shared" si="42"/>
        <v>118.30719030350271</v>
      </c>
      <c r="BK164" s="1">
        <f t="shared" si="43"/>
        <v>12.129101354717651</v>
      </c>
      <c r="BO164" s="1">
        <f t="shared" si="44"/>
        <v>216.97279025736566</v>
      </c>
      <c r="BP164" s="1">
        <f t="shared" si="45"/>
        <v>79.842117749921101</v>
      </c>
      <c r="BT164" s="1">
        <f t="shared" si="46"/>
        <v>244.19042451060423</v>
      </c>
      <c r="BU164" s="1">
        <f t="shared" si="47"/>
        <v>-97.085010399367405</v>
      </c>
    </row>
    <row r="165" spans="49:73">
      <c r="AW165" s="1">
        <v>155</v>
      </c>
      <c r="AX165" s="1">
        <f t="shared" si="48"/>
        <v>77.5</v>
      </c>
      <c r="AZ165" s="1">
        <f t="shared" si="49"/>
        <v>-46412.6348977159</v>
      </c>
      <c r="BA165" s="1">
        <f t="shared" si="50"/>
        <v>1646.3248328116763</v>
      </c>
      <c r="BC165" s="1">
        <f t="shared" si="51"/>
        <v>-2948.7501331385306</v>
      </c>
      <c r="BD165" s="1">
        <f t="shared" si="52"/>
        <v>1591.732360063691</v>
      </c>
      <c r="BF165" s="1">
        <f t="shared" si="40"/>
        <v>543.43764252635015</v>
      </c>
      <c r="BG165" s="1">
        <f t="shared" si="41"/>
        <v>-16.766400593867246</v>
      </c>
      <c r="BJ165" s="1">
        <f t="shared" si="42"/>
        <v>113.49123479411031</v>
      </c>
      <c r="BK165" s="1">
        <f t="shared" si="43"/>
        <v>10.003229413062654</v>
      </c>
      <c r="BO165" s="1">
        <f t="shared" si="44"/>
        <v>203.34854188184048</v>
      </c>
      <c r="BP165" s="1">
        <f t="shared" si="45"/>
        <v>64.314206862761168</v>
      </c>
      <c r="BT165" s="1">
        <f t="shared" si="46"/>
        <v>226.5978658503993</v>
      </c>
      <c r="BU165" s="1">
        <f t="shared" si="47"/>
        <v>-91.083836869691069</v>
      </c>
    </row>
    <row r="166" spans="49:73">
      <c r="AW166" s="1">
        <v>156</v>
      </c>
      <c r="AX166" s="1">
        <f t="shared" si="48"/>
        <v>78</v>
      </c>
      <c r="AZ166" s="1">
        <f t="shared" si="49"/>
        <v>-47819.08025896937</v>
      </c>
      <c r="BA166" s="1">
        <f t="shared" si="50"/>
        <v>2440.0952127692885</v>
      </c>
      <c r="BC166" s="1">
        <f t="shared" si="51"/>
        <v>-2677.0313118753556</v>
      </c>
      <c r="BD166" s="1">
        <f t="shared" si="52"/>
        <v>1583.3491597667573</v>
      </c>
      <c r="BF166" s="1">
        <f t="shared" si="40"/>
        <v>512.5136255495031</v>
      </c>
      <c r="BG166" s="1">
        <f t="shared" si="41"/>
        <v>-26.108892691982092</v>
      </c>
      <c r="BJ166" s="1">
        <f t="shared" si="42"/>
        <v>109.33107630798615</v>
      </c>
      <c r="BK166" s="1">
        <f t="shared" si="43"/>
        <v>8.1570678088147854</v>
      </c>
      <c r="BO166" s="1">
        <f t="shared" si="44"/>
        <v>191.36917378391288</v>
      </c>
      <c r="BP166" s="1">
        <f t="shared" si="45"/>
        <v>52.005052631132045</v>
      </c>
      <c r="BT166" s="1">
        <f t="shared" si="46"/>
        <v>211.81337545760411</v>
      </c>
      <c r="BU166" s="1">
        <f t="shared" si="47"/>
        <v>-86.271013131928925</v>
      </c>
    </row>
    <row r="167" spans="49:73">
      <c r="AW167" s="1">
        <v>157</v>
      </c>
      <c r="AX167" s="1">
        <f t="shared" si="48"/>
        <v>78.5</v>
      </c>
      <c r="AZ167" s="1">
        <f t="shared" si="49"/>
        <v>-49093.53171171336</v>
      </c>
      <c r="BA167" s="1">
        <f t="shared" si="50"/>
        <v>3228.5061810661691</v>
      </c>
      <c r="BC167" s="1">
        <f t="shared" si="51"/>
        <v>-2420.7744991006039</v>
      </c>
      <c r="BD167" s="1">
        <f t="shared" si="52"/>
        <v>1570.2947134207664</v>
      </c>
      <c r="BF167" s="1">
        <f t="shared" si="40"/>
        <v>485.93408725079985</v>
      </c>
      <c r="BG167" s="1">
        <f t="shared" si="41"/>
        <v>-33.735974579901267</v>
      </c>
      <c r="BJ167" s="1">
        <f t="shared" si="42"/>
        <v>105.72672956170771</v>
      </c>
      <c r="BK167" s="1">
        <f t="shared" si="43"/>
        <v>6.5362279309043068</v>
      </c>
      <c r="BO167" s="1">
        <f t="shared" si="44"/>
        <v>180.92821225328396</v>
      </c>
      <c r="BP167" s="1">
        <f t="shared" si="45"/>
        <v>42.110881658640324</v>
      </c>
      <c r="BT167" s="1">
        <f t="shared" si="46"/>
        <v>199.2791454358082</v>
      </c>
      <c r="BU167" s="1">
        <f t="shared" si="47"/>
        <v>-82.383084169445894</v>
      </c>
    </row>
    <row r="168" spans="49:73">
      <c r="AW168" s="1">
        <v>158</v>
      </c>
      <c r="AX168" s="1">
        <f t="shared" si="48"/>
        <v>79</v>
      </c>
      <c r="AZ168" s="1">
        <f t="shared" si="49"/>
        <v>-50243.177200357313</v>
      </c>
      <c r="BA168" s="1">
        <f t="shared" si="50"/>
        <v>4009.4365409540646</v>
      </c>
      <c r="BC168" s="1">
        <f t="shared" si="51"/>
        <v>-2177.8074554752038</v>
      </c>
      <c r="BD168" s="1">
        <f t="shared" si="52"/>
        <v>1553.4267261308157</v>
      </c>
      <c r="BF168" s="1">
        <f t="shared" si="40"/>
        <v>463.05196419924437</v>
      </c>
      <c r="BG168" s="1">
        <f t="shared" si="41"/>
        <v>-40.08732999146261</v>
      </c>
      <c r="BJ168" s="1">
        <f t="shared" si="42"/>
        <v>102.59937690336322</v>
      </c>
      <c r="BK168" s="1">
        <f t="shared" si="43"/>
        <v>5.0984259285176448</v>
      </c>
      <c r="BO168" s="1">
        <f t="shared" si="44"/>
        <v>171.8787129380878</v>
      </c>
      <c r="BP168" s="1">
        <f t="shared" si="45"/>
        <v>34.045706583453466</v>
      </c>
      <c r="BT168" s="1">
        <f t="shared" si="46"/>
        <v>188.57387435779336</v>
      </c>
      <c r="BU168" s="1">
        <f t="shared" si="47"/>
        <v>-79.231462503433718</v>
      </c>
    </row>
    <row r="169" spans="49:73">
      <c r="AW169" s="1">
        <v>159</v>
      </c>
      <c r="AX169" s="1">
        <f t="shared" si="48"/>
        <v>79.5</v>
      </c>
      <c r="AZ169" s="1">
        <f t="shared" si="49"/>
        <v>-51274.199432570014</v>
      </c>
      <c r="BA169" s="1">
        <f t="shared" si="50"/>
        <v>4781.1389877705396</v>
      </c>
      <c r="BC169" s="1">
        <f t="shared" si="51"/>
        <v>-1946.2814733755818</v>
      </c>
      <c r="BD169" s="1">
        <f t="shared" si="52"/>
        <v>1533.3830611350845</v>
      </c>
      <c r="BF169" s="1">
        <f t="shared" si="40"/>
        <v>443.32959616637663</v>
      </c>
      <c r="BG169" s="1">
        <f t="shared" si="41"/>
        <v>-45.489409711343335</v>
      </c>
      <c r="BJ169" s="1">
        <f t="shared" si="42"/>
        <v>99.886293454336524</v>
      </c>
      <c r="BK169" s="1">
        <f t="shared" si="43"/>
        <v>3.8103121619210265</v>
      </c>
      <c r="BO169" s="1">
        <f t="shared" si="44"/>
        <v>164.06849030376154</v>
      </c>
      <c r="BP169" s="1">
        <f t="shared" si="45"/>
        <v>27.37881905587389</v>
      </c>
      <c r="BT169" s="1">
        <f t="shared" si="46"/>
        <v>179.37481240827853</v>
      </c>
      <c r="BU169" s="1">
        <f t="shared" si="47"/>
        <v>-76.678540929138251</v>
      </c>
    </row>
    <row r="170" spans="49:73">
      <c r="AW170" s="1">
        <v>160</v>
      </c>
      <c r="AX170" s="1">
        <f t="shared" si="48"/>
        <v>80</v>
      </c>
      <c r="AZ170" s="1">
        <f t="shared" si="49"/>
        <v>-52191.923969737007</v>
      </c>
      <c r="BA170" s="1">
        <f t="shared" si="50"/>
        <v>5542.1443421241638</v>
      </c>
      <c r="BC170" s="1">
        <f t="shared" si="51"/>
        <v>-1724.6166752923934</v>
      </c>
      <c r="BD170" s="1">
        <f t="shared" si="52"/>
        <v>1510.6383562794128</v>
      </c>
      <c r="BF170" s="1">
        <f t="shared" si="40"/>
        <v>426.3244886408703</v>
      </c>
      <c r="BG170" s="1">
        <f t="shared" si="41"/>
        <v>-50.186854249493315</v>
      </c>
      <c r="BJ170" s="1">
        <f t="shared" si="42"/>
        <v>97.537178069464673</v>
      </c>
      <c r="BK170" s="1">
        <f t="shared" si="43"/>
        <v>2.645222698547232</v>
      </c>
      <c r="BO170" s="1">
        <f t="shared" si="44"/>
        <v>157.35582126216187</v>
      </c>
      <c r="BP170" s="1">
        <f t="shared" si="45"/>
        <v>21.79023343782325</v>
      </c>
      <c r="BT170" s="1">
        <f t="shared" si="46"/>
        <v>171.43148930924374</v>
      </c>
      <c r="BU170" s="1">
        <f t="shared" si="47"/>
        <v>-74.622310385863798</v>
      </c>
    </row>
    <row r="171" spans="49:73">
      <c r="AW171" s="1">
        <v>161</v>
      </c>
      <c r="AX171" s="1">
        <f t="shared" si="48"/>
        <v>80.5</v>
      </c>
      <c r="AZ171" s="1">
        <f t="shared" si="49"/>
        <v>-53000.941746303091</v>
      </c>
      <c r="BA171" s="1">
        <f t="shared" si="50"/>
        <v>6291.1901634826836</v>
      </c>
      <c r="BC171" s="1">
        <f t="shared" si="51"/>
        <v>-1511.4544309719583</v>
      </c>
      <c r="BD171" s="1">
        <f t="shared" si="52"/>
        <v>1485.5449291546661</v>
      </c>
      <c r="BF171" s="1">
        <f t="shared" si="40"/>
        <v>411.67422243825268</v>
      </c>
      <c r="BG171" s="1">
        <f t="shared" si="41"/>
        <v>-54.365349663316579</v>
      </c>
      <c r="BJ171" s="1">
        <f t="shared" si="42"/>
        <v>95.511467093449824</v>
      </c>
      <c r="BK171" s="1">
        <f t="shared" si="43"/>
        <v>1.5815576917349703</v>
      </c>
      <c r="BO171" s="1">
        <f t="shared" si="44"/>
        <v>151.61550207361259</v>
      </c>
      <c r="BP171" s="1">
        <f t="shared" si="45"/>
        <v>17.039303598725898</v>
      </c>
      <c r="BT171" s="1">
        <f t="shared" si="46"/>
        <v>164.54725327119027</v>
      </c>
      <c r="BU171" s="1">
        <f t="shared" si="47"/>
        <v>-72.986210953777444</v>
      </c>
    </row>
    <row r="172" spans="49:73">
      <c r="AW172" s="1">
        <v>162</v>
      </c>
      <c r="AX172" s="1">
        <f t="shared" si="48"/>
        <v>81</v>
      </c>
      <c r="AZ172" s="1">
        <f t="shared" si="49"/>
        <v>-53705.209683984292</v>
      </c>
      <c r="BA172" s="1">
        <f t="shared" si="50"/>
        <v>7027.1669593521019</v>
      </c>
      <c r="BC172" s="1">
        <f t="shared" si="51"/>
        <v>-1305.6173197528319</v>
      </c>
      <c r="BD172" s="1">
        <f t="shared" si="52"/>
        <v>1458.3622543230078</v>
      </c>
      <c r="BF172" s="1">
        <f t="shared" si="40"/>
        <v>399.08273769004302</v>
      </c>
      <c r="BG172" s="1">
        <f t="shared" si="41"/>
        <v>-58.168056832535498</v>
      </c>
      <c r="BJ172" s="1">
        <f t="shared" si="42"/>
        <v>93.776345230048989</v>
      </c>
      <c r="BK172" s="1">
        <f t="shared" si="43"/>
        <v>0.60159322042612717</v>
      </c>
      <c r="BO172" s="1">
        <f t="shared" si="44"/>
        <v>146.74028647375772</v>
      </c>
      <c r="BP172" s="1">
        <f t="shared" si="45"/>
        <v>12.942639316396548</v>
      </c>
      <c r="BT172" s="1">
        <f t="shared" si="46"/>
        <v>158.56610598623629</v>
      </c>
      <c r="BU172" s="1">
        <f t="shared" si="47"/>
        <v>-71.712289369358174</v>
      </c>
    </row>
    <row r="173" spans="49:73">
      <c r="AW173" s="1">
        <v>163</v>
      </c>
      <c r="AX173" s="1">
        <f t="shared" si="48"/>
        <v>81.5</v>
      </c>
      <c r="AZ173" s="1">
        <f t="shared" si="49"/>
        <v>-54308.133001649447</v>
      </c>
      <c r="BA173" s="1">
        <f t="shared" si="50"/>
        <v>7749.0770794095397</v>
      </c>
      <c r="BC173" s="1">
        <f t="shared" si="51"/>
        <v>-1106.0759509078105</v>
      </c>
      <c r="BD173" s="1">
        <f t="shared" si="52"/>
        <v>1429.2782259067401</v>
      </c>
      <c r="BF173" s="1">
        <f t="shared" si="40"/>
        <v>388.30868666848301</v>
      </c>
      <c r="BG173" s="1">
        <f t="shared" si="41"/>
        <v>-61.707414412286418</v>
      </c>
      <c r="BJ173" s="1">
        <f t="shared" si="42"/>
        <v>92.305258493220762</v>
      </c>
      <c r="BK173" s="1">
        <f t="shared" si="43"/>
        <v>-0.30940252797259343</v>
      </c>
      <c r="BO173" s="1">
        <f t="shared" si="44"/>
        <v>142.6402467690009</v>
      </c>
      <c r="BP173" s="1">
        <f t="shared" si="45"/>
        <v>9.3584865383256837</v>
      </c>
      <c r="BT173" s="1">
        <f t="shared" si="46"/>
        <v>153.36318140626136</v>
      </c>
      <c r="BU173" s="1">
        <f t="shared" si="47"/>
        <v>-70.75649842263951</v>
      </c>
    </row>
    <row r="174" spans="49:73">
      <c r="AW174" s="1">
        <v>164</v>
      </c>
      <c r="AX174" s="1">
        <f t="shared" si="48"/>
        <v>82</v>
      </c>
      <c r="AZ174" s="1">
        <f t="shared" si="49"/>
        <v>-54812.632391269792</v>
      </c>
      <c r="BA174" s="1">
        <f t="shared" si="50"/>
        <v>8456.002765561374</v>
      </c>
      <c r="BC174" s="1">
        <f t="shared" si="51"/>
        <v>-911.92160757356896</v>
      </c>
      <c r="BD174" s="1">
        <f t="shared" si="52"/>
        <v>1398.424518700597</v>
      </c>
      <c r="BF174" s="1">
        <f t="shared" si="40"/>
        <v>379.15589212148205</v>
      </c>
      <c r="BG174" s="1">
        <f t="shared" si="41"/>
        <v>-65.073672503798733</v>
      </c>
      <c r="BJ174" s="1">
        <f t="shared" si="42"/>
        <v>91.0767945825787</v>
      </c>
      <c r="BK174" s="1">
        <f t="shared" si="43"/>
        <v>-1.1638364366600065</v>
      </c>
      <c r="BO174" s="1">
        <f t="shared" si="44"/>
        <v>139.24132900817307</v>
      </c>
      <c r="BP174" s="1">
        <f t="shared" si="45"/>
        <v>6.1755808779945118</v>
      </c>
      <c r="BT174" s="1">
        <f t="shared" si="46"/>
        <v>148.83776853073027</v>
      </c>
      <c r="BU174" s="1">
        <f t="shared" si="47"/>
        <v>-70.085416945133233</v>
      </c>
    </row>
    <row r="175" spans="49:73">
      <c r="AW175" s="1">
        <v>165</v>
      </c>
      <c r="AX175" s="1">
        <f t="shared" si="48"/>
        <v>82.5</v>
      </c>
      <c r="AZ175" s="1">
        <f t="shared" si="49"/>
        <v>-55221.198708541393</v>
      </c>
      <c r="BA175" s="1">
        <f t="shared" si="50"/>
        <v>9147.080815848698</v>
      </c>
      <c r="BC175" s="1">
        <f t="shared" si="51"/>
        <v>-722.34366151282791</v>
      </c>
      <c r="BD175" s="1">
        <f t="shared" si="52"/>
        <v>1365.8876824486977</v>
      </c>
      <c r="BF175" s="1">
        <f t="shared" si="40"/>
        <v>371.46569809071161</v>
      </c>
      <c r="BG175" s="1">
        <f t="shared" si="41"/>
        <v>-68.341135223811435</v>
      </c>
      <c r="BJ175" s="1">
        <f t="shared" si="42"/>
        <v>90.073836722665206</v>
      </c>
      <c r="BK175" s="1">
        <f t="shared" si="43"/>
        <v>-1.9723015722021937</v>
      </c>
      <c r="BO175" s="1">
        <f t="shared" si="44"/>
        <v>136.48372531554898</v>
      </c>
      <c r="BP175" s="1">
        <f t="shared" si="45"/>
        <v>3.3051001077325139</v>
      </c>
      <c r="BT175" s="1">
        <f t="shared" si="46"/>
        <v>144.90813605249741</v>
      </c>
      <c r="BU175" s="1">
        <f t="shared" si="47"/>
        <v>-69.67393375934175</v>
      </c>
    </row>
    <row r="176" spans="49:73">
      <c r="AW176" s="1">
        <v>166</v>
      </c>
      <c r="AX176" s="1">
        <f t="shared" si="48"/>
        <v>83</v>
      </c>
      <c r="AZ176" s="1">
        <f t="shared" si="49"/>
        <v>-55535.937327036467</v>
      </c>
      <c r="BA176" s="1">
        <f t="shared" si="50"/>
        <v>9821.4820151700696</v>
      </c>
      <c r="BC176" s="1">
        <f t="shared" si="51"/>
        <v>-536.6108124674721</v>
      </c>
      <c r="BD176" s="1">
        <f t="shared" si="52"/>
        <v>1331.717114836792</v>
      </c>
      <c r="BF176" s="1">
        <f t="shared" si="40"/>
        <v>365.11093399896833</v>
      </c>
      <c r="BG176" s="1">
        <f t="shared" si="41"/>
        <v>-71.57280518197399</v>
      </c>
      <c r="BJ176" s="1">
        <f t="shared" si="42"/>
        <v>89.282924836230237</v>
      </c>
      <c r="BK176" s="1">
        <f t="shared" si="43"/>
        <v>-2.7439747437264179</v>
      </c>
      <c r="BO176" s="1">
        <f t="shared" si="44"/>
        <v>134.32035803891642</v>
      </c>
      <c r="BP176" s="1">
        <f t="shared" si="45"/>
        <v>0.67477042797738962</v>
      </c>
      <c r="BT176" s="1">
        <f t="shared" si="46"/>
        <v>141.50765112382172</v>
      </c>
      <c r="BU176" s="1">
        <f t="shared" si="47"/>
        <v>-69.503600866224957</v>
      </c>
    </row>
    <row r="177" spans="49:73">
      <c r="AW177" s="1">
        <v>167</v>
      </c>
      <c r="AX177" s="1">
        <f t="shared" si="48"/>
        <v>83.5</v>
      </c>
      <c r="AZ177" s="1">
        <f t="shared" si="49"/>
        <v>-55758.603866520338</v>
      </c>
      <c r="BA177" s="1">
        <f t="shared" si="50"/>
        <v>10478.393971940719</v>
      </c>
      <c r="BC177" s="1">
        <f t="shared" si="51"/>
        <v>-354.05534546798793</v>
      </c>
      <c r="BD177" s="1">
        <f t="shared" si="52"/>
        <v>1295.9307122458049</v>
      </c>
      <c r="BF177" s="1">
        <f t="shared" si="40"/>
        <v>359.99122421003096</v>
      </c>
      <c r="BG177" s="1">
        <f t="shared" si="41"/>
        <v>-74.823919820621427</v>
      </c>
      <c r="BJ177" s="1">
        <f t="shared" si="42"/>
        <v>88.69377727252855</v>
      </c>
      <c r="BK177" s="1">
        <f t="shared" si="43"/>
        <v>-3.4869308315473462</v>
      </c>
      <c r="BO177" s="1">
        <f t="shared" si="44"/>
        <v>132.71560671867158</v>
      </c>
      <c r="BP177" s="1">
        <f t="shared" si="45"/>
        <v>-1.775526429210277</v>
      </c>
      <c r="BT177" s="1">
        <f t="shared" si="46"/>
        <v>138.58184021883085</v>
      </c>
      <c r="BU177" s="1">
        <f t="shared" si="47"/>
        <v>-69.561462559863799</v>
      </c>
    </row>
    <row r="178" spans="49:73">
      <c r="AW178" s="1">
        <v>168</v>
      </c>
      <c r="AX178" s="1">
        <f t="shared" si="48"/>
        <v>84</v>
      </c>
      <c r="AZ178" s="1">
        <f t="shared" si="49"/>
        <v>-55890.632636228082</v>
      </c>
      <c r="BA178" s="1">
        <f t="shared" si="50"/>
        <v>11117.006338086043</v>
      </c>
      <c r="BC178" s="1">
        <f t="shared" si="51"/>
        <v>-174.05973336297245</v>
      </c>
      <c r="BD178" s="1">
        <f t="shared" si="52"/>
        <v>1258.5187523354941</v>
      </c>
      <c r="BF178" s="1">
        <f t="shared" si="40"/>
        <v>356.02941563846622</v>
      </c>
      <c r="BG178" s="1">
        <f t="shared" si="41"/>
        <v>-78.144729211715969</v>
      </c>
      <c r="BJ178" s="1">
        <f t="shared" si="42"/>
        <v>88.298940034863037</v>
      </c>
      <c r="BK178" s="1">
        <f t="shared" si="43"/>
        <v>-4.208395880467557</v>
      </c>
      <c r="BO178" s="1">
        <f t="shared" si="44"/>
        <v>131.64433069005074</v>
      </c>
      <c r="BP178" s="1">
        <f t="shared" si="45"/>
        <v>-4.0971011362293881</v>
      </c>
      <c r="BT178" s="1">
        <f t="shared" si="46"/>
        <v>136.08614491355246</v>
      </c>
      <c r="BU178" s="1">
        <f t="shared" si="47"/>
        <v>-69.839232195019022</v>
      </c>
    </row>
    <row r="179" spans="49:73">
      <c r="AW179" s="1">
        <v>169</v>
      </c>
      <c r="AX179" s="1">
        <f t="shared" si="48"/>
        <v>84.5</v>
      </c>
      <c r="AZ179" s="1">
        <f t="shared" si="49"/>
        <v>-55933.158825954757</v>
      </c>
      <c r="BA179" s="1">
        <f t="shared" si="50"/>
        <v>11736.497623102325</v>
      </c>
      <c r="BC179" s="1">
        <f t="shared" si="51"/>
        <v>3.9549744562606577</v>
      </c>
      <c r="BD179" s="1">
        <f t="shared" si="52"/>
        <v>1219.4463877296362</v>
      </c>
      <c r="BF179" s="1">
        <f t="shared" si="40"/>
        <v>353.16894403587077</v>
      </c>
      <c r="BG179" s="1">
        <f t="shared" si="41"/>
        <v>-81.582770001515371</v>
      </c>
      <c r="BJ179" s="1">
        <f t="shared" si="42"/>
        <v>88.093540428045642</v>
      </c>
      <c r="BK179" s="1">
        <f t="shared" si="43"/>
        <v>-4.914955210667693</v>
      </c>
      <c r="BO179" s="1">
        <f t="shared" si="44"/>
        <v>131.09120665692083</v>
      </c>
      <c r="BP179" s="1">
        <f t="shared" si="45"/>
        <v>-6.3350837000429019</v>
      </c>
      <c r="BT179" s="1">
        <f t="shared" si="46"/>
        <v>133.98419695090428</v>
      </c>
      <c r="BU179" s="1">
        <f t="shared" si="47"/>
        <v>-70.332731090804771</v>
      </c>
    </row>
    <row r="180" spans="49:73">
      <c r="AW180" s="1">
        <v>170</v>
      </c>
      <c r="AX180" s="1">
        <f t="shared" si="48"/>
        <v>85</v>
      </c>
      <c r="AZ180" s="1">
        <f t="shared" si="49"/>
        <v>-55887.035220722144</v>
      </c>
      <c r="BA180" s="1">
        <f t="shared" si="50"/>
        <v>12336.022970716953</v>
      </c>
      <c r="BC180" s="1">
        <f t="shared" si="51"/>
        <v>180.53944647419604</v>
      </c>
      <c r="BD180" s="1">
        <f t="shared" si="52"/>
        <v>1178.6550027288786</v>
      </c>
      <c r="BF180" s="1">
        <f t="shared" si="40"/>
        <v>351.37200697858884</v>
      </c>
      <c r="BG180" s="1">
        <f t="shared" si="41"/>
        <v>-85.184827830066155</v>
      </c>
      <c r="BJ180" s="1">
        <f t="shared" si="42"/>
        <v>88.075129542485357</v>
      </c>
      <c r="BK180" s="1">
        <f t="shared" si="43"/>
        <v>-5.6127288195865992</v>
      </c>
      <c r="BO180" s="1">
        <f t="shared" si="44"/>
        <v>131.05039101169808</v>
      </c>
      <c r="BP180" s="1">
        <f t="shared" si="45"/>
        <v>-8.5305660342761787</v>
      </c>
      <c r="BT180" s="1">
        <f t="shared" si="46"/>
        <v>132.24648642440545</v>
      </c>
      <c r="BU180" s="1">
        <f t="shared" si="47"/>
        <v>-71.041532976203371</v>
      </c>
    </row>
    <row r="181" spans="49:73">
      <c r="AW181" s="1">
        <v>171</v>
      </c>
      <c r="AX181" s="1">
        <f t="shared" si="48"/>
        <v>85.5</v>
      </c>
      <c r="AZ181" s="1">
        <f t="shared" si="49"/>
        <v>-55752.843996612719</v>
      </c>
      <c r="BA181" s="1">
        <f t="shared" si="50"/>
        <v>12914.702368602635</v>
      </c>
      <c r="BC181" s="1">
        <f t="shared" si="51"/>
        <v>356.22544996349046</v>
      </c>
      <c r="BD181" s="1">
        <f t="shared" si="52"/>
        <v>1136.0625888138454</v>
      </c>
      <c r="BF181" s="1">
        <f t="shared" si="40"/>
        <v>350.6184560978088</v>
      </c>
      <c r="BG181" s="1">
        <f t="shared" si="41"/>
        <v>-88.99874187422688</v>
      </c>
      <c r="BJ181" s="1">
        <f t="shared" si="42"/>
        <v>88.243603885850646</v>
      </c>
      <c r="BK181" s="1">
        <f t="shared" si="43"/>
        <v>-6.3075235960264875</v>
      </c>
      <c r="BO181" s="1">
        <f t="shared" si="44"/>
        <v>131.52552066321553</v>
      </c>
      <c r="BP181" s="1">
        <f t="shared" si="45"/>
        <v>-10.7224406160553</v>
      </c>
      <c r="BT181" s="1">
        <f t="shared" si="46"/>
        <v>130.84933154874261</v>
      </c>
      <c r="BU181" s="1">
        <f t="shared" si="47"/>
        <v>-71.968777662145101</v>
      </c>
    </row>
    <row r="182" spans="49:73">
      <c r="AW182" s="1">
        <v>172</v>
      </c>
      <c r="AX182" s="1">
        <f t="shared" si="48"/>
        <v>86</v>
      </c>
      <c r="AZ182" s="1">
        <f t="shared" si="49"/>
        <v>-55530.903964618752</v>
      </c>
      <c r="BA182" s="1">
        <f t="shared" si="50"/>
        <v>13471.60882027528</v>
      </c>
      <c r="BC182" s="1">
        <f t="shared" si="51"/>
        <v>531.53467801239481</v>
      </c>
      <c r="BD182" s="1">
        <f t="shared" si="52"/>
        <v>1091.5632178767319</v>
      </c>
      <c r="BF182" s="1">
        <f t="shared" si="40"/>
        <v>350.9053633997753</v>
      </c>
      <c r="BG182" s="1">
        <f t="shared" si="41"/>
        <v>-93.075184607447866</v>
      </c>
      <c r="BJ182" s="1">
        <f t="shared" si="42"/>
        <v>88.60120140493575</v>
      </c>
      <c r="BK182" s="1">
        <f t="shared" si="43"/>
        <v>-7.0049699927402633</v>
      </c>
      <c r="BO182" s="1">
        <f t="shared" si="44"/>
        <v>132.53007896946292</v>
      </c>
      <c r="BP182" s="1">
        <f t="shared" si="45"/>
        <v>-12.949082059953261</v>
      </c>
      <c r="BT182" s="1">
        <f t="shared" si="46"/>
        <v>129.77408302537663</v>
      </c>
      <c r="BU182" s="1">
        <f t="shared" si="47"/>
        <v>-73.12113255475434</v>
      </c>
    </row>
    <row r="183" spans="49:73">
      <c r="AW183" s="1">
        <v>173</v>
      </c>
      <c r="AX183" s="1">
        <f t="shared" si="48"/>
        <v>86.5</v>
      </c>
      <c r="AZ183" s="1">
        <f t="shared" si="49"/>
        <v>-55221.273455187584</v>
      </c>
      <c r="BA183" s="1">
        <f t="shared" si="50"/>
        <v>14005.756031137716</v>
      </c>
      <c r="BC183" s="1">
        <f t="shared" si="51"/>
        <v>706.98735971228245</v>
      </c>
      <c r="BD183" s="1">
        <f t="shared" si="52"/>
        <v>1045.025625573008</v>
      </c>
      <c r="BF183" s="1">
        <f t="shared" si="40"/>
        <v>352.24725882739926</v>
      </c>
      <c r="BG183" s="1">
        <f t="shared" si="41"/>
        <v>-97.469544523198465</v>
      </c>
      <c r="BJ183" s="1">
        <f t="shared" si="42"/>
        <v>89.152571610156855</v>
      </c>
      <c r="BK183" s="1">
        <f t="shared" si="43"/>
        <v>-7.7106495782705391</v>
      </c>
      <c r="BO183" s="1">
        <f t="shared" si="44"/>
        <v>134.08817363169365</v>
      </c>
      <c r="BP183" s="1">
        <f t="shared" si="45"/>
        <v>-15.250002556346738</v>
      </c>
      <c r="BT183" s="1">
        <f t="shared" si="46"/>
        <v>129.00651358554876</v>
      </c>
      <c r="BU183" s="1">
        <f t="shared" si="47"/>
        <v>-74.508892388581188</v>
      </c>
    </row>
    <row r="184" spans="49:73">
      <c r="AW184" s="1">
        <v>174</v>
      </c>
      <c r="AX184" s="1">
        <f t="shared" si="48"/>
        <v>87</v>
      </c>
      <c r="AZ184" s="1">
        <f t="shared" si="49"/>
        <v>-54823.748867978022</v>
      </c>
      <c r="BA184" s="1">
        <f t="shared" si="50"/>
        <v>14516.085150858822</v>
      </c>
      <c r="BC184" s="1">
        <f t="shared" si="51"/>
        <v>883.11098912598209</v>
      </c>
      <c r="BD184" s="1">
        <f t="shared" si="52"/>
        <v>996.2908533114088</v>
      </c>
      <c r="BF184" s="1">
        <f t="shared" si="40"/>
        <v>354.67708181444442</v>
      </c>
      <c r="BG184" s="1">
        <f t="shared" si="41"/>
        <v>-102.24404882901274</v>
      </c>
      <c r="BJ184" s="1">
        <f t="shared" si="42"/>
        <v>89.904923959314445</v>
      </c>
      <c r="BK184" s="1">
        <f t="shared" si="43"/>
        <v>-8.4302191686895007</v>
      </c>
      <c r="BO184" s="1">
        <f t="shared" si="44"/>
        <v>136.23580187321804</v>
      </c>
      <c r="BP184" s="1">
        <f t="shared" si="45"/>
        <v>-17.667611956067613</v>
      </c>
      <c r="BT184" s="1">
        <f t="shared" si="46"/>
        <v>128.53635598191192</v>
      </c>
      <c r="BU184" s="1">
        <f t="shared" si="47"/>
        <v>-76.146217704255633</v>
      </c>
    </row>
    <row r="185" spans="49:73">
      <c r="AW185" s="1">
        <v>175</v>
      </c>
      <c r="AX185" s="1">
        <f t="shared" si="48"/>
        <v>87.5</v>
      </c>
      <c r="AZ185" s="1">
        <f t="shared" si="49"/>
        <v>-54337.858738188224</v>
      </c>
      <c r="BA185" s="1">
        <f t="shared" si="50"/>
        <v>15001.4500714109</v>
      </c>
      <c r="BC185" s="1">
        <f t="shared" si="51"/>
        <v>1060.4495300332044</v>
      </c>
      <c r="BD185" s="1">
        <f t="shared" si="52"/>
        <v>945.16882889690237</v>
      </c>
      <c r="BF185" s="1">
        <f t="shared" si="40"/>
        <v>358.24794298886422</v>
      </c>
      <c r="BG185" s="1">
        <f t="shared" si="41"/>
        <v>-107.47028873950453</v>
      </c>
      <c r="BJ185" s="1">
        <f t="shared" si="42"/>
        <v>90.868263510486486</v>
      </c>
      <c r="BK185" s="1">
        <f t="shared" si="43"/>
        <v>-9.1695369407991159</v>
      </c>
      <c r="BO185" s="1">
        <f t="shared" si="44"/>
        <v>139.02271759245252</v>
      </c>
      <c r="BP185" s="1">
        <f t="shared" si="45"/>
        <v>-20.249229462209506</v>
      </c>
      <c r="BT185" s="1">
        <f t="shared" si="46"/>
        <v>128.35696188592522</v>
      </c>
      <c r="BU185" s="1">
        <f t="shared" si="47"/>
        <v>-78.051522336495907</v>
      </c>
    </row>
    <row r="186" spans="49:73">
      <c r="AW186" s="1">
        <v>176</v>
      </c>
      <c r="AX186" s="1">
        <f t="shared" si="48"/>
        <v>88</v>
      </c>
      <c r="AZ186" s="1">
        <f t="shared" si="49"/>
        <v>-53762.852980298012</v>
      </c>
      <c r="BA186" s="1">
        <f t="shared" si="50"/>
        <v>15460.600699766912</v>
      </c>
      <c r="BC186" s="1">
        <f t="shared" si="51"/>
        <v>1239.5735015276364</v>
      </c>
      <c r="BD186" s="1">
        <f t="shared" si="52"/>
        <v>891.43368452715015</v>
      </c>
      <c r="BF186" s="1">
        <f t="shared" si="40"/>
        <v>363.03585965792331</v>
      </c>
      <c r="BG186" s="1">
        <f t="shared" si="41"/>
        <v>-113.23235662691617</v>
      </c>
      <c r="BJ186" s="1">
        <f t="shared" si="42"/>
        <v>92.055728612126472</v>
      </c>
      <c r="BK186" s="1">
        <f t="shared" si="43"/>
        <v>-9.9347960117944751</v>
      </c>
      <c r="BO186" s="1">
        <f t="shared" si="44"/>
        <v>142.5150703149217</v>
      </c>
      <c r="BP186" s="1">
        <f t="shared" si="45"/>
        <v>-23.049530001007724</v>
      </c>
      <c r="BT186" s="1">
        <f t="shared" si="46"/>
        <v>128.46506073087514</v>
      </c>
      <c r="BU186" s="1">
        <f t="shared" si="47"/>
        <v>-80.248030614113972</v>
      </c>
    </row>
    <row r="187" spans="49:73">
      <c r="AW187" s="1">
        <v>177</v>
      </c>
      <c r="AX187" s="1">
        <f t="shared" si="48"/>
        <v>88.5</v>
      </c>
      <c r="AZ187" s="1">
        <f t="shared" si="49"/>
        <v>-53097.686747076958</v>
      </c>
      <c r="BA187" s="1">
        <f t="shared" si="50"/>
        <v>15892.163497452122</v>
      </c>
      <c r="BC187" s="1">
        <f t="shared" si="51"/>
        <v>1421.0914313565982</v>
      </c>
      <c r="BD187" s="1">
        <f t="shared" si="52"/>
        <v>834.81750621369201</v>
      </c>
      <c r="BF187" s="1">
        <f t="shared" si="40"/>
        <v>369.14371931232063</v>
      </c>
      <c r="BG187" s="1">
        <f t="shared" si="41"/>
        <v>-119.63088071186436</v>
      </c>
      <c r="BJ187" s="1">
        <f t="shared" si="42"/>
        <v>93.484052695155981</v>
      </c>
      <c r="BK187" s="1">
        <f t="shared" si="43"/>
        <v>-10.732671436467184</v>
      </c>
      <c r="BO187" s="1">
        <f t="shared" si="44"/>
        <v>146.79906455372512</v>
      </c>
      <c r="BP187" s="1">
        <f t="shared" si="45"/>
        <v>-26.133672006547908</v>
      </c>
      <c r="BT187" s="1">
        <f t="shared" si="46"/>
        <v>128.8606020634395</v>
      </c>
      <c r="BU187" s="1">
        <f t="shared" si="47"/>
        <v>-82.764537268849281</v>
      </c>
    </row>
    <row r="188" spans="49:73">
      <c r="AW188" s="1">
        <v>178</v>
      </c>
      <c r="AX188" s="1">
        <f t="shared" si="48"/>
        <v>89</v>
      </c>
      <c r="AZ188" s="1">
        <f t="shared" si="49"/>
        <v>-52340.998066484615</v>
      </c>
      <c r="BA188" s="1">
        <f t="shared" si="50"/>
        <v>16294.618390469985</v>
      </c>
      <c r="BC188" s="1">
        <f t="shared" si="51"/>
        <v>1605.6632910127585</v>
      </c>
      <c r="BD188" s="1">
        <f t="shared" si="52"/>
        <v>775.00206585775982</v>
      </c>
      <c r="BF188" s="1">
        <f t="shared" si="40"/>
        <v>376.70685270893568</v>
      </c>
      <c r="BG188" s="1">
        <f t="shared" si="41"/>
        <v>-126.78836452357532</v>
      </c>
      <c r="BJ188" s="1">
        <f t="shared" si="42"/>
        <v>95.17418194414968</v>
      </c>
      <c r="BK188" s="1">
        <f t="shared" si="43"/>
        <v>-11.57048745795152</v>
      </c>
      <c r="BO188" s="1">
        <f t="shared" si="44"/>
        <v>151.98600308838499</v>
      </c>
      <c r="BP188" s="1">
        <f t="shared" si="45"/>
        <v>-29.581458437598741</v>
      </c>
      <c r="BT188" s="1">
        <f t="shared" si="46"/>
        <v>129.54666767640097</v>
      </c>
      <c r="BU188" s="1">
        <f t="shared" si="47"/>
        <v>-85.636418628025069</v>
      </c>
    </row>
    <row r="189" spans="49:73">
      <c r="AW189" s="1">
        <v>179</v>
      </c>
      <c r="AX189" s="1">
        <f t="shared" si="48"/>
        <v>89.5</v>
      </c>
      <c r="AZ189" s="1">
        <f t="shared" si="49"/>
        <v>-51491.078064389621</v>
      </c>
      <c r="BA189" s="1">
        <f t="shared" si="50"/>
        <v>16666.270877833416</v>
      </c>
      <c r="BC189" s="1">
        <f t="shared" si="51"/>
        <v>1794.0167173672262</v>
      </c>
      <c r="BD189" s="1">
        <f t="shared" si="52"/>
        <v>711.60788359597211</v>
      </c>
      <c r="BF189" s="1">
        <f t="shared" si="40"/>
        <v>385.9007831208724</v>
      </c>
      <c r="BG189" s="1">
        <f t="shared" si="41"/>
        <v>-134.8564313639009</v>
      </c>
      <c r="BJ189" s="1">
        <f t="shared" si="42"/>
        <v>97.152094034418269</v>
      </c>
      <c r="BK189" s="1">
        <f t="shared" si="43"/>
        <v>-12.456413224964354</v>
      </c>
      <c r="BO189" s="1">
        <f t="shared" si="44"/>
        <v>158.21924844531574</v>
      </c>
      <c r="BP189" s="1">
        <f t="shared" si="45"/>
        <v>-33.493053685462698</v>
      </c>
      <c r="BT189" s="1">
        <f t="shared" si="46"/>
        <v>130.52944064113839</v>
      </c>
      <c r="BU189" s="1">
        <f t="shared" si="47"/>
        <v>-88.906964453473847</v>
      </c>
    </row>
    <row r="190" spans="49:73">
      <c r="AW190" s="1">
        <v>180</v>
      </c>
      <c r="AX190" s="1">
        <f t="shared" si="48"/>
        <v>90</v>
      </c>
      <c r="AZ190" s="1">
        <f t="shared" si="49"/>
        <v>-50545.832107815899</v>
      </c>
      <c r="BA190" s="1">
        <f t="shared" si="50"/>
        <v>17005.217765710913</v>
      </c>
      <c r="BC190" s="1">
        <f t="shared" si="51"/>
        <v>1986.9671089276624</v>
      </c>
      <c r="BD190" s="1">
        <f t="shared" si="52"/>
        <v>644.17966791402171</v>
      </c>
      <c r="BF190" s="1">
        <f t="shared" si="40"/>
        <v>396.95199419508549</v>
      </c>
      <c r="BG190" s="1">
        <f t="shared" si="41"/>
        <v>-144.02588410623716</v>
      </c>
      <c r="BJ190" s="1">
        <f t="shared" si="42"/>
        <v>99.44988217353378</v>
      </c>
      <c r="BK190" s="1">
        <f t="shared" si="43"/>
        <v>-13.399697169763764</v>
      </c>
      <c r="BO190" s="1">
        <f t="shared" si="44"/>
        <v>165.68389509581704</v>
      </c>
      <c r="BP190" s="1">
        <f t="shared" si="45"/>
        <v>-37.997058365302138</v>
      </c>
      <c r="BT190" s="1">
        <f t="shared" si="46"/>
        <v>131.81821692573467</v>
      </c>
      <c r="BU190" s="1">
        <f t="shared" si="47"/>
        <v>-92.62912857117125</v>
      </c>
    </row>
    <row r="191" spans="49:73">
      <c r="AW191" s="1">
        <v>181</v>
      </c>
      <c r="AX191" s="1">
        <f t="shared" si="48"/>
        <v>90.5</v>
      </c>
      <c r="AZ191" s="1">
        <f t="shared" si="49"/>
        <v>-49502.729554077683</v>
      </c>
      <c r="BA191" s="1">
        <f t="shared" si="50"/>
        <v>17309.304364154646</v>
      </c>
      <c r="BC191" s="1">
        <f t="shared" si="51"/>
        <v>2185.443106025205</v>
      </c>
      <c r="BD191" s="1">
        <f t="shared" si="52"/>
        <v>572.16672586090317</v>
      </c>
      <c r="BF191" s="1">
        <f t="shared" si="40"/>
        <v>410.15297856721014</v>
      </c>
      <c r="BG191" s="1">
        <f t="shared" si="41"/>
        <v>-154.54099845859446</v>
      </c>
      <c r="BJ191" s="1">
        <f t="shared" si="42"/>
        <v>102.10719641760605</v>
      </c>
      <c r="BK191" s="1">
        <f t="shared" si="43"/>
        <v>-14.41095297777489</v>
      </c>
      <c r="BO191" s="1">
        <f t="shared" si="44"/>
        <v>174.6203415223664</v>
      </c>
      <c r="BP191" s="1">
        <f t="shared" si="45"/>
        <v>-43.262208061802816</v>
      </c>
      <c r="BT191" s="1">
        <f t="shared" si="46"/>
        <v>133.42544062723772</v>
      </c>
      <c r="BU191" s="1">
        <f t="shared" si="47"/>
        <v>-96.867837419016737</v>
      </c>
    </row>
    <row r="192" spans="49:73">
      <c r="AW192" s="1">
        <v>182</v>
      </c>
      <c r="AX192" s="1">
        <f t="shared" si="48"/>
        <v>91</v>
      </c>
      <c r="AZ192" s="1">
        <f t="shared" si="49"/>
        <v>-48358.738878744174</v>
      </c>
      <c r="BA192" s="1">
        <f t="shared" si="50"/>
        <v>17576.070102277772</v>
      </c>
      <c r="BC192" s="1">
        <f t="shared" si="51"/>
        <v>2390.51959530881</v>
      </c>
      <c r="BD192" s="1">
        <f t="shared" si="52"/>
        <v>494.89622663160594</v>
      </c>
      <c r="BF192" s="1">
        <f t="shared" si="40"/>
        <v>425.88347857014173</v>
      </c>
      <c r="BG192" s="1">
        <f t="shared" si="41"/>
        <v>-166.72031931107566</v>
      </c>
      <c r="BJ192" s="1">
        <f t="shared" si="42"/>
        <v>105.17317551219517</v>
      </c>
      <c r="BK192" s="1">
        <f t="shared" si="43"/>
        <v>-15.502513749117178</v>
      </c>
      <c r="BO192" s="1">
        <f t="shared" si="44"/>
        <v>185.34356889792568</v>
      </c>
      <c r="BP192" s="1">
        <f t="shared" si="45"/>
        <v>-49.514750179159478</v>
      </c>
      <c r="BT192" s="1">
        <f t="shared" si="46"/>
        <v>135.36673416002085</v>
      </c>
      <c r="BU192" s="1">
        <f t="shared" si="47"/>
        <v>-101.70305538279899</v>
      </c>
    </row>
    <row r="193" spans="49:73">
      <c r="AW193" s="1">
        <v>183</v>
      </c>
      <c r="AX193" s="1">
        <f t="shared" si="48"/>
        <v>91.5</v>
      </c>
      <c r="AZ193" s="1">
        <f t="shared" si="49"/>
        <v>-47110.2436462685</v>
      </c>
      <c r="BA193" s="1">
        <f t="shared" si="50"/>
        <v>17802.678175679692</v>
      </c>
      <c r="BC193" s="1">
        <f t="shared" si="51"/>
        <v>2603.461334593881</v>
      </c>
      <c r="BD193" s="1">
        <f t="shared" si="52"/>
        <v>411.53606697606813</v>
      </c>
      <c r="BF193" s="1">
        <f t="shared" si="40"/>
        <v>444.64084695903205</v>
      </c>
      <c r="BG193" s="1">
        <f t="shared" si="41"/>
        <v>-180.98769705704584</v>
      </c>
      <c r="BJ193" s="1">
        <f t="shared" si="42"/>
        <v>108.70906533109446</v>
      </c>
      <c r="BK193" s="1">
        <f t="shared" si="43"/>
        <v>-16.688875707091544</v>
      </c>
      <c r="BO193" s="1">
        <f t="shared" si="44"/>
        <v>198.2709048851425</v>
      </c>
      <c r="BP193" s="1">
        <f t="shared" si="45"/>
        <v>-57.06492654972886</v>
      </c>
      <c r="BT193" s="1">
        <f t="shared" si="46"/>
        <v>137.66087674279512</v>
      </c>
      <c r="BU193" s="1">
        <f t="shared" si="47"/>
        <v>-107.23389480022543</v>
      </c>
    </row>
    <row r="194" spans="49:73">
      <c r="AW194" s="1">
        <v>184</v>
      </c>
      <c r="AX194" s="1">
        <f t="shared" si="48"/>
        <v>92</v>
      </c>
      <c r="AZ194" s="1">
        <f t="shared" si="49"/>
        <v>-45752.932873101679</v>
      </c>
      <c r="BA194" s="1">
        <f t="shared" si="50"/>
        <v>17985.822747035596</v>
      </c>
      <c r="BC194" s="1">
        <f t="shared" si="51"/>
        <v>2825.7817580733972</v>
      </c>
      <c r="BD194" s="1">
        <f t="shared" si="52"/>
        <v>321.04221844754522</v>
      </c>
      <c r="BF194" s="1">
        <f t="shared" si="40"/>
        <v>467.08405688053949</v>
      </c>
      <c r="BG194" s="1">
        <f t="shared" si="41"/>
        <v>-197.91990709912756</v>
      </c>
      <c r="BJ194" s="1">
        <f t="shared" si="42"/>
        <v>112.79181782573198</v>
      </c>
      <c r="BK194" s="1">
        <f t="shared" si="43"/>
        <v>-17.987258626457141</v>
      </c>
      <c r="BO194" s="1">
        <f t="shared" si="44"/>
        <v>213.96258677011929</v>
      </c>
      <c r="BP194" s="1">
        <f t="shared" si="45"/>
        <v>-66.348454401791969</v>
      </c>
      <c r="BT194" s="1">
        <f t="shared" si="46"/>
        <v>140.32965228468819</v>
      </c>
      <c r="BU194" s="1">
        <f t="shared" si="47"/>
        <v>-113.58419407087845</v>
      </c>
    </row>
    <row r="195" spans="49:73">
      <c r="AW195" s="1">
        <v>185</v>
      </c>
      <c r="AX195" s="1">
        <f t="shared" si="48"/>
        <v>92.5</v>
      </c>
      <c r="AZ195" s="1">
        <f t="shared" si="49"/>
        <v>-44281.656486954911</v>
      </c>
      <c r="BA195" s="1">
        <f t="shared" si="50"/>
        <v>18121.603867871978</v>
      </c>
      <c r="BC195" s="1">
        <f t="shared" si="51"/>
        <v>3059.3237865136671</v>
      </c>
      <c r="BD195" s="1">
        <f t="shared" si="52"/>
        <v>222.08226489798145</v>
      </c>
      <c r="BF195" s="1">
        <f t="shared" si="40"/>
        <v>494.09839572321096</v>
      </c>
      <c r="BG195" s="1">
        <f t="shared" si="41"/>
        <v>-218.32198194549375</v>
      </c>
      <c r="BJ195" s="1">
        <f t="shared" si="42"/>
        <v>117.51912057495501</v>
      </c>
      <c r="BK195" s="1">
        <f t="shared" si="43"/>
        <v>-19.418316419726509</v>
      </c>
      <c r="BO195" s="1">
        <f t="shared" si="44"/>
        <v>233.18184466706745</v>
      </c>
      <c r="BP195" s="1">
        <f t="shared" si="45"/>
        <v>-77.993466903010074</v>
      </c>
      <c r="BT195" s="1">
        <f t="shared" si="46"/>
        <v>143.39743048118851</v>
      </c>
      <c r="BU195" s="1">
        <f t="shared" si="47"/>
        <v>-120.91019862275718</v>
      </c>
    </row>
    <row r="196" spans="49:73">
      <c r="AW196" s="1">
        <v>186</v>
      </c>
      <c r="AX196" s="1">
        <f t="shared" si="48"/>
        <v>93</v>
      </c>
      <c r="AZ196" s="1">
        <f t="shared" si="49"/>
        <v>-42690.232294232679</v>
      </c>
      <c r="BA196" s="1">
        <f t="shared" si="50"/>
        <v>18205.354752577783</v>
      </c>
      <c r="BC196" s="1">
        <f t="shared" si="51"/>
        <v>3306.3729843752726</v>
      </c>
      <c r="BD196" s="1">
        <f t="shared" si="52"/>
        <v>112.92127392523457</v>
      </c>
      <c r="BF196" s="1">
        <f t="shared" si="40"/>
        <v>526.89166063861762</v>
      </c>
      <c r="BG196" s="1">
        <f t="shared" si="41"/>
        <v>-243.35049561079944</v>
      </c>
      <c r="BJ196" s="1">
        <f t="shared" si="42"/>
        <v>123.01656309530586</v>
      </c>
      <c r="BK196" s="1">
        <f t="shared" si="43"/>
        <v>-21.007035708484235</v>
      </c>
      <c r="BO196" s="1">
        <f t="shared" si="44"/>
        <v>256.98485497921564</v>
      </c>
      <c r="BP196" s="1">
        <f t="shared" si="45"/>
        <v>-92.932142509629088</v>
      </c>
      <c r="BT196" s="1">
        <f t="shared" si="46"/>
        <v>146.89024256409613</v>
      </c>
      <c r="BU196" s="1">
        <f t="shared" si="47"/>
        <v>-129.4113173926861</v>
      </c>
    </row>
    <row r="197" spans="49:73">
      <c r="AW197" s="1">
        <v>187</v>
      </c>
      <c r="AX197" s="1">
        <f t="shared" si="48"/>
        <v>93.5</v>
      </c>
      <c r="AZ197" s="1">
        <f t="shared" si="49"/>
        <v>-40971.184344465219</v>
      </c>
      <c r="BA197" s="1">
        <f t="shared" si="50"/>
        <v>18231.39657758905</v>
      </c>
      <c r="BC197" s="1">
        <f t="shared" si="51"/>
        <v>3569.8188146945813</v>
      </c>
      <c r="BD197" s="1">
        <f t="shared" si="52"/>
        <v>-8.7539738801651481</v>
      </c>
      <c r="BF197" s="1">
        <f t="shared" si="40"/>
        <v>567.13775656833081</v>
      </c>
      <c r="BG197" s="1">
        <f t="shared" si="41"/>
        <v>-274.723048776079</v>
      </c>
      <c r="BJ197" s="1">
        <f t="shared" si="42"/>
        <v>129.44807840862788</v>
      </c>
      <c r="BK197" s="1">
        <f t="shared" si="43"/>
        <v>-22.78385569421749</v>
      </c>
      <c r="BO197" s="1">
        <f t="shared" si="44"/>
        <v>286.85575041931685</v>
      </c>
      <c r="BP197" s="1">
        <f t="shared" si="45"/>
        <v>-112.59370970559824</v>
      </c>
      <c r="BT197" s="1">
        <f t="shared" si="46"/>
        <v>150.83392774038606</v>
      </c>
      <c r="BU197" s="1">
        <f t="shared" si="47"/>
        <v>-139.34548337626327</v>
      </c>
    </row>
    <row r="198" spans="49:73">
      <c r="AW198" s="1">
        <v>188</v>
      </c>
      <c r="AX198" s="1">
        <f t="shared" si="48"/>
        <v>94</v>
      </c>
      <c r="AZ198" s="1">
        <f t="shared" si="49"/>
        <v>-39115.38271754689</v>
      </c>
      <c r="BA198" s="1">
        <f t="shared" si="50"/>
        <v>18192.67920955196</v>
      </c>
      <c r="BC198" s="1">
        <f t="shared" si="51"/>
        <v>3853.3876929787466</v>
      </c>
      <c r="BD198" s="1">
        <f t="shared" si="52"/>
        <v>-146.11549826820465</v>
      </c>
      <c r="BF198" s="1">
        <f t="shared" si="40"/>
        <v>617.18770432480721</v>
      </c>
      <c r="BG198" s="1">
        <f t="shared" si="41"/>
        <v>-315.08917230283566</v>
      </c>
      <c r="BJ198" s="1">
        <f t="shared" si="42"/>
        <v>137.03155194328932</v>
      </c>
      <c r="BK198" s="1">
        <f t="shared" si="43"/>
        <v>-24.786009311950739</v>
      </c>
      <c r="BO198" s="1">
        <f t="shared" si="44"/>
        <v>324.9055683410096</v>
      </c>
      <c r="BP198" s="1">
        <f t="shared" si="45"/>
        <v>-139.25157210541335</v>
      </c>
      <c r="BT198" s="1">
        <f t="shared" si="46"/>
        <v>155.2505840405083</v>
      </c>
      <c r="BU198" s="1">
        <f t="shared" si="47"/>
        <v>-151.05159088547157</v>
      </c>
    </row>
    <row r="199" spans="49:73">
      <c r="AW199" s="1">
        <v>189</v>
      </c>
      <c r="AX199" s="1">
        <f t="shared" si="48"/>
        <v>94.5</v>
      </c>
      <c r="AZ199" s="1">
        <f t="shared" si="49"/>
        <v>-37111.540408016917</v>
      </c>
      <c r="BA199" s="1">
        <f t="shared" si="50"/>
        <v>18080.235313880003</v>
      </c>
      <c r="BC199" s="1">
        <f t="shared" si="51"/>
        <v>4161.9815451411505</v>
      </c>
      <c r="BD199" s="1">
        <f t="shared" si="52"/>
        <v>-303.66008441962248</v>
      </c>
      <c r="BF199" s="1">
        <f t="shared" si="40"/>
        <v>680.35822779308023</v>
      </c>
      <c r="BG199" s="1">
        <f t="shared" si="41"/>
        <v>-368.71628484090297</v>
      </c>
      <c r="BJ199" s="1">
        <f t="shared" si="42"/>
        <v>146.06284883610925</v>
      </c>
      <c r="BK199" s="1">
        <f t="shared" si="43"/>
        <v>-27.058967421666502</v>
      </c>
      <c r="BO199" s="1">
        <f t="shared" si="44"/>
        <v>374.14346882324742</v>
      </c>
      <c r="BP199" s="1">
        <f t="shared" si="45"/>
        <v>-176.67417410455829</v>
      </c>
      <c r="BT199" s="1">
        <f t="shared" si="46"/>
        <v>160.15191013372348</v>
      </c>
      <c r="BU199" s="1">
        <f t="shared" si="47"/>
        <v>-164.98314331467822</v>
      </c>
    </row>
    <row r="200" spans="49:73">
      <c r="AW200" s="1">
        <v>190</v>
      </c>
      <c r="AX200" s="1">
        <f t="shared" si="48"/>
        <v>95</v>
      </c>
      <c r="AZ200" s="1">
        <f t="shared" si="49"/>
        <v>-34945.504856972206</v>
      </c>
      <c r="BA200" s="1">
        <f t="shared" si="50"/>
        <v>17882.31573606508</v>
      </c>
      <c r="BC200" s="1">
        <f t="shared" si="51"/>
        <v>4502.1606590376905</v>
      </c>
      <c r="BD200" s="1">
        <f t="shared" si="52"/>
        <v>-488.01822684007396</v>
      </c>
      <c r="BF200" s="1">
        <f t="shared" si="40"/>
        <v>761.22468676184189</v>
      </c>
      <c r="BG200" s="1">
        <f t="shared" si="41"/>
        <v>-442.81296143059365</v>
      </c>
      <c r="BJ200" s="1">
        <f t="shared" si="42"/>
        <v>156.95404740545487</v>
      </c>
      <c r="BK200" s="1">
        <f t="shared" si="43"/>
        <v>-29.657503019739398</v>
      </c>
      <c r="BO200" s="1">
        <f t="shared" si="44"/>
        <v>438.74387237463236</v>
      </c>
      <c r="BP200" s="1">
        <f t="shared" si="45"/>
        <v>-231.39517616946608</v>
      </c>
      <c r="BT200" s="1">
        <f t="shared" si="46"/>
        <v>165.52676698175466</v>
      </c>
      <c r="BU200" s="1">
        <f t="shared" si="47"/>
        <v>-181.76028224138818</v>
      </c>
    </row>
    <row r="201" spans="49:73">
      <c r="AW201" s="1">
        <v>191</v>
      </c>
      <c r="AX201" s="1">
        <f t="shared" si="48"/>
        <v>95.5</v>
      </c>
      <c r="AZ201" s="1">
        <f t="shared" si="49"/>
        <v>-32599.271441608129</v>
      </c>
      <c r="BA201" s="1">
        <f t="shared" si="50"/>
        <v>17582.95500246622</v>
      </c>
      <c r="BC201" s="1">
        <f t="shared" si="51"/>
        <v>4882.7730024186112</v>
      </c>
      <c r="BD201" s="1">
        <f t="shared" si="52"/>
        <v>-709.42470755537079</v>
      </c>
      <c r="BF201" s="1">
        <f t="shared" si="40"/>
        <v>865.42294715682738</v>
      </c>
      <c r="BG201" s="1">
        <f t="shared" si="41"/>
        <v>-550.15562585298289</v>
      </c>
      <c r="BJ201" s="1">
        <f t="shared" si="42"/>
        <v>170.29654422161008</v>
      </c>
      <c r="BK201" s="1">
        <f t="shared" si="43"/>
        <v>-32.644794222448191</v>
      </c>
      <c r="BO201" s="1">
        <f t="shared" si="44"/>
        <v>523.80863401578472</v>
      </c>
      <c r="BP201" s="1">
        <f t="shared" si="45"/>
        <v>-315.25769724491443</v>
      </c>
      <c r="BT201" s="1">
        <f t="shared" si="46"/>
        <v>171.31776891943269</v>
      </c>
      <c r="BU201" s="1">
        <f t="shared" si="47"/>
        <v>-202.25313438562031</v>
      </c>
    </row>
    <row r="202" spans="49:73">
      <c r="AW202" s="1">
        <v>192</v>
      </c>
      <c r="AX202" s="1">
        <f t="shared" si="48"/>
        <v>96</v>
      </c>
      <c r="AZ202" s="1">
        <f t="shared" si="49"/>
        <v>-30049.707072004221</v>
      </c>
      <c r="BA202" s="1">
        <f t="shared" si="50"/>
        <v>17159.473195456911</v>
      </c>
      <c r="BC202" s="1">
        <f t="shared" si="51"/>
        <v>5315.4844759970247</v>
      </c>
      <c r="BD202" s="1">
        <f t="shared" si="52"/>
        <v>-984.50252048186223</v>
      </c>
      <c r="BF202" s="1">
        <f t="shared" si="40"/>
        <v>996.50594815372324</v>
      </c>
      <c r="BG202" s="1">
        <f t="shared" si="41"/>
        <v>-714.16010695238992</v>
      </c>
      <c r="BJ202" s="1">
        <f t="shared" si="42"/>
        <v>186.96916079659746</v>
      </c>
      <c r="BK202" s="1">
        <f t="shared" si="43"/>
        <v>-36.084598746873034</v>
      </c>
      <c r="BO202" s="1">
        <f t="shared" si="44"/>
        <v>632.16027280296476</v>
      </c>
      <c r="BP202" s="1">
        <f t="shared" si="45"/>
        <v>-450.35487063832829</v>
      </c>
      <c r="BT202" s="1">
        <f t="shared" si="46"/>
        <v>177.37651455416102</v>
      </c>
      <c r="BU202" s="1">
        <f t="shared" si="47"/>
        <v>-227.72063756718859</v>
      </c>
    </row>
    <row r="203" spans="49:73">
      <c r="AW203" s="1">
        <v>193</v>
      </c>
      <c r="AX203" s="1">
        <f t="shared" si="48"/>
        <v>96.5</v>
      </c>
      <c r="AZ203" s="1">
        <f t="shared" si="49"/>
        <v>-27267.401590486494</v>
      </c>
      <c r="BA203" s="1">
        <f t="shared" si="50"/>
        <v>16577.951921846932</v>
      </c>
      <c r="BC203" s="1">
        <f t="shared" si="51"/>
        <v>5813.7374500738861</v>
      </c>
      <c r="BD203" s="1">
        <f t="shared" si="52"/>
        <v>-1341.5825739580573</v>
      </c>
      <c r="BF203" s="1">
        <f t="shared" ref="BF203:BF266" si="53">BJ203 + BO203 + BT203</f>
        <v>1138.566075228136</v>
      </c>
      <c r="BG203" s="1">
        <f t="shared" ref="BG203:BG266" si="54">BK203 + BP203 + BU203</f>
        <v>-976.0683622286133</v>
      </c>
      <c r="BJ203" s="1">
        <f t="shared" ref="BJ203:BJ266" si="55">$M$22*($M$18 - AZ203)/ (SQRT(($M$18 - AZ203)^2 + ($N$18 - BA203)^2 )^2 + $M$23^2)^(3/2)</f>
        <v>208.32853317663071</v>
      </c>
      <c r="BK203" s="1">
        <f t="shared" ref="BK203:BK266" si="56">$M$22*($N$18 - BA203)/ (SQRT(($M$18 - AZ203)^2 + ($N$18 - BA203)^2 )^2 + $M$23^2)^(3/2)</f>
        <v>-40.010585403259988</v>
      </c>
      <c r="BO203" s="1">
        <f t="shared" ref="BO203:BO266" si="57">$M$30*($M$26 - AZ203)/ (SQRT(($M$26 - AZ203)^2 + ($N$26 - BA203)^2 )^2 + $M$31^2)^(3/2)</f>
        <v>746.8614243011051</v>
      </c>
      <c r="BP203" s="1">
        <f t="shared" ref="BP203:BP266" si="58">$M$30*($N$26 - BA203)/ (SQRT(($M$26 - AZ203)^2 + ($N$26 - BA203)^2 )^2 + $M$31^2)^(3/2)</f>
        <v>-676.00757714641702</v>
      </c>
      <c r="BT203" s="1">
        <f t="shared" ref="BT203:BT266" si="59">$M$38*($M$34 - AZ203)/ (SQRT(($M$34 - AZ203)^2 + ($N$34 - BA203)^2 )^2 + $M$39^2)^(3/2)</f>
        <v>183.37611775040014</v>
      </c>
      <c r="BU203" s="1">
        <f t="shared" ref="BU203:BU266" si="60">$M$38*($N$34 - BA203)/ (SQRT(($M$34 - AZ203)^2 + ($N$34 - BA203)^2 )^2 + $M$39^2)^(3/2)</f>
        <v>-260.05019967893634</v>
      </c>
    </row>
    <row r="204" spans="49:73">
      <c r="AW204" s="1">
        <v>194</v>
      </c>
      <c r="AX204" s="1">
        <f t="shared" ref="AX204:AX267" si="61">AX203+$M$5</f>
        <v>97</v>
      </c>
      <c r="AZ204" s="1">
        <f t="shared" ref="AZ204:AZ267" si="62">AZ203 + BC203 * $M$5 + 0.5 * BF203 * POWER($M$5, 2)</f>
        <v>-24218.212106046034</v>
      </c>
      <c r="BA204" s="1">
        <f t="shared" ref="BA204:BA267" si="63">BA203+BD203*$M$5+0.5*BG203* POWER($M$5, 2)</f>
        <v>15785.152089589326</v>
      </c>
      <c r="BC204" s="1">
        <f t="shared" ref="BC204:BC267" si="64">BC203 + BF203 * $M$5</f>
        <v>6383.0204876879543</v>
      </c>
      <c r="BD204" s="1">
        <f t="shared" ref="BD204:BD267" si="65">BD203+BG203*$M$5</f>
        <v>-1829.616755072364</v>
      </c>
      <c r="BF204" s="1">
        <f t="shared" si="53"/>
        <v>1179.7823602626347</v>
      </c>
      <c r="BG204" s="1">
        <f t="shared" si="54"/>
        <v>-1381.4144625673473</v>
      </c>
      <c r="BJ204" s="1">
        <f t="shared" si="55"/>
        <v>236.53779039356883</v>
      </c>
      <c r="BK204" s="1">
        <f t="shared" si="56"/>
        <v>-44.320009222583622</v>
      </c>
      <c r="BO204" s="1">
        <f t="shared" si="57"/>
        <v>754.60759414923825</v>
      </c>
      <c r="BP204" s="1">
        <f t="shared" si="58"/>
        <v>-1034.9218081886559</v>
      </c>
      <c r="BT204" s="1">
        <f t="shared" si="59"/>
        <v>188.63697571982769</v>
      </c>
      <c r="BU204" s="1">
        <f t="shared" si="60"/>
        <v>-302.17264515610782</v>
      </c>
    </row>
    <row r="205" spans="49:73">
      <c r="AW205" s="1">
        <v>195</v>
      </c>
      <c r="AX205" s="1">
        <f t="shared" si="61"/>
        <v>97.5</v>
      </c>
      <c r="AZ205" s="1">
        <f t="shared" si="62"/>
        <v>-20879.229067169224</v>
      </c>
      <c r="BA205" s="1">
        <f t="shared" si="63"/>
        <v>14697.666904232226</v>
      </c>
      <c r="BC205" s="1">
        <f t="shared" si="64"/>
        <v>6972.9116678192713</v>
      </c>
      <c r="BD205" s="1">
        <f t="shared" si="65"/>
        <v>-2520.3239863560375</v>
      </c>
      <c r="BF205" s="1">
        <f t="shared" si="53"/>
        <v>726.11022155899229</v>
      </c>
      <c r="BG205" s="1">
        <f t="shared" si="54"/>
        <v>-1792.6194909943108</v>
      </c>
      <c r="BJ205" s="1">
        <f t="shared" si="55"/>
        <v>275.0114010720356</v>
      </c>
      <c r="BK205" s="1">
        <f t="shared" si="56"/>
        <v>-48.421668043941828</v>
      </c>
      <c r="BO205" s="1">
        <f t="shared" si="57"/>
        <v>259.31948800034473</v>
      </c>
      <c r="BP205" s="1">
        <f t="shared" si="58"/>
        <v>-1385.5280971587808</v>
      </c>
      <c r="BT205" s="1">
        <f t="shared" si="59"/>
        <v>191.77933248661193</v>
      </c>
      <c r="BU205" s="1">
        <f t="shared" si="60"/>
        <v>-358.66972579158823</v>
      </c>
    </row>
    <row r="206" spans="49:73">
      <c r="AW206" s="1">
        <v>196</v>
      </c>
      <c r="AX206" s="1">
        <f t="shared" si="61"/>
        <v>98</v>
      </c>
      <c r="AZ206" s="1">
        <f t="shared" si="62"/>
        <v>-17302.009455564716</v>
      </c>
      <c r="BA206" s="1">
        <f t="shared" si="63"/>
        <v>13213.427474679918</v>
      </c>
      <c r="BC206" s="1">
        <f t="shared" si="64"/>
        <v>7335.9667785987676</v>
      </c>
      <c r="BD206" s="1">
        <f t="shared" si="65"/>
        <v>-3416.6337318531928</v>
      </c>
      <c r="BF206" s="1">
        <f t="shared" si="53"/>
        <v>-373.09525738432319</v>
      </c>
      <c r="BG206" s="1">
        <f t="shared" si="54"/>
        <v>-1547.8078146170269</v>
      </c>
      <c r="BJ206" s="1">
        <f t="shared" si="55"/>
        <v>328.25991460914855</v>
      </c>
      <c r="BK206" s="1">
        <f t="shared" si="56"/>
        <v>-50.278503553491738</v>
      </c>
      <c r="BO206" s="1">
        <f t="shared" si="57"/>
        <v>-891.39518648893966</v>
      </c>
      <c r="BP206" s="1">
        <f t="shared" si="58"/>
        <v>-1061.6915574329937</v>
      </c>
      <c r="BT206" s="1">
        <f t="shared" si="59"/>
        <v>190.040014495468</v>
      </c>
      <c r="BU206" s="1">
        <f t="shared" si="60"/>
        <v>-435.83775363054156</v>
      </c>
    </row>
    <row r="207" spans="49:73">
      <c r="AW207" s="1">
        <v>197</v>
      </c>
      <c r="AX207" s="1">
        <f t="shared" si="61"/>
        <v>98.5</v>
      </c>
      <c r="AZ207" s="1">
        <f t="shared" si="62"/>
        <v>-13680.662973438371</v>
      </c>
      <c r="BA207" s="1">
        <f t="shared" si="63"/>
        <v>11311.634631926194</v>
      </c>
      <c r="BC207" s="1">
        <f t="shared" si="64"/>
        <v>7149.4191499066064</v>
      </c>
      <c r="BD207" s="1">
        <f t="shared" si="65"/>
        <v>-4190.5376391617065</v>
      </c>
      <c r="BF207" s="1">
        <f t="shared" si="53"/>
        <v>-737.46607856789637</v>
      </c>
      <c r="BG207" s="1">
        <f t="shared" si="54"/>
        <v>-857.17470080923124</v>
      </c>
      <c r="BJ207" s="1">
        <f t="shared" si="55"/>
        <v>399.55779667926055</v>
      </c>
      <c r="BK207" s="1">
        <f t="shared" si="56"/>
        <v>-45.217884709688008</v>
      </c>
      <c r="BO207" s="1">
        <f t="shared" si="57"/>
        <v>-1314.8641562176156</v>
      </c>
      <c r="BP207" s="1">
        <f t="shared" si="58"/>
        <v>-272.91175582572299</v>
      </c>
      <c r="BT207" s="1">
        <f t="shared" si="59"/>
        <v>177.84028097045871</v>
      </c>
      <c r="BU207" s="1">
        <f t="shared" si="60"/>
        <v>-539.04506027382024</v>
      </c>
    </row>
    <row r="208" spans="49:73">
      <c r="AW208" s="1">
        <v>198</v>
      </c>
      <c r="AX208" s="1">
        <f t="shared" si="61"/>
        <v>99</v>
      </c>
      <c r="AZ208" s="1">
        <f t="shared" si="62"/>
        <v>-10198.136658306055</v>
      </c>
      <c r="BA208" s="1">
        <f t="shared" si="63"/>
        <v>9109.2189747441862</v>
      </c>
      <c r="BC208" s="1">
        <f t="shared" si="64"/>
        <v>6780.6861106226579</v>
      </c>
      <c r="BD208" s="1">
        <f t="shared" si="65"/>
        <v>-4619.1249895663223</v>
      </c>
      <c r="BF208" s="1">
        <f t="shared" si="53"/>
        <v>-365.49134774372828</v>
      </c>
      <c r="BG208" s="1">
        <f t="shared" si="54"/>
        <v>-604.96674627786751</v>
      </c>
      <c r="BJ208" s="1">
        <f t="shared" si="55"/>
        <v>489.31637245031891</v>
      </c>
      <c r="BK208" s="1">
        <f t="shared" si="56"/>
        <v>-26.075025757705678</v>
      </c>
      <c r="BO208" s="1">
        <f t="shared" si="57"/>
        <v>-999.19980496077562</v>
      </c>
      <c r="BP208" s="1">
        <f t="shared" si="58"/>
        <v>90.806022862235551</v>
      </c>
      <c r="BT208" s="1">
        <f t="shared" si="59"/>
        <v>144.39208476672846</v>
      </c>
      <c r="BU208" s="1">
        <f t="shared" si="60"/>
        <v>-669.69774338239745</v>
      </c>
    </row>
    <row r="209" spans="49:73">
      <c r="AW209" s="1">
        <v>199</v>
      </c>
      <c r="AX209" s="1">
        <f t="shared" si="61"/>
        <v>99.5</v>
      </c>
      <c r="AZ209" s="1">
        <f t="shared" si="62"/>
        <v>-6853.480021462693</v>
      </c>
      <c r="BA209" s="1">
        <f t="shared" si="63"/>
        <v>6724.0356366762917</v>
      </c>
      <c r="BC209" s="1">
        <f t="shared" si="64"/>
        <v>6597.9404367507941</v>
      </c>
      <c r="BD209" s="1">
        <f t="shared" si="65"/>
        <v>-4921.6083627052558</v>
      </c>
      <c r="BF209" s="1">
        <f t="shared" si="53"/>
        <v>1.5216956933034993</v>
      </c>
      <c r="BG209" s="1">
        <f t="shared" si="54"/>
        <v>-641.03549739571179</v>
      </c>
      <c r="BJ209" s="1">
        <f t="shared" si="55"/>
        <v>596.92551396642011</v>
      </c>
      <c r="BK209" s="1">
        <f t="shared" si="56"/>
        <v>17.248897574035947</v>
      </c>
      <c r="BO209" s="1">
        <f t="shared" si="57"/>
        <v>-665.72185154957265</v>
      </c>
      <c r="BP209" s="1">
        <f t="shared" si="58"/>
        <v>165.8903698562608</v>
      </c>
      <c r="BT209" s="1">
        <f t="shared" si="59"/>
        <v>70.318033276456035</v>
      </c>
      <c r="BU209" s="1">
        <f t="shared" si="60"/>
        <v>-824.17476482600853</v>
      </c>
    </row>
    <row r="210" spans="49:73">
      <c r="AW210" s="1">
        <v>200</v>
      </c>
      <c r="AX210" s="1">
        <f t="shared" si="61"/>
        <v>100</v>
      </c>
      <c r="AZ210" s="1">
        <f t="shared" si="62"/>
        <v>-3554.319591125633</v>
      </c>
      <c r="BA210" s="1">
        <f t="shared" si="63"/>
        <v>4183.1020181491995</v>
      </c>
      <c r="BC210" s="1">
        <f t="shared" si="64"/>
        <v>6598.7012845974459</v>
      </c>
      <c r="BD210" s="1">
        <f t="shared" si="65"/>
        <v>-5242.1261114031113</v>
      </c>
      <c r="BF210" s="1">
        <f t="shared" si="53"/>
        <v>198.83077734146053</v>
      </c>
      <c r="BG210" s="1">
        <f t="shared" si="54"/>
        <v>-727.09628959588701</v>
      </c>
      <c r="BJ210" s="1">
        <f t="shared" si="55"/>
        <v>717.87013111199224</v>
      </c>
      <c r="BK210" s="1">
        <f t="shared" si="56"/>
        <v>101.08982260788568</v>
      </c>
      <c r="BO210" s="1">
        <f t="shared" si="57"/>
        <v>-444.76971291207025</v>
      </c>
      <c r="BP210" s="1">
        <f t="shared" si="58"/>
        <v>157.31669235348241</v>
      </c>
      <c r="BT210" s="1">
        <f t="shared" si="59"/>
        <v>-74.269640858461443</v>
      </c>
      <c r="BU210" s="1">
        <f t="shared" si="60"/>
        <v>-985.5028045572551</v>
      </c>
    </row>
    <row r="211" spans="49:73">
      <c r="AW211" s="1">
        <v>201</v>
      </c>
      <c r="AX211" s="1">
        <f t="shared" si="61"/>
        <v>100.5</v>
      </c>
      <c r="AZ211" s="1">
        <f t="shared" si="62"/>
        <v>-230.11510165922746</v>
      </c>
      <c r="BA211" s="1">
        <f t="shared" si="63"/>
        <v>1471.1519262481579</v>
      </c>
      <c r="BC211" s="1">
        <f t="shared" si="64"/>
        <v>6698.1166732681759</v>
      </c>
      <c r="BD211" s="1">
        <f t="shared" si="65"/>
        <v>-5605.674256201055</v>
      </c>
      <c r="BF211" s="1">
        <f t="shared" si="53"/>
        <v>205.92195934381346</v>
      </c>
      <c r="BG211" s="1">
        <f t="shared" si="54"/>
        <v>-722.85998960159168</v>
      </c>
      <c r="BJ211" s="1">
        <f t="shared" si="55"/>
        <v>831.15109561287466</v>
      </c>
      <c r="BK211" s="1">
        <f t="shared" si="56"/>
        <v>247.69427443205362</v>
      </c>
      <c r="BO211" s="1">
        <f t="shared" si="57"/>
        <v>-305.94418250563768</v>
      </c>
      <c r="BP211" s="1">
        <f t="shared" si="58"/>
        <v>131.98617316470995</v>
      </c>
      <c r="BT211" s="1">
        <f t="shared" si="59"/>
        <v>-319.28495376342346</v>
      </c>
      <c r="BU211" s="1">
        <f t="shared" si="60"/>
        <v>-1102.5404371983552</v>
      </c>
    </row>
    <row r="212" spans="49:73">
      <c r="AW212" s="1">
        <v>202</v>
      </c>
      <c r="AX212" s="1">
        <f t="shared" si="61"/>
        <v>101</v>
      </c>
      <c r="AZ212" s="1">
        <f t="shared" si="62"/>
        <v>3144.6834798928371</v>
      </c>
      <c r="BA212" s="1">
        <f t="shared" si="63"/>
        <v>-1422.0427005525685</v>
      </c>
      <c r="BC212" s="1">
        <f t="shared" si="64"/>
        <v>6801.0776529400828</v>
      </c>
      <c r="BD212" s="1">
        <f t="shared" si="65"/>
        <v>-5967.1042510018506</v>
      </c>
      <c r="BF212" s="1">
        <f t="shared" si="53"/>
        <v>17.146123605401954</v>
      </c>
      <c r="BG212" s="1">
        <f t="shared" si="54"/>
        <v>-507.4116617769032</v>
      </c>
      <c r="BJ212" s="1">
        <f t="shared" si="55"/>
        <v>883.83971277182582</v>
      </c>
      <c r="BK212" s="1">
        <f t="shared" si="56"/>
        <v>467.84381939000292</v>
      </c>
      <c r="BO212" s="1">
        <f t="shared" si="57"/>
        <v>-217.34912673953465</v>
      </c>
      <c r="BP212" s="1">
        <f t="shared" si="58"/>
        <v>107.26312194779133</v>
      </c>
      <c r="BT212" s="1">
        <f t="shared" si="59"/>
        <v>-649.34446242688921</v>
      </c>
      <c r="BU212" s="1">
        <f t="shared" si="60"/>
        <v>-1082.5186031146975</v>
      </c>
    </row>
    <row r="213" spans="49:73">
      <c r="AW213" s="1">
        <v>203</v>
      </c>
      <c r="AX213" s="1">
        <f t="shared" si="61"/>
        <v>101.5</v>
      </c>
      <c r="AZ213" s="1">
        <f t="shared" si="62"/>
        <v>6547.3655718135542</v>
      </c>
      <c r="BA213" s="1">
        <f t="shared" si="63"/>
        <v>-4469.0212837756062</v>
      </c>
      <c r="BC213" s="1">
        <f t="shared" si="64"/>
        <v>6809.6507147427837</v>
      </c>
      <c r="BD213" s="1">
        <f t="shared" si="65"/>
        <v>-6220.8100818903022</v>
      </c>
      <c r="BF213" s="1">
        <f t="shared" si="53"/>
        <v>-300.02503928713145</v>
      </c>
      <c r="BG213" s="1">
        <f t="shared" si="54"/>
        <v>-59.153691079724126</v>
      </c>
      <c r="BJ213" s="1">
        <f t="shared" si="55"/>
        <v>806.12539360867152</v>
      </c>
      <c r="BK213" s="1">
        <f t="shared" si="56"/>
        <v>717.2224923676082</v>
      </c>
      <c r="BO213" s="1">
        <f t="shared" si="57"/>
        <v>-159.51327072876069</v>
      </c>
      <c r="BP213" s="1">
        <f t="shared" si="58"/>
        <v>86.938980931109782</v>
      </c>
      <c r="BT213" s="1">
        <f t="shared" si="59"/>
        <v>-946.63716216704233</v>
      </c>
      <c r="BU213" s="1">
        <f t="shared" si="60"/>
        <v>-863.31516437844209</v>
      </c>
    </row>
    <row r="214" spans="49:73">
      <c r="AW214" s="1">
        <v>204</v>
      </c>
      <c r="AX214" s="1">
        <f t="shared" si="61"/>
        <v>102</v>
      </c>
      <c r="AZ214" s="1">
        <f t="shared" si="62"/>
        <v>9914.6877992740538</v>
      </c>
      <c r="BA214" s="1">
        <f t="shared" si="63"/>
        <v>-7586.8205361057226</v>
      </c>
      <c r="BC214" s="1">
        <f t="shared" si="64"/>
        <v>6659.6381950992181</v>
      </c>
      <c r="BD214" s="1">
        <f t="shared" si="65"/>
        <v>-6250.3869274301642</v>
      </c>
      <c r="BF214" s="1">
        <f t="shared" si="53"/>
        <v>-592.6187318542585</v>
      </c>
      <c r="BG214" s="1">
        <f t="shared" si="54"/>
        <v>429.78928081042352</v>
      </c>
      <c r="BJ214" s="1">
        <f t="shared" si="55"/>
        <v>593.61883919618469</v>
      </c>
      <c r="BK214" s="1">
        <f t="shared" si="56"/>
        <v>888.00631210599477</v>
      </c>
      <c r="BO214" s="1">
        <f t="shared" si="57"/>
        <v>-121.10289849383413</v>
      </c>
      <c r="BP214" s="1">
        <f t="shared" si="58"/>
        <v>71.196295161234261</v>
      </c>
      <c r="BT214" s="1">
        <f t="shared" si="59"/>
        <v>-1065.1346725566091</v>
      </c>
      <c r="BU214" s="1">
        <f t="shared" si="60"/>
        <v>-529.41332645680552</v>
      </c>
    </row>
    <row r="215" spans="49:73">
      <c r="AW215" s="1">
        <v>205</v>
      </c>
      <c r="AX215" s="1">
        <f t="shared" si="61"/>
        <v>102.5</v>
      </c>
      <c r="AZ215" s="1">
        <f t="shared" si="62"/>
        <v>13170.42955534188</v>
      </c>
      <c r="BA215" s="1">
        <f t="shared" si="63"/>
        <v>-10658.290339719502</v>
      </c>
      <c r="BC215" s="1">
        <f t="shared" si="64"/>
        <v>6363.3288291720892</v>
      </c>
      <c r="BD215" s="1">
        <f t="shared" si="65"/>
        <v>-6035.492287024952</v>
      </c>
      <c r="BF215" s="1">
        <f t="shared" si="53"/>
        <v>-751.21102556120513</v>
      </c>
      <c r="BG215" s="1">
        <f t="shared" si="54"/>
        <v>734.82238336846638</v>
      </c>
      <c r="BJ215" s="1">
        <f t="shared" si="55"/>
        <v>343.93798062522148</v>
      </c>
      <c r="BK215" s="1">
        <f t="shared" si="56"/>
        <v>914.45366317796675</v>
      </c>
      <c r="BO215" s="1">
        <f t="shared" si="57"/>
        <v>-95.212070679215188</v>
      </c>
      <c r="BP215" s="1">
        <f t="shared" si="58"/>
        <v>59.297350872574476</v>
      </c>
      <c r="BT215" s="1">
        <f t="shared" si="59"/>
        <v>-999.93693550721139</v>
      </c>
      <c r="BU215" s="1">
        <f t="shared" si="60"/>
        <v>-238.92863068207484</v>
      </c>
    </row>
    <row r="216" spans="49:73">
      <c r="AW216" s="1">
        <v>206</v>
      </c>
      <c r="AX216" s="1">
        <f t="shared" si="61"/>
        <v>103</v>
      </c>
      <c r="AZ216" s="1">
        <f t="shared" si="62"/>
        <v>16258.192591732774</v>
      </c>
      <c r="BA216" s="1">
        <f t="shared" si="63"/>
        <v>-13584.183685310922</v>
      </c>
      <c r="BC216" s="1">
        <f t="shared" si="64"/>
        <v>5987.7233163914862</v>
      </c>
      <c r="BD216" s="1">
        <f t="shared" si="65"/>
        <v>-5668.081095340719</v>
      </c>
      <c r="BF216" s="1">
        <f t="shared" si="53"/>
        <v>-782.79580970159975</v>
      </c>
      <c r="BG216" s="1">
        <f t="shared" si="54"/>
        <v>829.8004172241524</v>
      </c>
      <c r="BJ216" s="1">
        <f t="shared" si="55"/>
        <v>148.42055618038336</v>
      </c>
      <c r="BK216" s="1">
        <f t="shared" si="56"/>
        <v>836.31409309554874</v>
      </c>
      <c r="BO216" s="1">
        <f t="shared" si="57"/>
        <v>-77.408931968768712</v>
      </c>
      <c r="BP216" s="1">
        <f t="shared" si="58"/>
        <v>50.350730136819863</v>
      </c>
      <c r="BT216" s="1">
        <f t="shared" si="59"/>
        <v>-853.80743391321437</v>
      </c>
      <c r="BU216" s="1">
        <f t="shared" si="60"/>
        <v>-56.864406008216179</v>
      </c>
    </row>
    <row r="217" spans="49:73">
      <c r="AW217" s="1">
        <v>207</v>
      </c>
      <c r="AX217" s="1">
        <f t="shared" si="61"/>
        <v>103.5</v>
      </c>
      <c r="AZ217" s="1">
        <f t="shared" si="62"/>
        <v>19154.204773715814</v>
      </c>
      <c r="BA217" s="1">
        <f t="shared" si="63"/>
        <v>-16314.499180828261</v>
      </c>
      <c r="BC217" s="1">
        <f t="shared" si="64"/>
        <v>5596.3254115406862</v>
      </c>
      <c r="BD217" s="1">
        <f t="shared" si="65"/>
        <v>-5253.1808867286427</v>
      </c>
      <c r="BF217" s="1">
        <f t="shared" si="53"/>
        <v>-744.36067148215363</v>
      </c>
      <c r="BG217" s="1">
        <f t="shared" si="54"/>
        <v>804.42454178333969</v>
      </c>
      <c r="BJ217" s="1">
        <f t="shared" si="55"/>
        <v>25.659583991476744</v>
      </c>
      <c r="BK217" s="1">
        <f t="shared" si="56"/>
        <v>722.4800081102585</v>
      </c>
      <c r="BO217" s="1">
        <f t="shared" si="57"/>
        <v>-64.824759709062562</v>
      </c>
      <c r="BP217" s="1">
        <f t="shared" si="58"/>
        <v>43.566996089437588</v>
      </c>
      <c r="BT217" s="1">
        <f t="shared" si="59"/>
        <v>-705.1954957645678</v>
      </c>
      <c r="BU217" s="1">
        <f t="shared" si="60"/>
        <v>38.377537583643672</v>
      </c>
    </row>
    <row r="218" spans="49:73">
      <c r="AW218" s="1">
        <v>208</v>
      </c>
      <c r="AX218" s="1">
        <f t="shared" si="61"/>
        <v>104</v>
      </c>
      <c r="AZ218" s="1">
        <f t="shared" si="62"/>
        <v>21859.322395550887</v>
      </c>
      <c r="BA218" s="1">
        <f t="shared" si="63"/>
        <v>-18840.536556469666</v>
      </c>
      <c r="BC218" s="1">
        <f t="shared" si="64"/>
        <v>5224.145075799609</v>
      </c>
      <c r="BD218" s="1">
        <f t="shared" si="65"/>
        <v>-4850.9686158369732</v>
      </c>
      <c r="BF218" s="1">
        <f t="shared" si="53"/>
        <v>-680.52209692617305</v>
      </c>
      <c r="BG218" s="1">
        <f t="shared" si="54"/>
        <v>734.14485121689199</v>
      </c>
      <c r="BJ218" s="1">
        <f t="shared" si="55"/>
        <v>-43.245034223519546</v>
      </c>
      <c r="BK218" s="1">
        <f t="shared" si="56"/>
        <v>612.64114689098994</v>
      </c>
      <c r="BO218" s="1">
        <f t="shared" si="57"/>
        <v>-55.643410286486507</v>
      </c>
      <c r="BP218" s="1">
        <f t="shared" si="58"/>
        <v>38.337596421881464</v>
      </c>
      <c r="BT218" s="1">
        <f t="shared" si="59"/>
        <v>-581.63365241616702</v>
      </c>
      <c r="BU218" s="1">
        <f t="shared" si="60"/>
        <v>83.166107904020535</v>
      </c>
    </row>
    <row r="219" spans="49:73">
      <c r="AW219" s="1">
        <v>209</v>
      </c>
      <c r="AX219" s="1">
        <f t="shared" si="61"/>
        <v>104.5</v>
      </c>
      <c r="AZ219" s="1">
        <f t="shared" si="62"/>
        <v>24386.329671334919</v>
      </c>
      <c r="BA219" s="1">
        <f t="shared" si="63"/>
        <v>-21174.25275798604</v>
      </c>
      <c r="BC219" s="1">
        <f t="shared" si="64"/>
        <v>4883.8840273365222</v>
      </c>
      <c r="BD219" s="1">
        <f t="shared" si="65"/>
        <v>-4483.8961902285273</v>
      </c>
      <c r="BF219" s="1">
        <f t="shared" si="53"/>
        <v>-613.58576077244288</v>
      </c>
      <c r="BG219" s="1">
        <f t="shared" si="54"/>
        <v>655.94953693666446</v>
      </c>
      <c r="BJ219" s="1">
        <f t="shared" si="55"/>
        <v>-79.506413345585599</v>
      </c>
      <c r="BK219" s="1">
        <f t="shared" si="56"/>
        <v>519.74820931743011</v>
      </c>
      <c r="BO219" s="1">
        <f t="shared" si="57"/>
        <v>-48.73283183300876</v>
      </c>
      <c r="BP219" s="1">
        <f t="shared" si="58"/>
        <v>34.226970971104237</v>
      </c>
      <c r="BT219" s="1">
        <f t="shared" si="59"/>
        <v>-485.34651559384849</v>
      </c>
      <c r="BU219" s="1">
        <f t="shared" si="60"/>
        <v>101.97435664813007</v>
      </c>
    </row>
    <row r="220" spans="49:73">
      <c r="AW220" s="1">
        <v>210</v>
      </c>
      <c r="AX220" s="1">
        <f t="shared" si="61"/>
        <v>105</v>
      </c>
      <c r="AZ220" s="1">
        <f t="shared" si="62"/>
        <v>26751.573464906625</v>
      </c>
      <c r="BA220" s="1">
        <f t="shared" si="63"/>
        <v>-23334.20716098322</v>
      </c>
      <c r="BC220" s="1">
        <f t="shared" si="64"/>
        <v>4577.0911469503008</v>
      </c>
      <c r="BD220" s="1">
        <f t="shared" si="65"/>
        <v>-4155.9214217601948</v>
      </c>
      <c r="BF220" s="1">
        <f t="shared" si="53"/>
        <v>-552.15955001075884</v>
      </c>
      <c r="BG220" s="1">
        <f t="shared" si="54"/>
        <v>583.66774939394816</v>
      </c>
      <c r="BJ220" s="1">
        <f t="shared" si="55"/>
        <v>-97.384634633669648</v>
      </c>
      <c r="BK220" s="1">
        <f t="shared" si="56"/>
        <v>444.75232539482704</v>
      </c>
      <c r="BO220" s="1">
        <f t="shared" si="57"/>
        <v>-43.383404475984662</v>
      </c>
      <c r="BP220" s="1">
        <f t="shared" si="58"/>
        <v>30.932678516942989</v>
      </c>
      <c r="BT220" s="1">
        <f t="shared" si="59"/>
        <v>-411.39151090110454</v>
      </c>
      <c r="BU220" s="1">
        <f t="shared" si="60"/>
        <v>107.98274548217809</v>
      </c>
    </row>
    <row r="221" spans="49:73">
      <c r="AW221" s="1">
        <v>211</v>
      </c>
      <c r="AX221" s="1">
        <f t="shared" si="61"/>
        <v>105.5</v>
      </c>
      <c r="AZ221" s="1">
        <f t="shared" si="62"/>
        <v>28971.09909463043</v>
      </c>
      <c r="BA221" s="1">
        <f t="shared" si="63"/>
        <v>-25339.209403189077</v>
      </c>
      <c r="BC221" s="1">
        <f t="shared" si="64"/>
        <v>4301.0113719449209</v>
      </c>
      <c r="BD221" s="1">
        <f t="shared" si="65"/>
        <v>-3864.0875470632209</v>
      </c>
      <c r="BF221" s="1">
        <f t="shared" si="53"/>
        <v>-498.58773361655574</v>
      </c>
      <c r="BG221" s="1">
        <f t="shared" si="54"/>
        <v>521.02567801637497</v>
      </c>
      <c r="BJ221" s="1">
        <f t="shared" si="55"/>
        <v>-105.16237337859516</v>
      </c>
      <c r="BK221" s="1">
        <f t="shared" si="56"/>
        <v>384.95274261133437</v>
      </c>
      <c r="BO221" s="1">
        <f t="shared" si="57"/>
        <v>-39.14079725456341</v>
      </c>
      <c r="BP221" s="1">
        <f t="shared" si="58"/>
        <v>28.245329509838378</v>
      </c>
      <c r="BT221" s="1">
        <f t="shared" si="59"/>
        <v>-354.28456298339717</v>
      </c>
      <c r="BU221" s="1">
        <f t="shared" si="60"/>
        <v>107.82760589520228</v>
      </c>
    </row>
    <row r="222" spans="49:73">
      <c r="AW222" s="1">
        <v>212</v>
      </c>
      <c r="AX222" s="1">
        <f t="shared" si="61"/>
        <v>106</v>
      </c>
      <c r="AZ222" s="1">
        <f t="shared" si="62"/>
        <v>31059.281313900821</v>
      </c>
      <c r="BA222" s="1">
        <f t="shared" si="63"/>
        <v>-27206.124966968644</v>
      </c>
      <c r="BC222" s="1">
        <f t="shared" si="64"/>
        <v>4051.717505136643</v>
      </c>
      <c r="BD222" s="1">
        <f t="shared" si="65"/>
        <v>-3603.5747080550336</v>
      </c>
      <c r="BF222" s="1">
        <f t="shared" si="53"/>
        <v>-452.7667538727834</v>
      </c>
      <c r="BG222" s="1">
        <f t="shared" si="54"/>
        <v>467.99570880433839</v>
      </c>
      <c r="BJ222" s="1">
        <f t="shared" si="55"/>
        <v>-107.4411036127223</v>
      </c>
      <c r="BK222" s="1">
        <f t="shared" si="56"/>
        <v>337.17058665333144</v>
      </c>
      <c r="BO222" s="1">
        <f t="shared" si="57"/>
        <v>-35.705869388441393</v>
      </c>
      <c r="BP222" s="1">
        <f t="shared" si="58"/>
        <v>26.018326234430067</v>
      </c>
      <c r="BT222" s="1">
        <f t="shared" si="59"/>
        <v>-309.6197808716197</v>
      </c>
      <c r="BU222" s="1">
        <f t="shared" si="60"/>
        <v>104.80679591657687</v>
      </c>
    </row>
    <row r="223" spans="49:73">
      <c r="AW223" s="1">
        <v>213</v>
      </c>
      <c r="AX223" s="1">
        <f t="shared" si="61"/>
        <v>106.5</v>
      </c>
      <c r="AZ223" s="1">
        <f t="shared" si="62"/>
        <v>33028.544222235047</v>
      </c>
      <c r="BA223" s="1">
        <f t="shared" si="63"/>
        <v>-28949.412857395619</v>
      </c>
      <c r="BC223" s="1">
        <f t="shared" si="64"/>
        <v>3825.3341282002511</v>
      </c>
      <c r="BD223" s="1">
        <f t="shared" si="65"/>
        <v>-3369.5768536528644</v>
      </c>
      <c r="BF223" s="1">
        <f t="shared" si="53"/>
        <v>-413.79344788430075</v>
      </c>
      <c r="BG223" s="1">
        <f t="shared" si="54"/>
        <v>423.38862203534705</v>
      </c>
      <c r="BJ223" s="1">
        <f t="shared" si="55"/>
        <v>-106.75936438913548</v>
      </c>
      <c r="BK223" s="1">
        <f t="shared" si="56"/>
        <v>298.67620531015729</v>
      </c>
      <c r="BO223" s="1">
        <f t="shared" si="57"/>
        <v>-32.875806960925793</v>
      </c>
      <c r="BP223" s="1">
        <f t="shared" si="58"/>
        <v>24.1472474329066</v>
      </c>
      <c r="BT223" s="1">
        <f t="shared" si="59"/>
        <v>-274.15827653423946</v>
      </c>
      <c r="BU223" s="1">
        <f t="shared" si="60"/>
        <v>100.56516929228313</v>
      </c>
    </row>
    <row r="224" spans="49:73">
      <c r="AW224" s="1">
        <v>214</v>
      </c>
      <c r="AX224" s="1">
        <f t="shared" si="61"/>
        <v>107</v>
      </c>
      <c r="AZ224" s="1">
        <f t="shared" si="62"/>
        <v>34889.487105349632</v>
      </c>
      <c r="BA224" s="1">
        <f t="shared" si="63"/>
        <v>-30581.27770646763</v>
      </c>
      <c r="BC224" s="1">
        <f t="shared" si="64"/>
        <v>3618.4374042581007</v>
      </c>
      <c r="BD224" s="1">
        <f t="shared" si="65"/>
        <v>-3157.8825426351909</v>
      </c>
      <c r="BF224" s="1">
        <f t="shared" si="53"/>
        <v>-380.6141368259855</v>
      </c>
      <c r="BG224" s="1">
        <f t="shared" si="54"/>
        <v>385.81855551917954</v>
      </c>
      <c r="BJ224" s="1">
        <f t="shared" si="55"/>
        <v>-104.52657094232543</v>
      </c>
      <c r="BK224" s="1">
        <f t="shared" si="56"/>
        <v>267.33663474071801</v>
      </c>
      <c r="BO224" s="1">
        <f t="shared" si="57"/>
        <v>-30.509209178119942</v>
      </c>
      <c r="BP224" s="1">
        <f t="shared" si="58"/>
        <v>22.556280911965903</v>
      </c>
      <c r="BT224" s="1">
        <f t="shared" si="59"/>
        <v>-245.57835670554016</v>
      </c>
      <c r="BU224" s="1">
        <f t="shared" si="60"/>
        <v>95.925639866495601</v>
      </c>
    </row>
    <row r="225" spans="49:73">
      <c r="AW225" s="1">
        <v>215</v>
      </c>
      <c r="AX225" s="1">
        <f t="shared" si="61"/>
        <v>107.5</v>
      </c>
      <c r="AZ225" s="1">
        <f t="shared" si="62"/>
        <v>36651.129040375432</v>
      </c>
      <c r="BA225" s="1">
        <f t="shared" si="63"/>
        <v>-32111.991658345327</v>
      </c>
      <c r="BC225" s="1">
        <f t="shared" si="64"/>
        <v>3428.1303358451078</v>
      </c>
      <c r="BD225" s="1">
        <f t="shared" si="65"/>
        <v>-2964.9732648756012</v>
      </c>
      <c r="BF225" s="1">
        <f t="shared" si="53"/>
        <v>-352.25519621475183</v>
      </c>
      <c r="BG225" s="1">
        <f t="shared" si="54"/>
        <v>354.02455143852308</v>
      </c>
      <c r="BJ225" s="1">
        <f t="shared" si="55"/>
        <v>-101.53229709151219</v>
      </c>
      <c r="BK225" s="1">
        <f t="shared" si="56"/>
        <v>241.53896685860644</v>
      </c>
      <c r="BO225" s="1">
        <f t="shared" si="57"/>
        <v>-28.504938328740337</v>
      </c>
      <c r="BP225" s="1">
        <f t="shared" si="58"/>
        <v>21.189334536757997</v>
      </c>
      <c r="BT225" s="1">
        <f t="shared" si="59"/>
        <v>-222.21796079449931</v>
      </c>
      <c r="BU225" s="1">
        <f t="shared" si="60"/>
        <v>91.296250043158622</v>
      </c>
    </row>
    <row r="226" spans="49:73">
      <c r="AW226" s="1">
        <v>216</v>
      </c>
      <c r="AX226" s="1">
        <f t="shared" si="61"/>
        <v>108</v>
      </c>
      <c r="AZ226" s="1">
        <f t="shared" si="62"/>
        <v>38321.162308771141</v>
      </c>
      <c r="BA226" s="1">
        <f t="shared" si="63"/>
        <v>-33550.22522185331</v>
      </c>
      <c r="BC226" s="1">
        <f t="shared" si="64"/>
        <v>3252.0027377377319</v>
      </c>
      <c r="BD226" s="1">
        <f t="shared" si="65"/>
        <v>-2787.9609891563396</v>
      </c>
      <c r="BF226" s="1">
        <f t="shared" si="53"/>
        <v>-327.88733916604565</v>
      </c>
      <c r="BG226" s="1">
        <f t="shared" si="54"/>
        <v>326.95061879328279</v>
      </c>
      <c r="BJ226" s="1">
        <f t="shared" si="55"/>
        <v>-98.221458605320677</v>
      </c>
      <c r="BK226" s="1">
        <f t="shared" si="56"/>
        <v>220.07408315121222</v>
      </c>
      <c r="BO226" s="1">
        <f t="shared" si="57"/>
        <v>-26.788972878980971</v>
      </c>
      <c r="BP226" s="1">
        <f t="shared" si="58"/>
        <v>20.004158973462062</v>
      </c>
      <c r="BT226" s="1">
        <f t="shared" si="59"/>
        <v>-202.87690768174397</v>
      </c>
      <c r="BU226" s="1">
        <f t="shared" si="60"/>
        <v>86.87237666860851</v>
      </c>
    </row>
    <row r="227" spans="49:73">
      <c r="AW227" s="1">
        <v>217</v>
      </c>
      <c r="AX227" s="1">
        <f t="shared" si="61"/>
        <v>108.5</v>
      </c>
      <c r="AZ227" s="1">
        <f t="shared" si="62"/>
        <v>39906.177760244245</v>
      </c>
      <c r="BA227" s="1">
        <f t="shared" si="63"/>
        <v>-34903.336889082326</v>
      </c>
      <c r="BC227" s="1">
        <f t="shared" si="64"/>
        <v>3088.0590681547092</v>
      </c>
      <c r="BD227" s="1">
        <f t="shared" si="65"/>
        <v>-2624.4856797596981</v>
      </c>
      <c r="BF227" s="1">
        <f t="shared" si="53"/>
        <v>-306.82778898808283</v>
      </c>
      <c r="BG227" s="1">
        <f t="shared" si="54"/>
        <v>303.74128132231471</v>
      </c>
      <c r="BJ227" s="1">
        <f t="shared" si="55"/>
        <v>-94.844359298983392</v>
      </c>
      <c r="BK227" s="1">
        <f t="shared" si="56"/>
        <v>202.03362834506382</v>
      </c>
      <c r="BO227" s="1">
        <f t="shared" si="57"/>
        <v>-25.306014774379854</v>
      </c>
      <c r="BP227" s="1">
        <f t="shared" si="58"/>
        <v>18.968402746071646</v>
      </c>
      <c r="BT227" s="1">
        <f t="shared" si="59"/>
        <v>-186.67741491471961</v>
      </c>
      <c r="BU227" s="1">
        <f t="shared" si="60"/>
        <v>82.73925023117927</v>
      </c>
    </row>
    <row r="228" spans="49:73">
      <c r="AW228" s="1">
        <v>218</v>
      </c>
      <c r="AX228" s="1">
        <f t="shared" si="61"/>
        <v>109</v>
      </c>
      <c r="AZ228" s="1">
        <f t="shared" si="62"/>
        <v>41411.853820698088</v>
      </c>
      <c r="BA228" s="1">
        <f t="shared" si="63"/>
        <v>-36177.612068796887</v>
      </c>
      <c r="BC228" s="1">
        <f t="shared" si="64"/>
        <v>2934.6451736606678</v>
      </c>
      <c r="BD228" s="1">
        <f t="shared" si="65"/>
        <v>-2472.6150390985408</v>
      </c>
      <c r="BF228" s="1">
        <f t="shared" si="53"/>
        <v>-288.52215278019918</v>
      </c>
      <c r="BG228" s="1">
        <f t="shared" si="54"/>
        <v>283.71220317388588</v>
      </c>
      <c r="BJ228" s="1">
        <f t="shared" si="55"/>
        <v>-91.5398325885253</v>
      </c>
      <c r="BK228" s="1">
        <f t="shared" si="56"/>
        <v>186.73027240543081</v>
      </c>
      <c r="BO228" s="1">
        <f t="shared" si="57"/>
        <v>-24.013992159409188</v>
      </c>
      <c r="BP228" s="1">
        <f t="shared" si="58"/>
        <v>18.056918089428915</v>
      </c>
      <c r="BT228" s="1">
        <f t="shared" si="59"/>
        <v>-172.96832803226468</v>
      </c>
      <c r="BU228" s="1">
        <f t="shared" si="60"/>
        <v>78.925012679026196</v>
      </c>
    </row>
    <row r="229" spans="49:73">
      <c r="AW229" s="1">
        <v>219</v>
      </c>
      <c r="AX229" s="1">
        <f t="shared" si="61"/>
        <v>109.5</v>
      </c>
      <c r="AZ229" s="1">
        <f t="shared" si="62"/>
        <v>42843.111138430897</v>
      </c>
      <c r="BA229" s="1">
        <f t="shared" si="63"/>
        <v>-37378.455562949421</v>
      </c>
      <c r="BC229" s="1">
        <f t="shared" si="64"/>
        <v>2790.384097270568</v>
      </c>
      <c r="BD229" s="1">
        <f t="shared" si="65"/>
        <v>-2330.7589375115977</v>
      </c>
      <c r="BF229" s="1">
        <f t="shared" si="53"/>
        <v>-272.52216446404174</v>
      </c>
      <c r="BG229" s="1">
        <f t="shared" si="54"/>
        <v>266.31752132402823</v>
      </c>
      <c r="BJ229" s="1">
        <f t="shared" si="55"/>
        <v>-88.382149110173117</v>
      </c>
      <c r="BK229" s="1">
        <f t="shared" si="56"/>
        <v>173.63897270218033</v>
      </c>
      <c r="BO229" s="1">
        <f t="shared" si="57"/>
        <v>-22.880370909807233</v>
      </c>
      <c r="BP229" s="1">
        <f t="shared" si="58"/>
        <v>17.249888122600822</v>
      </c>
      <c r="BT229" s="1">
        <f t="shared" si="59"/>
        <v>-161.25964444406139</v>
      </c>
      <c r="BU229" s="1">
        <f t="shared" si="60"/>
        <v>75.428660499247101</v>
      </c>
    </row>
    <row r="230" spans="49:73">
      <c r="AW230" s="1">
        <v>220</v>
      </c>
      <c r="AX230" s="1">
        <f t="shared" si="61"/>
        <v>110</v>
      </c>
      <c r="AZ230" s="1">
        <f t="shared" si="62"/>
        <v>44204.237916508173</v>
      </c>
      <c r="BA230" s="1">
        <f t="shared" si="63"/>
        <v>-38510.545341539713</v>
      </c>
      <c r="BC230" s="1">
        <f t="shared" si="64"/>
        <v>2654.1230150385472</v>
      </c>
      <c r="BD230" s="1">
        <f t="shared" si="65"/>
        <v>-2197.6001768495835</v>
      </c>
      <c r="BF230" s="1">
        <f t="shared" si="53"/>
        <v>-258.46506432035903</v>
      </c>
      <c r="BG230" s="1">
        <f t="shared" si="54"/>
        <v>251.12091679003964</v>
      </c>
      <c r="BJ230" s="1">
        <f t="shared" si="55"/>
        <v>-85.407948311502551</v>
      </c>
      <c r="BK230" s="1">
        <f t="shared" si="56"/>
        <v>162.35447246343966</v>
      </c>
      <c r="BO230" s="1">
        <f t="shared" si="57"/>
        <v>-21.879624301234031</v>
      </c>
      <c r="BP230" s="1">
        <f t="shared" si="58"/>
        <v>16.531502298977724</v>
      </c>
      <c r="BT230" s="1">
        <f t="shared" si="59"/>
        <v>-151.17749170762244</v>
      </c>
      <c r="BU230" s="1">
        <f t="shared" si="60"/>
        <v>72.234942027622267</v>
      </c>
    </row>
    <row r="231" spans="49:73">
      <c r="AW231" s="1">
        <v>221</v>
      </c>
      <c r="AX231" s="1">
        <f t="shared" si="61"/>
        <v>110.5</v>
      </c>
      <c r="AZ231" s="1">
        <f t="shared" si="62"/>
        <v>45498.991290987404</v>
      </c>
      <c r="BA231" s="1">
        <f t="shared" si="63"/>
        <v>-39577.955315365747</v>
      </c>
      <c r="BC231" s="1">
        <f t="shared" si="64"/>
        <v>2524.8904828783679</v>
      </c>
      <c r="BD231" s="1">
        <f t="shared" si="65"/>
        <v>-2072.0397184545636</v>
      </c>
      <c r="BF231" s="1">
        <f t="shared" si="53"/>
        <v>-246.05625385342012</v>
      </c>
      <c r="BG231" s="1">
        <f t="shared" si="54"/>
        <v>237.77200430953101</v>
      </c>
      <c r="BJ231" s="1">
        <f t="shared" si="55"/>
        <v>-82.63194428041534</v>
      </c>
      <c r="BK231" s="1">
        <f t="shared" si="56"/>
        <v>152.56066155958698</v>
      </c>
      <c r="BO231" s="1">
        <f t="shared" si="57"/>
        <v>-20.991461579357573</v>
      </c>
      <c r="BP231" s="1">
        <f t="shared" si="58"/>
        <v>15.889004146065496</v>
      </c>
      <c r="BT231" s="1">
        <f t="shared" si="59"/>
        <v>-142.43284799364719</v>
      </c>
      <c r="BU231" s="1">
        <f t="shared" si="60"/>
        <v>69.322338603878535</v>
      </c>
    </row>
    <row r="232" spans="49:73">
      <c r="AW232" s="1">
        <v>222</v>
      </c>
      <c r="AX232" s="1">
        <f t="shared" si="61"/>
        <v>111</v>
      </c>
      <c r="AZ232" s="1">
        <f t="shared" si="62"/>
        <v>46730.679500694911</v>
      </c>
      <c r="BA232" s="1">
        <f t="shared" si="63"/>
        <v>-40584.253674054336</v>
      </c>
      <c r="BC232" s="1">
        <f t="shared" si="64"/>
        <v>2401.8623559516577</v>
      </c>
      <c r="BD232" s="1">
        <f t="shared" si="65"/>
        <v>-1953.1537162997981</v>
      </c>
      <c r="BF232" s="1">
        <f t="shared" si="53"/>
        <v>-235.05530780794962</v>
      </c>
      <c r="BG232" s="1">
        <f t="shared" si="54"/>
        <v>225.98772941945722</v>
      </c>
      <c r="BJ232" s="1">
        <f t="shared" si="55"/>
        <v>-80.056204102999871</v>
      </c>
      <c r="BK232" s="1">
        <f t="shared" si="56"/>
        <v>144.00841647779444</v>
      </c>
      <c r="BO232" s="1">
        <f t="shared" si="57"/>
        <v>-20.199564639424786</v>
      </c>
      <c r="BP232" s="1">
        <f t="shared" si="58"/>
        <v>15.311996063452055</v>
      </c>
      <c r="BT232" s="1">
        <f t="shared" si="59"/>
        <v>-134.79953906552495</v>
      </c>
      <c r="BU232" s="1">
        <f t="shared" si="60"/>
        <v>66.667316878210727</v>
      </c>
    </row>
    <row r="233" spans="49:73">
      <c r="AW233" s="1">
        <v>223</v>
      </c>
      <c r="AX233" s="1">
        <f t="shared" si="61"/>
        <v>111.5</v>
      </c>
      <c r="AZ233" s="1">
        <f t="shared" si="62"/>
        <v>47902.228765194748</v>
      </c>
      <c r="BA233" s="1">
        <f t="shared" si="63"/>
        <v>-41532.582066026807</v>
      </c>
      <c r="BC233" s="1">
        <f t="shared" si="64"/>
        <v>2284.3347020476831</v>
      </c>
      <c r="BD233" s="1">
        <f t="shared" si="65"/>
        <v>-1840.1598515900696</v>
      </c>
      <c r="BF233" s="1">
        <f t="shared" si="53"/>
        <v>-225.26490992239081</v>
      </c>
      <c r="BG233" s="1">
        <f t="shared" si="54"/>
        <v>215.53793323125979</v>
      </c>
      <c r="BJ233" s="1">
        <f t="shared" si="55"/>
        <v>-77.67568182068257</v>
      </c>
      <c r="BK233" s="1">
        <f t="shared" si="56"/>
        <v>136.49946301630581</v>
      </c>
      <c r="BO233" s="1">
        <f t="shared" si="57"/>
        <v>-19.490671727020636</v>
      </c>
      <c r="BP233" s="1">
        <f t="shared" si="58"/>
        <v>14.791924485540838</v>
      </c>
      <c r="BT233" s="1">
        <f t="shared" si="59"/>
        <v>-128.0985563746876</v>
      </c>
      <c r="BU233" s="1">
        <f t="shared" si="60"/>
        <v>64.246545729413143</v>
      </c>
    </row>
    <row r="234" spans="49:73">
      <c r="AW234" s="1">
        <v>224</v>
      </c>
      <c r="AX234" s="1">
        <f t="shared" si="61"/>
        <v>112</v>
      </c>
      <c r="AZ234" s="1">
        <f t="shared" si="62"/>
        <v>49016.238002478291</v>
      </c>
      <c r="BA234" s="1">
        <f t="shared" si="63"/>
        <v>-42425.719750167933</v>
      </c>
      <c r="BC234" s="1">
        <f t="shared" si="64"/>
        <v>2171.7022470864877</v>
      </c>
      <c r="BD234" s="1">
        <f t="shared" si="65"/>
        <v>-1732.3908849744398</v>
      </c>
      <c r="BF234" s="1">
        <f t="shared" si="53"/>
        <v>-216.52217227519566</v>
      </c>
      <c r="BG234" s="1">
        <f t="shared" si="54"/>
        <v>206.23421125104122</v>
      </c>
      <c r="BJ234" s="1">
        <f t="shared" si="55"/>
        <v>-75.481537175980023</v>
      </c>
      <c r="BK234" s="1">
        <f t="shared" si="56"/>
        <v>129.87452305285041</v>
      </c>
      <c r="BO234" s="1">
        <f t="shared" si="57"/>
        <v>-18.853902515482719</v>
      </c>
      <c r="BP234" s="1">
        <f t="shared" si="58"/>
        <v>14.321693533023199</v>
      </c>
      <c r="BT234" s="1">
        <f t="shared" si="59"/>
        <v>-122.18673258373293</v>
      </c>
      <c r="BU234" s="1">
        <f t="shared" si="60"/>
        <v>62.037994665167609</v>
      </c>
    </row>
    <row r="235" spans="49:73">
      <c r="AW235" s="1">
        <v>225</v>
      </c>
      <c r="AX235" s="1">
        <f t="shared" si="61"/>
        <v>112.5</v>
      </c>
      <c r="AZ235" s="1">
        <f t="shared" si="62"/>
        <v>50075.023854487139</v>
      </c>
      <c r="BA235" s="1">
        <f t="shared" si="63"/>
        <v>-43266.135916248772</v>
      </c>
      <c r="BC235" s="1">
        <f t="shared" si="64"/>
        <v>2063.4411609488898</v>
      </c>
      <c r="BD235" s="1">
        <f t="shared" si="65"/>
        <v>-1629.2737793489191</v>
      </c>
      <c r="BF235" s="1">
        <f t="shared" si="53"/>
        <v>-208.69183894028643</v>
      </c>
      <c r="BG235" s="1">
        <f t="shared" si="54"/>
        <v>197.9213149693949</v>
      </c>
      <c r="BJ235" s="1">
        <f t="shared" si="55"/>
        <v>-73.463126470348257</v>
      </c>
      <c r="BK235" s="1">
        <f t="shared" si="56"/>
        <v>124.00452552491814</v>
      </c>
      <c r="BO235" s="1">
        <f t="shared" si="57"/>
        <v>-18.28025392487196</v>
      </c>
      <c r="BP235" s="1">
        <f t="shared" si="58"/>
        <v>13.895371511649074</v>
      </c>
      <c r="BT235" s="1">
        <f t="shared" si="59"/>
        <v>-116.94845854506622</v>
      </c>
      <c r="BU235" s="1">
        <f t="shared" si="60"/>
        <v>60.021417932827681</v>
      </c>
    </row>
    <row r="236" spans="49:73">
      <c r="AW236" s="1">
        <v>226</v>
      </c>
      <c r="AX236" s="1">
        <f t="shared" si="61"/>
        <v>113</v>
      </c>
      <c r="AZ236" s="1">
        <f t="shared" si="62"/>
        <v>51080.657955094044</v>
      </c>
      <c r="BA236" s="1">
        <f t="shared" si="63"/>
        <v>-44056.032641552061</v>
      </c>
      <c r="BC236" s="1">
        <f t="shared" si="64"/>
        <v>1959.0952414787466</v>
      </c>
      <c r="BD236" s="1">
        <f t="shared" si="65"/>
        <v>-1530.3131218642216</v>
      </c>
      <c r="BF236" s="1">
        <f t="shared" si="53"/>
        <v>-201.66095779558299</v>
      </c>
      <c r="BG236" s="1">
        <f t="shared" si="54"/>
        <v>190.47049637298704</v>
      </c>
      <c r="BJ236" s="1">
        <f t="shared" si="55"/>
        <v>-71.609188946496815</v>
      </c>
      <c r="BK236" s="1">
        <f t="shared" si="56"/>
        <v>118.78402600404306</v>
      </c>
      <c r="BO236" s="1">
        <f t="shared" si="57"/>
        <v>-17.762218602365028</v>
      </c>
      <c r="BP236" s="1">
        <f t="shared" si="58"/>
        <v>13.507965404068367</v>
      </c>
      <c r="BT236" s="1">
        <f t="shared" si="59"/>
        <v>-112.28955024672116</v>
      </c>
      <c r="BU236" s="1">
        <f t="shared" si="60"/>
        <v>58.178504964875621</v>
      </c>
    </row>
    <row r="237" spans="49:73">
      <c r="AW237" s="1">
        <v>227</v>
      </c>
      <c r="AX237" s="1">
        <f t="shared" si="61"/>
        <v>113.5</v>
      </c>
      <c r="AZ237" s="1">
        <f t="shared" si="62"/>
        <v>52034.997956108971</v>
      </c>
      <c r="BA237" s="1">
        <f t="shared" si="63"/>
        <v>-44797.380390437553</v>
      </c>
      <c r="BC237" s="1">
        <f t="shared" si="64"/>
        <v>1858.2647625809552</v>
      </c>
      <c r="BD237" s="1">
        <f t="shared" si="65"/>
        <v>-1435.0778736777281</v>
      </c>
      <c r="BF237" s="1">
        <f t="shared" si="53"/>
        <v>-195.33468944001709</v>
      </c>
      <c r="BG237" s="1">
        <f t="shared" si="54"/>
        <v>183.77433249528792</v>
      </c>
      <c r="BJ237" s="1">
        <f t="shared" si="55"/>
        <v>-69.908542029005275</v>
      </c>
      <c r="BK237" s="1">
        <f t="shared" si="56"/>
        <v>114.12623219270679</v>
      </c>
      <c r="BO237" s="1">
        <f t="shared" si="57"/>
        <v>-17.2934927902783</v>
      </c>
      <c r="BP237" s="1">
        <f t="shared" si="58"/>
        <v>13.155245777692208</v>
      </c>
      <c r="BT237" s="1">
        <f t="shared" si="59"/>
        <v>-108.1326546207335</v>
      </c>
      <c r="BU237" s="1">
        <f t="shared" si="60"/>
        <v>56.492854524888926</v>
      </c>
    </row>
    <row r="238" spans="49:73">
      <c r="AW238" s="1">
        <v>228</v>
      </c>
      <c r="AX238" s="1">
        <f t="shared" si="61"/>
        <v>114</v>
      </c>
      <c r="AZ238" s="1">
        <f t="shared" si="62"/>
        <v>52939.713501219449</v>
      </c>
      <c r="BA238" s="1">
        <f t="shared" si="63"/>
        <v>-45491.947535714506</v>
      </c>
      <c r="BC238" s="1">
        <f t="shared" si="64"/>
        <v>1760.5974178609467</v>
      </c>
      <c r="BD238" s="1">
        <f t="shared" si="65"/>
        <v>-1343.1907074300841</v>
      </c>
      <c r="BF238" s="1">
        <f t="shared" si="53"/>
        <v>-189.63299582851397</v>
      </c>
      <c r="BG238" s="1">
        <f t="shared" si="54"/>
        <v>177.74267849869861</v>
      </c>
      <c r="BJ238" s="1">
        <f t="shared" si="55"/>
        <v>-68.350475431375003</v>
      </c>
      <c r="BK238" s="1">
        <f t="shared" si="56"/>
        <v>109.9592079927009</v>
      </c>
      <c r="BO238" s="1">
        <f t="shared" si="57"/>
        <v>-16.86875019908576</v>
      </c>
      <c r="BP238" s="1">
        <f t="shared" si="58"/>
        <v>12.833609512670909</v>
      </c>
      <c r="BT238" s="1">
        <f t="shared" si="59"/>
        <v>-104.41377019805323</v>
      </c>
      <c r="BU238" s="1">
        <f t="shared" si="60"/>
        <v>54.949860993326816</v>
      </c>
    </row>
    <row r="239" spans="49:73">
      <c r="AW239" s="1">
        <v>229</v>
      </c>
      <c r="AX239" s="1">
        <f t="shared" si="61"/>
        <v>114.5</v>
      </c>
      <c r="AZ239" s="1">
        <f t="shared" si="62"/>
        <v>53796.308085671357</v>
      </c>
      <c r="BA239" s="1">
        <f t="shared" si="63"/>
        <v>-46141.325054617213</v>
      </c>
      <c r="BC239" s="1">
        <f t="shared" si="64"/>
        <v>1665.7809199466897</v>
      </c>
      <c r="BD239" s="1">
        <f t="shared" si="65"/>
        <v>-1254.3193681807347</v>
      </c>
      <c r="BF239" s="1">
        <f t="shared" si="53"/>
        <v>-184.48801067730807</v>
      </c>
      <c r="BG239" s="1">
        <f t="shared" si="54"/>
        <v>172.29948413673415</v>
      </c>
      <c r="BJ239" s="1">
        <f t="shared" si="55"/>
        <v>-66.924960618678384</v>
      </c>
      <c r="BK239" s="1">
        <f t="shared" si="56"/>
        <v>106.22295067596492</v>
      </c>
      <c r="BO239" s="1">
        <f t="shared" si="57"/>
        <v>-16.483465218806678</v>
      </c>
      <c r="BP239" s="1">
        <f t="shared" si="58"/>
        <v>12.539971211041969</v>
      </c>
      <c r="BT239" s="1">
        <f t="shared" si="59"/>
        <v>-101.079584839823</v>
      </c>
      <c r="BU239" s="1">
        <f t="shared" si="60"/>
        <v>53.536562249727254</v>
      </c>
    </row>
    <row r="240" spans="49:73">
      <c r="AW240" s="1">
        <v>230</v>
      </c>
      <c r="AX240" s="1">
        <f t="shared" si="61"/>
        <v>115</v>
      </c>
      <c r="AZ240" s="1">
        <f t="shared" si="62"/>
        <v>54606.137544310033</v>
      </c>
      <c r="BA240" s="1">
        <f t="shared" si="63"/>
        <v>-46746.947303190485</v>
      </c>
      <c r="BC240" s="1">
        <f t="shared" si="64"/>
        <v>1573.5369146080357</v>
      </c>
      <c r="BD240" s="1">
        <f t="shared" si="65"/>
        <v>-1168.1696261123677</v>
      </c>
      <c r="BF240" s="1">
        <f t="shared" si="53"/>
        <v>-179.84194006887486</v>
      </c>
      <c r="BG240" s="1">
        <f t="shared" si="54"/>
        <v>167.38027387564517</v>
      </c>
      <c r="BJ240" s="1">
        <f t="shared" si="55"/>
        <v>-65.622747675018601</v>
      </c>
      <c r="BK240" s="1">
        <f t="shared" si="56"/>
        <v>102.86712091053948</v>
      </c>
      <c r="BO240" s="1">
        <f t="shared" si="57"/>
        <v>-16.133773431889516</v>
      </c>
      <c r="BP240" s="1">
        <f t="shared" si="58"/>
        <v>12.271676578851043</v>
      </c>
      <c r="BT240" s="1">
        <f t="shared" si="59"/>
        <v>-98.085418961966766</v>
      </c>
      <c r="BU240" s="1">
        <f t="shared" si="60"/>
        <v>52.241476386254661</v>
      </c>
    </row>
    <row r="241" spans="49:73">
      <c r="AW241" s="1">
        <v>231</v>
      </c>
      <c r="AX241" s="1">
        <f t="shared" si="61"/>
        <v>115.5</v>
      </c>
      <c r="AZ241" s="1">
        <f t="shared" si="62"/>
        <v>55370.425759105441</v>
      </c>
      <c r="BA241" s="1">
        <f t="shared" si="63"/>
        <v>-47310.109582012214</v>
      </c>
      <c r="BC241" s="1">
        <f t="shared" si="64"/>
        <v>1483.6159445735982</v>
      </c>
      <c r="BD241" s="1">
        <f t="shared" si="65"/>
        <v>-1084.4794891745451</v>
      </c>
      <c r="BF241" s="1">
        <f t="shared" si="53"/>
        <v>-175.64537725645178</v>
      </c>
      <c r="BG241" s="1">
        <f t="shared" si="54"/>
        <v>162.93013999533872</v>
      </c>
      <c r="BJ241" s="1">
        <f t="shared" si="55"/>
        <v>-64.435394429092597</v>
      </c>
      <c r="BK241" s="1">
        <f t="shared" si="56"/>
        <v>99.84926541941816</v>
      </c>
      <c r="BO241" s="1">
        <f t="shared" si="57"/>
        <v>-15.816360627640552</v>
      </c>
      <c r="BP241" s="1">
        <f t="shared" si="58"/>
        <v>12.026432803442106</v>
      </c>
      <c r="BT241" s="1">
        <f t="shared" si="59"/>
        <v>-95.393622199718635</v>
      </c>
      <c r="BU241" s="1">
        <f t="shared" si="60"/>
        <v>51.054441772478455</v>
      </c>
    </row>
    <row r="242" spans="49:73">
      <c r="AW242" s="1">
        <v>232</v>
      </c>
      <c r="AX242" s="1">
        <f t="shared" si="61"/>
        <v>116</v>
      </c>
      <c r="AZ242" s="1">
        <f t="shared" si="62"/>
        <v>56090.278059235185</v>
      </c>
      <c r="BA242" s="1">
        <f t="shared" si="63"/>
        <v>-47831.983059100065</v>
      </c>
      <c r="BC242" s="1">
        <f t="shared" si="64"/>
        <v>1395.7932559453723</v>
      </c>
      <c r="BD242" s="1">
        <f t="shared" si="65"/>
        <v>-1003.0144191768757</v>
      </c>
      <c r="BF242" s="1">
        <f t="shared" si="53"/>
        <v>-171.85594273016756</v>
      </c>
      <c r="BG242" s="1">
        <f t="shared" si="54"/>
        <v>158.90213459438314</v>
      </c>
      <c r="BJ242" s="1">
        <f t="shared" si="55"/>
        <v>-63.35525586848059</v>
      </c>
      <c r="BK242" s="1">
        <f t="shared" si="56"/>
        <v>97.133414673780081</v>
      </c>
      <c r="BO242" s="1">
        <f t="shared" si="57"/>
        <v>-15.528373811390095</v>
      </c>
      <c r="BP242" s="1">
        <f t="shared" si="58"/>
        <v>11.802252194381213</v>
      </c>
      <c r="BT242" s="1">
        <f t="shared" si="59"/>
        <v>-92.972313050296862</v>
      </c>
      <c r="BU242" s="1">
        <f t="shared" si="60"/>
        <v>49.966467726221865</v>
      </c>
    </row>
    <row r="243" spans="49:73">
      <c r="AW243" s="1">
        <v>233</v>
      </c>
      <c r="AX243" s="1">
        <f t="shared" si="61"/>
        <v>116.5</v>
      </c>
      <c r="AZ243" s="1">
        <f t="shared" si="62"/>
        <v>56766.692694366604</v>
      </c>
      <c r="BA243" s="1">
        <f t="shared" si="63"/>
        <v>-48313.627501864205</v>
      </c>
      <c r="BC243" s="1">
        <f t="shared" si="64"/>
        <v>1309.8652845802885</v>
      </c>
      <c r="BD243" s="1">
        <f t="shared" si="65"/>
        <v>-923.56335187968409</v>
      </c>
      <c r="BF243" s="1">
        <f t="shared" si="53"/>
        <v>-168.43718113527197</v>
      </c>
      <c r="BG243" s="1">
        <f t="shared" si="54"/>
        <v>155.25597374241312</v>
      </c>
      <c r="BJ243" s="1">
        <f t="shared" si="55"/>
        <v>-62.375451372830909</v>
      </c>
      <c r="BK243" s="1">
        <f t="shared" si="56"/>
        <v>94.688968548896682</v>
      </c>
      <c r="BO243" s="1">
        <f t="shared" si="57"/>
        <v>-15.267349346251304</v>
      </c>
      <c r="BP243" s="1">
        <f t="shared" si="58"/>
        <v>11.597406263972882</v>
      </c>
      <c r="BT243" s="1">
        <f t="shared" si="59"/>
        <v>-90.794380416189753</v>
      </c>
      <c r="BU243" s="1">
        <f t="shared" si="60"/>
        <v>48.969598929543544</v>
      </c>
    </row>
    <row r="244" spans="49:73">
      <c r="AW244" s="1">
        <v>234</v>
      </c>
      <c r="AX244" s="1">
        <f t="shared" si="61"/>
        <v>117</v>
      </c>
      <c r="AZ244" s="1">
        <f t="shared" si="62"/>
        <v>57400.570689014836</v>
      </c>
      <c r="BA244" s="1">
        <f t="shared" si="63"/>
        <v>-48756.002181086245</v>
      </c>
      <c r="BC244" s="1">
        <f t="shared" si="64"/>
        <v>1225.6466940126525</v>
      </c>
      <c r="BD244" s="1">
        <f t="shared" si="65"/>
        <v>-845.93536500847756</v>
      </c>
      <c r="BF244" s="1">
        <f t="shared" si="53"/>
        <v>-165.3576622088363</v>
      </c>
      <c r="BG244" s="1">
        <f t="shared" si="54"/>
        <v>151.95698745742979</v>
      </c>
      <c r="BJ244" s="1">
        <f t="shared" si="55"/>
        <v>-61.489820694496096</v>
      </c>
      <c r="BK244" s="1">
        <f t="shared" si="56"/>
        <v>92.489804924826728</v>
      </c>
      <c r="BO244" s="1">
        <f t="shared" si="57"/>
        <v>-15.031154558600154</v>
      </c>
      <c r="BP244" s="1">
        <f t="shared" si="58"/>
        <v>11.410388091036392</v>
      </c>
      <c r="BT244" s="1">
        <f t="shared" si="59"/>
        <v>-88.836686955740035</v>
      </c>
      <c r="BU244" s="1">
        <f t="shared" si="60"/>
        <v>48.056794441566666</v>
      </c>
    </row>
    <row r="245" spans="49:73">
      <c r="AW245" s="1">
        <v>235</v>
      </c>
      <c r="AX245" s="1">
        <f t="shared" si="61"/>
        <v>117.5</v>
      </c>
      <c r="AZ245" s="1">
        <f t="shared" si="62"/>
        <v>57992.724328245058</v>
      </c>
      <c r="BA245" s="1">
        <f t="shared" si="63"/>
        <v>-49159.97524015831</v>
      </c>
      <c r="BC245" s="1">
        <f t="shared" si="64"/>
        <v>1142.9678629082343</v>
      </c>
      <c r="BD245" s="1">
        <f t="shared" si="65"/>
        <v>-769.95687127976271</v>
      </c>
      <c r="BF245" s="1">
        <f t="shared" si="53"/>
        <v>-162.59024474578899</v>
      </c>
      <c r="BG245" s="1">
        <f t="shared" si="54"/>
        <v>148.97526452800605</v>
      </c>
      <c r="BJ245" s="1">
        <f t="shared" si="55"/>
        <v>-60.692875443338139</v>
      </c>
      <c r="BK245" s="1">
        <f t="shared" si="56"/>
        <v>90.513562285318685</v>
      </c>
      <c r="BO245" s="1">
        <f t="shared" si="57"/>
        <v>-14.817940013619971</v>
      </c>
      <c r="BP245" s="1">
        <f t="shared" si="58"/>
        <v>11.239881307729076</v>
      </c>
      <c r="BT245" s="1">
        <f t="shared" si="59"/>
        <v>-87.079429288830866</v>
      </c>
      <c r="BU245" s="1">
        <f t="shared" si="60"/>
        <v>47.221820934958295</v>
      </c>
    </row>
    <row r="246" spans="49:73">
      <c r="AW246" s="1">
        <v>236</v>
      </c>
      <c r="AX246" s="1">
        <f t="shared" si="61"/>
        <v>118</v>
      </c>
      <c r="AZ246" s="1">
        <f t="shared" si="62"/>
        <v>58543.884479105953</v>
      </c>
      <c r="BA246" s="1">
        <f t="shared" si="63"/>
        <v>-49526.33176773219</v>
      </c>
      <c r="BC246" s="1">
        <f t="shared" si="64"/>
        <v>1061.6727405353399</v>
      </c>
      <c r="BD246" s="1">
        <f t="shared" si="65"/>
        <v>-695.46923901575974</v>
      </c>
      <c r="BF246" s="1">
        <f t="shared" si="53"/>
        <v>-160.11147164402786</v>
      </c>
      <c r="BG246" s="1">
        <f t="shared" si="54"/>
        <v>146.28495277470239</v>
      </c>
      <c r="BJ246" s="1">
        <f t="shared" si="55"/>
        <v>-59.979750188896574</v>
      </c>
      <c r="BK246" s="1">
        <f t="shared" si="56"/>
        <v>88.741059180785825</v>
      </c>
      <c r="BO246" s="1">
        <f t="shared" si="57"/>
        <v>-14.626100315797212</v>
      </c>
      <c r="BP246" s="1">
        <f t="shared" si="58"/>
        <v>11.084734421276075</v>
      </c>
      <c r="BT246" s="1">
        <f t="shared" si="59"/>
        <v>-85.505621139334053</v>
      </c>
      <c r="BU246" s="1">
        <f t="shared" si="60"/>
        <v>46.459159172640483</v>
      </c>
    </row>
    <row r="247" spans="49:73">
      <c r="AW247" s="1">
        <v>237</v>
      </c>
      <c r="AX247" s="1">
        <f t="shared" si="61"/>
        <v>118.5</v>
      </c>
      <c r="AZ247" s="1">
        <f t="shared" si="62"/>
        <v>59054.706915418123</v>
      </c>
      <c r="BA247" s="1">
        <f t="shared" si="63"/>
        <v>-49855.780768143231</v>
      </c>
      <c r="BC247" s="1">
        <f t="shared" si="64"/>
        <v>981.61700471332597</v>
      </c>
      <c r="BD247" s="1">
        <f t="shared" si="65"/>
        <v>-622.32676262840857</v>
      </c>
      <c r="BF247" s="1">
        <f t="shared" si="53"/>
        <v>-157.90107100672927</v>
      </c>
      <c r="BG247" s="1">
        <f t="shared" si="54"/>
        <v>143.86368412348568</v>
      </c>
      <c r="BJ247" s="1">
        <f t="shared" si="55"/>
        <v>-59.346155618453665</v>
      </c>
      <c r="BK247" s="1">
        <f t="shared" si="56"/>
        <v>87.15582217672106</v>
      </c>
      <c r="BO247" s="1">
        <f t="shared" si="57"/>
        <v>-14.454241774529777</v>
      </c>
      <c r="BP247" s="1">
        <f t="shared" si="58"/>
        <v>10.943939463992333</v>
      </c>
      <c r="BT247" s="1">
        <f t="shared" si="59"/>
        <v>-84.100673613745826</v>
      </c>
      <c r="BU247" s="1">
        <f t="shared" si="60"/>
        <v>45.763922482772287</v>
      </c>
    </row>
    <row r="248" spans="49:73">
      <c r="AW248" s="1">
        <v>238</v>
      </c>
      <c r="AX248" s="1">
        <f t="shared" si="61"/>
        <v>119</v>
      </c>
      <c r="AZ248" s="1">
        <f t="shared" si="62"/>
        <v>59525.777783898942</v>
      </c>
      <c r="BA248" s="1">
        <f t="shared" si="63"/>
        <v>-50148.961188941998</v>
      </c>
      <c r="BC248" s="1">
        <f t="shared" si="64"/>
        <v>902.66646920996129</v>
      </c>
      <c r="BD248" s="1">
        <f t="shared" si="65"/>
        <v>-550.39492056666575</v>
      </c>
      <c r="BF248" s="1">
        <f t="shared" si="53"/>
        <v>-155.94154361738012</v>
      </c>
      <c r="BG248" s="1">
        <f t="shared" si="54"/>
        <v>141.6921005605019</v>
      </c>
      <c r="BJ248" s="1">
        <f t="shared" si="55"/>
        <v>-58.788335133180432</v>
      </c>
      <c r="BK248" s="1">
        <f t="shared" si="56"/>
        <v>85.743700452513252</v>
      </c>
      <c r="BO248" s="1">
        <f t="shared" si="57"/>
        <v>-14.30115564150312</v>
      </c>
      <c r="BP248" s="1">
        <f t="shared" si="58"/>
        <v>10.816614179810626</v>
      </c>
      <c r="BT248" s="1">
        <f t="shared" si="59"/>
        <v>-82.852052842696565</v>
      </c>
      <c r="BU248" s="1">
        <f t="shared" si="60"/>
        <v>45.131785928178033</v>
      </c>
    </row>
    <row r="249" spans="49:73">
      <c r="AW249" s="1">
        <v>239</v>
      </c>
      <c r="AX249" s="1">
        <f t="shared" si="61"/>
        <v>119.5</v>
      </c>
      <c r="AZ249" s="1">
        <f t="shared" si="62"/>
        <v>59957.618325551746</v>
      </c>
      <c r="BA249" s="1">
        <f t="shared" si="63"/>
        <v>-50406.447136655268</v>
      </c>
      <c r="BC249" s="1">
        <f t="shared" si="64"/>
        <v>824.69569740127122</v>
      </c>
      <c r="BD249" s="1">
        <f t="shared" si="65"/>
        <v>-479.5488702864148</v>
      </c>
      <c r="BF249" s="1">
        <f t="shared" si="53"/>
        <v>-154.21782123772789</v>
      </c>
      <c r="BG249" s="1">
        <f t="shared" si="54"/>
        <v>139.75346217715864</v>
      </c>
      <c r="BJ249" s="1">
        <f t="shared" si="55"/>
        <v>-58.303025604822977</v>
      </c>
      <c r="BK249" s="1">
        <f t="shared" si="56"/>
        <v>84.492550146158436</v>
      </c>
      <c r="BO249" s="1">
        <f t="shared" si="57"/>
        <v>-14.165795905765078</v>
      </c>
      <c r="BP249" s="1">
        <f t="shared" si="58"/>
        <v>10.701987120804366</v>
      </c>
      <c r="BT249" s="1">
        <f t="shared" si="59"/>
        <v>-81.748999727139818</v>
      </c>
      <c r="BU249" s="1">
        <f t="shared" si="60"/>
        <v>44.558924910195849</v>
      </c>
    </row>
    <row r="250" spans="49:73">
      <c r="AW250" s="1">
        <v>240</v>
      </c>
      <c r="AX250" s="1">
        <f t="shared" si="61"/>
        <v>120</v>
      </c>
      <c r="AZ250" s="1">
        <f t="shared" si="62"/>
        <v>60350.688946597664</v>
      </c>
      <c r="BA250" s="1">
        <f t="shared" si="63"/>
        <v>-50628.752389026326</v>
      </c>
      <c r="BC250" s="1">
        <f t="shared" si="64"/>
        <v>747.58678678240722</v>
      </c>
      <c r="BD250" s="1">
        <f t="shared" si="65"/>
        <v>-409.67213919783546</v>
      </c>
      <c r="BF250" s="1">
        <f t="shared" si="53"/>
        <v>-152.71698340099505</v>
      </c>
      <c r="BG250" s="1">
        <f t="shared" si="54"/>
        <v>138.03332248425335</v>
      </c>
      <c r="BJ250" s="1">
        <f t="shared" si="55"/>
        <v>-57.887422611073433</v>
      </c>
      <c r="BK250" s="1">
        <f t="shared" si="56"/>
        <v>83.391975285758747</v>
      </c>
      <c r="BO250" s="1">
        <f t="shared" si="57"/>
        <v>-14.047260847130161</v>
      </c>
      <c r="BP250" s="1">
        <f t="shared" si="58"/>
        <v>10.599385155374968</v>
      </c>
      <c r="BT250" s="1">
        <f t="shared" si="59"/>
        <v>-80.78229994279144</v>
      </c>
      <c r="BU250" s="1">
        <f t="shared" si="60"/>
        <v>44.041962043119625</v>
      </c>
    </row>
    <row r="251" spans="49:73">
      <c r="AW251" s="1">
        <v>241</v>
      </c>
      <c r="AX251" s="1">
        <f t="shared" si="61"/>
        <v>120.5</v>
      </c>
      <c r="AZ251" s="1">
        <f t="shared" si="62"/>
        <v>60705.392717063747</v>
      </c>
      <c r="BA251" s="1">
        <f t="shared" si="63"/>
        <v>-50816.334293314714</v>
      </c>
      <c r="BC251" s="1">
        <f t="shared" si="64"/>
        <v>671.22829508190966</v>
      </c>
      <c r="BD251" s="1">
        <f t="shared" si="65"/>
        <v>-340.65547795570876</v>
      </c>
      <c r="BF251" s="1">
        <f t="shared" si="53"/>
        <v>-151.4280229000434</v>
      </c>
      <c r="BG251" s="1">
        <f t="shared" si="54"/>
        <v>136.51925926060107</v>
      </c>
      <c r="BJ251" s="1">
        <f t="shared" si="55"/>
        <v>-57.539150228355822</v>
      </c>
      <c r="BK251" s="1">
        <f t="shared" si="56"/>
        <v>82.433115017299315</v>
      </c>
      <c r="BO251" s="1">
        <f t="shared" si="57"/>
        <v>-13.944777715025033</v>
      </c>
      <c r="BP251" s="1">
        <f t="shared" si="58"/>
        <v>10.50822298995663</v>
      </c>
      <c r="BT251" s="1">
        <f t="shared" si="59"/>
        <v>-79.944094956662568</v>
      </c>
      <c r="BU251" s="1">
        <f t="shared" si="60"/>
        <v>43.577921253345139</v>
      </c>
    </row>
    <row r="252" spans="49:73">
      <c r="AW252" s="1">
        <v>242</v>
      </c>
      <c r="AX252" s="1">
        <f t="shared" si="61"/>
        <v>121</v>
      </c>
      <c r="AZ252" s="1">
        <f t="shared" si="62"/>
        <v>61022.078361742191</v>
      </c>
      <c r="BA252" s="1">
        <f t="shared" si="63"/>
        <v>-50969.597124884989</v>
      </c>
      <c r="BC252" s="1">
        <f t="shared" si="64"/>
        <v>595.51428363188802</v>
      </c>
      <c r="BD252" s="1">
        <f t="shared" si="65"/>
        <v>-272.39584832540822</v>
      </c>
      <c r="BF252" s="1">
        <f t="shared" si="53"/>
        <v>-150.34165216680486</v>
      </c>
      <c r="BG252" s="1">
        <f t="shared" si="54"/>
        <v>135.20065161885029</v>
      </c>
      <c r="BJ252" s="1">
        <f t="shared" si="55"/>
        <v>-57.256235327997906</v>
      </c>
      <c r="BK252" s="1">
        <f t="shared" si="56"/>
        <v>81.6084690540157</v>
      </c>
      <c r="BO252" s="1">
        <f t="shared" si="57"/>
        <v>-13.857690030160574</v>
      </c>
      <c r="BP252" s="1">
        <f t="shared" si="58"/>
        <v>10.427994385038854</v>
      </c>
      <c r="BT252" s="1">
        <f t="shared" si="59"/>
        <v>-79.227726808646366</v>
      </c>
      <c r="BU252" s="1">
        <f t="shared" si="60"/>
        <v>43.16418817979573</v>
      </c>
    </row>
    <row r="253" spans="49:73">
      <c r="AW253" s="1">
        <v>243</v>
      </c>
      <c r="AX253" s="1">
        <f t="shared" si="61"/>
        <v>121.5</v>
      </c>
      <c r="AZ253" s="1">
        <f t="shared" si="62"/>
        <v>61301.042797037284</v>
      </c>
      <c r="BA253" s="1">
        <f t="shared" si="63"/>
        <v>-51088.894967595341</v>
      </c>
      <c r="BC253" s="1">
        <f t="shared" si="64"/>
        <v>520.34345754848562</v>
      </c>
      <c r="BD253" s="1">
        <f t="shared" si="65"/>
        <v>-204.79552251598307</v>
      </c>
      <c r="BF253" s="1">
        <f t="shared" si="53"/>
        <v>-149.45014432923421</v>
      </c>
      <c r="BG253" s="1">
        <f t="shared" si="54"/>
        <v>134.06849587867737</v>
      </c>
      <c r="BJ253" s="1">
        <f t="shared" si="55"/>
        <v>-57.037086258024026</v>
      </c>
      <c r="BK253" s="1">
        <f t="shared" si="56"/>
        <v>80.911754999773606</v>
      </c>
      <c r="BO253" s="1">
        <f t="shared" si="57"/>
        <v>-13.78544710928978</v>
      </c>
      <c r="BP253" s="1">
        <f t="shared" si="58"/>
        <v>10.358264809014637</v>
      </c>
      <c r="BT253" s="1">
        <f t="shared" si="59"/>
        <v>-78.627610961920411</v>
      </c>
      <c r="BU253" s="1">
        <f t="shared" si="60"/>
        <v>42.798476069889105</v>
      </c>
    </row>
    <row r="254" spans="49:73">
      <c r="AW254" s="1">
        <v>244</v>
      </c>
      <c r="AX254" s="1">
        <f t="shared" si="61"/>
        <v>122</v>
      </c>
      <c r="AZ254" s="1">
        <f t="shared" si="62"/>
        <v>61542.533257770374</v>
      </c>
      <c r="BA254" s="1">
        <f t="shared" si="63"/>
        <v>-51174.5341668685</v>
      </c>
      <c r="BC254" s="1">
        <f t="shared" si="64"/>
        <v>445.61838538386849</v>
      </c>
      <c r="BD254" s="1">
        <f t="shared" si="65"/>
        <v>-137.76127457664438</v>
      </c>
      <c r="BF254" s="1">
        <f t="shared" si="53"/>
        <v>-148.74720400996483</v>
      </c>
      <c r="BG254" s="1">
        <f t="shared" si="54"/>
        <v>133.11525435594396</v>
      </c>
      <c r="BJ254" s="1">
        <f t="shared" si="55"/>
        <v>-56.880475773946401</v>
      </c>
      <c r="BK254" s="1">
        <f t="shared" si="56"/>
        <v>80.337792558712081</v>
      </c>
      <c r="BO254" s="1">
        <f t="shared" si="57"/>
        <v>-13.727595495407609</v>
      </c>
      <c r="BP254" s="1">
        <f t="shared" si="58"/>
        <v>10.298665323630209</v>
      </c>
      <c r="BT254" s="1">
        <f t="shared" si="59"/>
        <v>-78.139132740610805</v>
      </c>
      <c r="BU254" s="1">
        <f t="shared" si="60"/>
        <v>42.478796473601669</v>
      </c>
    </row>
    <row r="255" spans="49:73">
      <c r="AW255" s="1">
        <v>245</v>
      </c>
      <c r="AX255" s="1">
        <f t="shared" si="61"/>
        <v>122.5</v>
      </c>
      <c r="AZ255" s="1">
        <f t="shared" si="62"/>
        <v>61746.749049961065</v>
      </c>
      <c r="BA255" s="1">
        <f t="shared" si="63"/>
        <v>-51226.775397362326</v>
      </c>
      <c r="BC255" s="1">
        <f t="shared" si="64"/>
        <v>371.24478337888604</v>
      </c>
      <c r="BD255" s="1">
        <f t="shared" si="65"/>
        <v>-71.203647398672402</v>
      </c>
      <c r="BF255" s="1">
        <f t="shared" si="53"/>
        <v>-148.22786396930712</v>
      </c>
      <c r="BG255" s="1">
        <f t="shared" si="54"/>
        <v>132.3347323971058</v>
      </c>
      <c r="BJ255" s="1">
        <f t="shared" si="55"/>
        <v>-56.78552809237312</v>
      </c>
      <c r="BK255" s="1">
        <f t="shared" si="56"/>
        <v>79.882410726411152</v>
      </c>
      <c r="BO255" s="1">
        <f t="shared" si="57"/>
        <v>-13.683772042003673</v>
      </c>
      <c r="BP255" s="1">
        <f t="shared" si="58"/>
        <v>10.248887535483759</v>
      </c>
      <c r="BT255" s="1">
        <f t="shared" si="59"/>
        <v>-77.758563834930314</v>
      </c>
      <c r="BU255" s="1">
        <f t="shared" si="60"/>
        <v>42.203434135210877</v>
      </c>
    </row>
    <row r="256" spans="49:73">
      <c r="AW256" s="1">
        <v>246</v>
      </c>
      <c r="AX256" s="1">
        <f t="shared" si="61"/>
        <v>123</v>
      </c>
      <c r="AZ256" s="1">
        <f t="shared" si="62"/>
        <v>61913.84295865435</v>
      </c>
      <c r="BA256" s="1">
        <f t="shared" si="63"/>
        <v>-51245.83537951202</v>
      </c>
      <c r="BC256" s="1">
        <f t="shared" si="64"/>
        <v>297.13085139423248</v>
      </c>
      <c r="BD256" s="1">
        <f t="shared" si="65"/>
        <v>-5.0362812001195039</v>
      </c>
      <c r="BF256" s="1">
        <f t="shared" si="53"/>
        <v>-147.8884045504675</v>
      </c>
      <c r="BG256" s="1">
        <f t="shared" si="54"/>
        <v>131.72197998137563</v>
      </c>
      <c r="BJ256" s="1">
        <f t="shared" si="55"/>
        <v>-56.751709971291689</v>
      </c>
      <c r="BK256" s="1">
        <f t="shared" si="56"/>
        <v>79.542374932502454</v>
      </c>
      <c r="BO256" s="1">
        <f t="shared" si="57"/>
        <v>-13.653698454193872</v>
      </c>
      <c r="BP256" s="1">
        <f t="shared" si="58"/>
        <v>10.208679481307453</v>
      </c>
      <c r="BT256" s="1">
        <f t="shared" si="59"/>
        <v>-77.482996124981952</v>
      </c>
      <c r="BU256" s="1">
        <f t="shared" si="60"/>
        <v>41.970925567565722</v>
      </c>
    </row>
    <row r="257" spans="49:73">
      <c r="AW257" s="1">
        <v>247</v>
      </c>
      <c r="AX257" s="1">
        <f t="shared" si="61"/>
        <v>123.5</v>
      </c>
      <c r="AZ257" s="1">
        <f t="shared" si="62"/>
        <v>62043.922333782655</v>
      </c>
      <c r="BA257" s="1">
        <f t="shared" si="63"/>
        <v>-51231.888272614407</v>
      </c>
      <c r="BC257" s="1">
        <f t="shared" si="64"/>
        <v>223.18664911899873</v>
      </c>
      <c r="BD257" s="1">
        <f t="shared" si="65"/>
        <v>60.824708790568309</v>
      </c>
      <c r="BF257" s="1">
        <f t="shared" si="53"/>
        <v>-147.72629360107825</v>
      </c>
      <c r="BG257" s="1">
        <f t="shared" si="54"/>
        <v>131.2732150332323</v>
      </c>
      <c r="BJ257" s="1">
        <f t="shared" si="55"/>
        <v>-56.778825764527042</v>
      </c>
      <c r="BK257" s="1">
        <f t="shared" si="56"/>
        <v>79.315331823191016</v>
      </c>
      <c r="BO257" s="1">
        <f t="shared" si="57"/>
        <v>-13.637177134643753</v>
      </c>
      <c r="BP257" s="1">
        <f t="shared" si="58"/>
        <v>10.177842342363531</v>
      </c>
      <c r="BT257" s="1">
        <f t="shared" si="59"/>
        <v>-77.310290701907462</v>
      </c>
      <c r="BU257" s="1">
        <f t="shared" si="60"/>
        <v>41.780040867677748</v>
      </c>
    </row>
    <row r="258" spans="49:73">
      <c r="AW258" s="1">
        <v>248</v>
      </c>
      <c r="AX258" s="1">
        <f t="shared" si="61"/>
        <v>124</v>
      </c>
      <c r="AZ258" s="1">
        <f t="shared" si="62"/>
        <v>62137.049871642019</v>
      </c>
      <c r="BA258" s="1">
        <f t="shared" si="63"/>
        <v>-51185.066766339973</v>
      </c>
      <c r="BC258" s="1">
        <f t="shared" si="64"/>
        <v>149.32350231845959</v>
      </c>
      <c r="BD258" s="1">
        <f t="shared" si="65"/>
        <v>126.46131630718446</v>
      </c>
      <c r="BF258" s="1">
        <f t="shared" si="53"/>
        <v>-147.74014515737082</v>
      </c>
      <c r="BG258" s="1">
        <f t="shared" si="54"/>
        <v>130.98576627749085</v>
      </c>
      <c r="BJ258" s="1">
        <f t="shared" si="55"/>
        <v>-56.8670164517129</v>
      </c>
      <c r="BK258" s="1">
        <f t="shared" si="56"/>
        <v>79.199769975288916</v>
      </c>
      <c r="BO258" s="1">
        <f t="shared" si="57"/>
        <v>-13.634088220439978</v>
      </c>
      <c r="BP258" s="1">
        <f t="shared" si="58"/>
        <v>10.156227906522357</v>
      </c>
      <c r="BT258" s="1">
        <f t="shared" si="59"/>
        <v>-77.239040485217927</v>
      </c>
      <c r="BU258" s="1">
        <f t="shared" si="60"/>
        <v>41.629768395679577</v>
      </c>
    </row>
    <row r="259" spans="49:73">
      <c r="AW259" s="1">
        <v>249</v>
      </c>
      <c r="AX259" s="1">
        <f t="shared" si="61"/>
        <v>124.5</v>
      </c>
      <c r="AZ259" s="1">
        <f t="shared" si="62"/>
        <v>62193.244104656573</v>
      </c>
      <c r="BA259" s="1">
        <f t="shared" si="63"/>
        <v>-51105.4628874017</v>
      </c>
      <c r="BC259" s="1">
        <f t="shared" si="64"/>
        <v>75.45342973977418</v>
      </c>
      <c r="BD259" s="1">
        <f t="shared" si="65"/>
        <v>191.95419944592987</v>
      </c>
      <c r="BF259" s="1">
        <f t="shared" si="53"/>
        <v>-147.92969571433741</v>
      </c>
      <c r="BG259" s="1">
        <f t="shared" si="54"/>
        <v>130.85803406268957</v>
      </c>
      <c r="BJ259" s="1">
        <f t="shared" si="55"/>
        <v>-57.016762707622249</v>
      </c>
      <c r="BK259" s="1">
        <f t="shared" si="56"/>
        <v>79.194995353594251</v>
      </c>
      <c r="BO259" s="1">
        <f t="shared" si="57"/>
        <v>-13.644387730316678</v>
      </c>
      <c r="BP259" s="1">
        <f t="shared" si="58"/>
        <v>10.143736716542982</v>
      </c>
      <c r="BT259" s="1">
        <f t="shared" si="59"/>
        <v>-77.26854527639847</v>
      </c>
      <c r="BU259" s="1">
        <f t="shared" si="60"/>
        <v>41.519301992552336</v>
      </c>
    </row>
    <row r="260" spans="49:73">
      <c r="AW260" s="1">
        <v>250</v>
      </c>
      <c r="AX260" s="1">
        <f t="shared" si="61"/>
        <v>125</v>
      </c>
      <c r="AZ260" s="1">
        <f t="shared" si="62"/>
        <v>62212.479607562171</v>
      </c>
      <c r="BA260" s="1">
        <f t="shared" si="63"/>
        <v>-50993.128533420902</v>
      </c>
      <c r="BC260" s="1">
        <f t="shared" si="64"/>
        <v>1.4885818826054731</v>
      </c>
      <c r="BD260" s="1">
        <f t="shared" si="65"/>
        <v>257.38321647727469</v>
      </c>
      <c r="BF260" s="1">
        <f t="shared" si="53"/>
        <v>-148.29579739093157</v>
      </c>
      <c r="BG260" s="1">
        <f t="shared" si="54"/>
        <v>130.88946810406139</v>
      </c>
      <c r="BJ260" s="1">
        <f t="shared" si="55"/>
        <v>-57.228892145463668</v>
      </c>
      <c r="BK260" s="1">
        <f t="shared" si="56"/>
        <v>79.301120787280141</v>
      </c>
      <c r="BO260" s="1">
        <f t="shared" si="57"/>
        <v>-13.668106771403295</v>
      </c>
      <c r="BP260" s="1">
        <f t="shared" si="58"/>
        <v>10.140316860605175</v>
      </c>
      <c r="BT260" s="1">
        <f t="shared" si="59"/>
        <v>-77.398798474064606</v>
      </c>
      <c r="BU260" s="1">
        <f t="shared" si="60"/>
        <v>41.448030456176056</v>
      </c>
    </row>
    <row r="261" spans="49:73">
      <c r="AW261" s="1">
        <v>251</v>
      </c>
      <c r="AX261" s="1">
        <f t="shared" si="61"/>
        <v>125.5</v>
      </c>
      <c r="AZ261" s="1">
        <f t="shared" si="62"/>
        <v>62194.686923829606</v>
      </c>
      <c r="BA261" s="1">
        <f t="shared" si="63"/>
        <v>-50848.075741669258</v>
      </c>
      <c r="BC261" s="1">
        <f t="shared" si="64"/>
        <v>-72.659316812860311</v>
      </c>
      <c r="BD261" s="1">
        <f t="shared" si="65"/>
        <v>322.82795052930538</v>
      </c>
      <c r="BF261" s="1">
        <f t="shared" si="53"/>
        <v>-148.84042775460415</v>
      </c>
      <c r="BG261" s="1">
        <f t="shared" si="54"/>
        <v>131.08056157892054</v>
      </c>
      <c r="BJ261" s="1">
        <f t="shared" si="55"/>
        <v>-57.504590948524623</v>
      </c>
      <c r="BK261" s="1">
        <f t="shared" si="56"/>
        <v>79.519069171320595</v>
      </c>
      <c r="BO261" s="1">
        <f t="shared" si="57"/>
        <v>-13.705351782225256</v>
      </c>
      <c r="BP261" s="1">
        <f t="shared" si="58"/>
        <v>10.145963376974551</v>
      </c>
      <c r="BT261" s="1">
        <f t="shared" si="59"/>
        <v>-77.630485023854277</v>
      </c>
      <c r="BU261" s="1">
        <f t="shared" si="60"/>
        <v>41.415529030625386</v>
      </c>
    </row>
    <row r="262" spans="49:73">
      <c r="AW262" s="1">
        <v>252</v>
      </c>
      <c r="AX262" s="1">
        <f t="shared" si="61"/>
        <v>126</v>
      </c>
      <c r="AZ262" s="1">
        <f t="shared" si="62"/>
        <v>62139.752211953848</v>
      </c>
      <c r="BA262" s="1">
        <f t="shared" si="63"/>
        <v>-50670.276696207242</v>
      </c>
      <c r="BC262" s="1">
        <f t="shared" si="64"/>
        <v>-147.07953069016239</v>
      </c>
      <c r="BD262" s="1">
        <f t="shared" si="65"/>
        <v>388.36823131876565</v>
      </c>
      <c r="BF262" s="1">
        <f t="shared" si="53"/>
        <v>-149.56671651329401</v>
      </c>
      <c r="BG262" s="1">
        <f t="shared" si="54"/>
        <v>131.43286146625081</v>
      </c>
      <c r="BJ262" s="1">
        <f t="shared" si="55"/>
        <v>-57.845420194760329</v>
      </c>
      <c r="BK262" s="1">
        <f t="shared" si="56"/>
        <v>79.850590516359532</v>
      </c>
      <c r="BO262" s="1">
        <f t="shared" si="57"/>
        <v>-13.756305815217599</v>
      </c>
      <c r="BP262" s="1">
        <f t="shared" si="58"/>
        <v>10.160718259452414</v>
      </c>
      <c r="BT262" s="1">
        <f t="shared" si="59"/>
        <v>-77.964990503316102</v>
      </c>
      <c r="BU262" s="1">
        <f t="shared" si="60"/>
        <v>41.421552690438858</v>
      </c>
    </row>
    <row r="263" spans="49:73">
      <c r="AW263" s="1">
        <v>253</v>
      </c>
      <c r="AX263" s="1">
        <f t="shared" si="61"/>
        <v>126.5</v>
      </c>
      <c r="AZ263" s="1">
        <f t="shared" si="62"/>
        <v>62047.516607044607</v>
      </c>
      <c r="BA263" s="1">
        <f t="shared" si="63"/>
        <v>-50459.66347286458</v>
      </c>
      <c r="BC263" s="1">
        <f t="shared" si="64"/>
        <v>-221.86288894680939</v>
      </c>
      <c r="BD263" s="1">
        <f t="shared" si="65"/>
        <v>454.08466205189109</v>
      </c>
      <c r="BF263" s="1">
        <f t="shared" si="53"/>
        <v>-150.47898973357709</v>
      </c>
      <c r="BG263" s="1">
        <f t="shared" si="54"/>
        <v>131.94899547876759</v>
      </c>
      <c r="BJ263" s="1">
        <f t="shared" si="55"/>
        <v>-58.253337281896066</v>
      </c>
      <c r="BK263" s="1">
        <f t="shared" si="56"/>
        <v>80.298293394675824</v>
      </c>
      <c r="BO263" s="1">
        <f t="shared" si="57"/>
        <v>-13.821230888589247</v>
      </c>
      <c r="BP263" s="1">
        <f t="shared" si="58"/>
        <v>10.184671064536763</v>
      </c>
      <c r="BT263" s="1">
        <f t="shared" si="59"/>
        <v>-78.404421563091788</v>
      </c>
      <c r="BU263" s="1">
        <f t="shared" si="60"/>
        <v>41.466031019555011</v>
      </c>
    </row>
    <row r="264" spans="49:73">
      <c r="AW264" s="1">
        <v>254</v>
      </c>
      <c r="AX264" s="1">
        <f t="shared" si="61"/>
        <v>127</v>
      </c>
      <c r="AZ264" s="1">
        <f t="shared" si="62"/>
        <v>61917.775288854507</v>
      </c>
      <c r="BA264" s="1">
        <f t="shared" si="63"/>
        <v>-50216.127517403795</v>
      </c>
      <c r="BC264" s="1">
        <f t="shared" si="64"/>
        <v>-297.10238381359795</v>
      </c>
      <c r="BD264" s="1">
        <f t="shared" si="65"/>
        <v>520.05915979127485</v>
      </c>
      <c r="BF264" s="1">
        <f t="shared" si="53"/>
        <v>-151.58283271955818</v>
      </c>
      <c r="BG264" s="1">
        <f t="shared" si="54"/>
        <v>132.63271640978465</v>
      </c>
      <c r="BJ264" s="1">
        <f t="shared" si="55"/>
        <v>-58.730722979307572</v>
      </c>
      <c r="BK264" s="1">
        <f t="shared" si="56"/>
        <v>80.865691781221997</v>
      </c>
      <c r="BO264" s="1">
        <f t="shared" si="57"/>
        <v>-13.900471465090922</v>
      </c>
      <c r="BP264" s="1">
        <f t="shared" si="58"/>
        <v>10.217960135543768</v>
      </c>
      <c r="BT264" s="1">
        <f t="shared" si="59"/>
        <v>-78.951638275159695</v>
      </c>
      <c r="BU264" s="1">
        <f t="shared" si="60"/>
        <v>41.549064493018896</v>
      </c>
    </row>
    <row r="265" spans="49:73">
      <c r="AW265" s="1">
        <v>255</v>
      </c>
      <c r="AX265" s="1">
        <f t="shared" si="61"/>
        <v>127.5</v>
      </c>
      <c r="AZ265" s="1">
        <f t="shared" si="62"/>
        <v>61750.276242857763</v>
      </c>
      <c r="BA265" s="1">
        <f t="shared" si="63"/>
        <v>-49939.518847956933</v>
      </c>
      <c r="BC265" s="1">
        <f t="shared" si="64"/>
        <v>-372.89380017337703</v>
      </c>
      <c r="BD265" s="1">
        <f t="shared" si="65"/>
        <v>586.37551799616722</v>
      </c>
      <c r="BF265" s="1">
        <f t="shared" si="53"/>
        <v>-152.88517320818084</v>
      </c>
      <c r="BG265" s="1">
        <f t="shared" si="54"/>
        <v>133.48896523023433</v>
      </c>
      <c r="BJ265" s="1">
        <f t="shared" si="55"/>
        <v>-59.280414771268482</v>
      </c>
      <c r="BK265" s="1">
        <f t="shared" si="56"/>
        <v>81.55726878936477</v>
      </c>
      <c r="BO265" s="1">
        <f t="shared" si="57"/>
        <v>-13.994459145247438</v>
      </c>
      <c r="BP265" s="1">
        <f t="shared" si="58"/>
        <v>10.260774473857596</v>
      </c>
      <c r="BT265" s="1">
        <f t="shared" si="59"/>
        <v>-79.61029929166493</v>
      </c>
      <c r="BU265" s="1">
        <f t="shared" si="60"/>
        <v>41.670921967011978</v>
      </c>
    </row>
    <row r="266" spans="49:73">
      <c r="AW266" s="1">
        <v>256</v>
      </c>
      <c r="AX266" s="1">
        <f t="shared" si="61"/>
        <v>128</v>
      </c>
      <c r="AZ266" s="1">
        <f t="shared" si="62"/>
        <v>61544.71869612005</v>
      </c>
      <c r="BA266" s="1">
        <f t="shared" si="63"/>
        <v>-49629.644968305067</v>
      </c>
      <c r="BC266" s="1">
        <f t="shared" si="64"/>
        <v>-449.33638677746745</v>
      </c>
      <c r="BD266" s="1">
        <f t="shared" si="65"/>
        <v>653.12000061128435</v>
      </c>
      <c r="BF266" s="1">
        <f t="shared" si="53"/>
        <v>-154.39438712529852</v>
      </c>
      <c r="BG266" s="1">
        <f t="shared" si="54"/>
        <v>134.52395484713861</v>
      </c>
      <c r="BJ266" s="1">
        <f t="shared" si="55"/>
        <v>-59.905747318972196</v>
      </c>
      <c r="BK266" s="1">
        <f t="shared" si="56"/>
        <v>82.378559376633817</v>
      </c>
      <c r="BO266" s="1">
        <f t="shared" si="57"/>
        <v>-14.103718696203291</v>
      </c>
      <c r="BP266" s="1">
        <f t="shared" si="58"/>
        <v>10.313356303569712</v>
      </c>
      <c r="BT266" s="1">
        <f t="shared" si="59"/>
        <v>-80.384921110123017</v>
      </c>
      <c r="BU266" s="1">
        <f t="shared" si="60"/>
        <v>41.832039166935083</v>
      </c>
    </row>
    <row r="267" spans="49:73">
      <c r="AW267" s="1">
        <v>257</v>
      </c>
      <c r="AX267" s="1">
        <f t="shared" si="61"/>
        <v>128.5</v>
      </c>
      <c r="AZ267" s="1">
        <f t="shared" si="62"/>
        <v>61300.75120434066</v>
      </c>
      <c r="BA267" s="1">
        <f t="shared" si="63"/>
        <v>-49286.269473643537</v>
      </c>
      <c r="BC267" s="1">
        <f t="shared" si="64"/>
        <v>-526.53358034011671</v>
      </c>
      <c r="BD267" s="1">
        <f t="shared" si="65"/>
        <v>720.38197803485366</v>
      </c>
      <c r="BF267" s="1">
        <f t="shared" ref="BF267:BF330" si="66">BJ267 + BO267 + BT267</f>
        <v>-156.12042982942125</v>
      </c>
      <c r="BG267" s="1">
        <f t="shared" ref="BG267:BG330" si="67">BK267 + BP267 + BU267</f>
        <v>135.74527710195662</v>
      </c>
      <c r="BJ267" s="1">
        <f t="shared" ref="BJ267:BJ330" si="68">$M$22*($M$18 - AZ267)/ (SQRT(($M$18 - AZ267)^2 + ($N$18 - BA267)^2 )^2 + $M$23^2)^(3/2)</f>
        <v>-60.610601062029886</v>
      </c>
      <c r="BK267" s="1">
        <f t="shared" ref="BK267:BK330" si="69">$M$22*($N$18 - BA267)/ (SQRT(($M$18 - AZ267)^2 + ($N$18 - BA267)^2 )^2 + $M$23^2)^(3/2)</f>
        <v>83.336254777520836</v>
      </c>
      <c r="BO267" s="1">
        <f t="shared" ref="BO267:BO330" si="70">$M$30*($M$26 - AZ267)/ (SQRT(($M$26 - AZ267)^2 + ($N$26 - BA267)^2 )^2 + $M$31^2)^(3/2)</f>
        <v>-14.22887557600087</v>
      </c>
      <c r="BP267" s="1">
        <f t="shared" ref="BP267:BP330" si="71">$M$30*($N$26 - BA267)/ (SQRT(($M$26 - AZ267)^2 + ($N$26 - BA267)^2 )^2 + $M$31^2)^(3/2)</f>
        <v>10.376004393680114</v>
      </c>
      <c r="BT267" s="1">
        <f t="shared" ref="BT267:BT330" si="72">$M$38*($M$34 - AZ267)/ (SQRT(($M$34 - AZ267)^2 + ($N$34 - BA267)^2 )^2 + $M$39^2)^(3/2)</f>
        <v>-81.280953191390481</v>
      </c>
      <c r="BU267" s="1">
        <f t="shared" ref="BU267:BU330" si="73">$M$38*($N$34 - BA267)/ (SQRT(($M$34 - AZ267)^2 + ($N$34 - BA267)^2 )^2 + $M$39^2)^(3/2)</f>
        <v>42.033017930755655</v>
      </c>
    </row>
    <row r="268" spans="49:73">
      <c r="AW268" s="1">
        <v>258</v>
      </c>
      <c r="AX268" s="1">
        <f t="shared" ref="AX268:AX331" si="74">AX267+$M$5</f>
        <v>129</v>
      </c>
      <c r="AZ268" s="1">
        <f t="shared" ref="AZ268:AZ331" si="75">AZ267 + BC267 * $M$5 + 0.5 * BF267 * POWER($M$5, 2)</f>
        <v>61017.96936044193</v>
      </c>
      <c r="BA268" s="1">
        <f t="shared" ref="BA268:BA331" si="76">BA267+BD267*$M$5+0.5*BG267* POWER($M$5, 2)</f>
        <v>-48909.110324988367</v>
      </c>
      <c r="BC268" s="1">
        <f t="shared" ref="BC268:BC331" si="77">BC267 + BF267 * $M$5</f>
        <v>-604.59379525482734</v>
      </c>
      <c r="BD268" s="1">
        <f t="shared" ref="BD268:BD331" si="78">BD267+BG267*$M$5</f>
        <v>788.25461658583197</v>
      </c>
      <c r="BF268" s="1">
        <f t="shared" si="66"/>
        <v>-158.0749965782008</v>
      </c>
      <c r="BG268" s="1">
        <f t="shared" si="67"/>
        <v>137.16203638010404</v>
      </c>
      <c r="BJ268" s="1">
        <f t="shared" si="68"/>
        <v>-61.399460211416994</v>
      </c>
      <c r="BK268" s="1">
        <f t="shared" si="69"/>
        <v>84.438332247153411</v>
      </c>
      <c r="BO268" s="1">
        <f t="shared" si="70"/>
        <v>-14.370665158686144</v>
      </c>
      <c r="BP268" s="1">
        <f t="shared" si="71"/>
        <v>10.4490782225141</v>
      </c>
      <c r="BT268" s="1">
        <f t="shared" si="72"/>
        <v>-82.304871208097666</v>
      </c>
      <c r="BU268" s="1">
        <f t="shared" si="73"/>
        <v>42.274625910436519</v>
      </c>
    </row>
    <row r="269" spans="49:73">
      <c r="AW269" s="1">
        <v>259</v>
      </c>
      <c r="AX269" s="1">
        <f t="shared" si="74"/>
        <v>129.5</v>
      </c>
      <c r="AZ269" s="1">
        <f t="shared" si="75"/>
        <v>60695.91308824224</v>
      </c>
      <c r="BA269" s="1">
        <f t="shared" si="76"/>
        <v>-48497.837762147938</v>
      </c>
      <c r="BC269" s="1">
        <f t="shared" si="77"/>
        <v>-683.63129354392777</v>
      </c>
      <c r="BD269" s="1">
        <f t="shared" si="78"/>
        <v>856.83563477588405</v>
      </c>
      <c r="BF269" s="1">
        <f t="shared" si="66"/>
        <v>-160.27171692575806</v>
      </c>
      <c r="BG269" s="1">
        <f t="shared" si="67"/>
        <v>138.78501416500256</v>
      </c>
      <c r="BJ269" s="1">
        <f t="shared" si="68"/>
        <v>-62.277481664200465</v>
      </c>
      <c r="BK269" s="1">
        <f t="shared" si="69"/>
        <v>85.694214721394545</v>
      </c>
      <c r="BO269" s="1">
        <f t="shared" si="70"/>
        <v>-14.529943920381745</v>
      </c>
      <c r="BP269" s="1">
        <f t="shared" si="71"/>
        <v>10.533003092958914</v>
      </c>
      <c r="BT269" s="1">
        <f t="shared" si="72"/>
        <v>-83.464291341175851</v>
      </c>
      <c r="BU269" s="1">
        <f t="shared" si="73"/>
        <v>42.557796350649127</v>
      </c>
    </row>
    <row r="270" spans="49:73">
      <c r="AW270" s="1">
        <v>260</v>
      </c>
      <c r="AX270" s="1">
        <f t="shared" si="74"/>
        <v>130</v>
      </c>
      <c r="AZ270" s="1">
        <f t="shared" si="75"/>
        <v>60334.06347685455</v>
      </c>
      <c r="BA270" s="1">
        <f t="shared" si="76"/>
        <v>-48052.071817989374</v>
      </c>
      <c r="BC270" s="1">
        <f t="shared" si="77"/>
        <v>-763.76715200680678</v>
      </c>
      <c r="BD270" s="1">
        <f t="shared" si="78"/>
        <v>926.22814185838536</v>
      </c>
      <c r="BF270" s="1">
        <f t="shared" si="66"/>
        <v>-162.72638894623788</v>
      </c>
      <c r="BG270" s="1">
        <f t="shared" si="67"/>
        <v>140.6268700571693</v>
      </c>
      <c r="BJ270" s="1">
        <f t="shared" si="68"/>
        <v>-63.250576707133682</v>
      </c>
      <c r="BK270" s="1">
        <f t="shared" si="69"/>
        <v>87.114966281050556</v>
      </c>
      <c r="BO270" s="1">
        <f t="shared" si="70"/>
        <v>-14.707702913255153</v>
      </c>
      <c r="BP270" s="1">
        <f t="shared" si="71"/>
        <v>10.628276335653503</v>
      </c>
      <c r="BT270" s="1">
        <f t="shared" si="72"/>
        <v>-84.768109325849053</v>
      </c>
      <c r="BU270" s="1">
        <f t="shared" si="73"/>
        <v>42.88362744046524</v>
      </c>
    </row>
    <row r="271" spans="49:73">
      <c r="AW271" s="1">
        <v>261</v>
      </c>
      <c r="AX271" s="1">
        <f t="shared" si="74"/>
        <v>130.5</v>
      </c>
      <c r="AZ271" s="1">
        <f t="shared" si="75"/>
        <v>59931.839102232865</v>
      </c>
      <c r="BA271" s="1">
        <f t="shared" si="76"/>
        <v>-47571.37938830303</v>
      </c>
      <c r="BC271" s="1">
        <f t="shared" si="77"/>
        <v>-845.13034647992572</v>
      </c>
      <c r="BD271" s="1">
        <f t="shared" si="78"/>
        <v>996.54157688697001</v>
      </c>
      <c r="BF271" s="1">
        <f t="shared" si="66"/>
        <v>-165.45726064332382</v>
      </c>
      <c r="BG271" s="1">
        <f t="shared" si="67"/>
        <v>142.70238626406419</v>
      </c>
      <c r="BJ271" s="1">
        <f t="shared" si="68"/>
        <v>-64.325507785072503</v>
      </c>
      <c r="BK271" s="1">
        <f t="shared" si="69"/>
        <v>88.713530937243576</v>
      </c>
      <c r="BO271" s="1">
        <f t="shared" si="70"/>
        <v>-14.905083936841775</v>
      </c>
      <c r="BP271" s="1">
        <f t="shared" si="71"/>
        <v>10.735474771760236</v>
      </c>
      <c r="BT271" s="1">
        <f t="shared" si="72"/>
        <v>-86.226668921409527</v>
      </c>
      <c r="BU271" s="1">
        <f t="shared" si="73"/>
        <v>43.253380555060367</v>
      </c>
    </row>
    <row r="272" spans="49:73">
      <c r="AW272" s="1">
        <v>262</v>
      </c>
      <c r="AX272" s="1">
        <f t="shared" si="74"/>
        <v>131</v>
      </c>
      <c r="AZ272" s="1">
        <f t="shared" si="75"/>
        <v>59488.591771412488</v>
      </c>
      <c r="BA272" s="1">
        <f t="shared" si="76"/>
        <v>-47055.270801576538</v>
      </c>
      <c r="BC272" s="1">
        <f t="shared" si="77"/>
        <v>-927.85897680158769</v>
      </c>
      <c r="BD272" s="1">
        <f t="shared" si="78"/>
        <v>1067.892770019002</v>
      </c>
      <c r="BF272" s="1">
        <f t="shared" si="66"/>
        <v>-168.48536772753732</v>
      </c>
      <c r="BG272" s="1">
        <f t="shared" si="67"/>
        <v>145.02876444631221</v>
      </c>
      <c r="BJ272" s="1">
        <f t="shared" si="68"/>
        <v>-65.510003107784257</v>
      </c>
      <c r="BK272" s="1">
        <f t="shared" si="69"/>
        <v>90.505024348439918</v>
      </c>
      <c r="BO272" s="1">
        <f t="shared" si="70"/>
        <v>-15.123398919317571</v>
      </c>
      <c r="BP272" s="1">
        <f t="shared" si="71"/>
        <v>10.855263649195241</v>
      </c>
      <c r="BT272" s="1">
        <f t="shared" si="72"/>
        <v>-87.851965700435514</v>
      </c>
      <c r="BU272" s="1">
        <f t="shared" si="73"/>
        <v>43.66847644867704</v>
      </c>
    </row>
    <row r="273" spans="49:73">
      <c r="AW273" s="1">
        <v>263</v>
      </c>
      <c r="AX273" s="1">
        <f t="shared" si="74"/>
        <v>131.5</v>
      </c>
      <c r="AZ273" s="1">
        <f t="shared" si="75"/>
        <v>59003.601612045757</v>
      </c>
      <c r="BA273" s="1">
        <f t="shared" si="76"/>
        <v>-46503.19582101125</v>
      </c>
      <c r="BC273" s="1">
        <f t="shared" si="77"/>
        <v>-1012.1016606653563</v>
      </c>
      <c r="BD273" s="1">
        <f t="shared" si="78"/>
        <v>1140.4071522421582</v>
      </c>
      <c r="BF273" s="1">
        <f t="shared" si="66"/>
        <v>-171.83493922748841</v>
      </c>
      <c r="BG273" s="1">
        <f t="shared" si="67"/>
        <v>147.62598620999512</v>
      </c>
      <c r="BJ273" s="1">
        <f t="shared" si="68"/>
        <v>-66.812892474983812</v>
      </c>
      <c r="BK273" s="1">
        <f t="shared" si="69"/>
        <v>92.50709079595363</v>
      </c>
      <c r="BO273" s="1">
        <f t="shared" si="70"/>
        <v>-15.364153151434849</v>
      </c>
      <c r="BP273" s="1">
        <f t="shared" si="71"/>
        <v>10.988407318473019</v>
      </c>
      <c r="BT273" s="1">
        <f t="shared" si="72"/>
        <v>-89.657893601069745</v>
      </c>
      <c r="BU273" s="1">
        <f t="shared" si="73"/>
        <v>44.130488095568452</v>
      </c>
    </row>
    <row r="274" spans="49:73">
      <c r="AW274" s="1">
        <v>264</v>
      </c>
      <c r="AX274" s="1">
        <f t="shared" si="74"/>
        <v>132</v>
      </c>
      <c r="AZ274" s="1">
        <f t="shared" si="75"/>
        <v>58476.071414309641</v>
      </c>
      <c r="BA274" s="1">
        <f t="shared" si="76"/>
        <v>-45914.538996613919</v>
      </c>
      <c r="BC274" s="1">
        <f t="shared" si="77"/>
        <v>-1098.0191302791006</v>
      </c>
      <c r="BD274" s="1">
        <f t="shared" si="78"/>
        <v>1214.2201453471557</v>
      </c>
      <c r="BF274" s="1">
        <f t="shared" si="66"/>
        <v>-175.53388528334168</v>
      </c>
      <c r="BG274" s="1">
        <f t="shared" si="67"/>
        <v>150.51725163791991</v>
      </c>
      <c r="BJ274" s="1">
        <f t="shared" si="68"/>
        <v>-68.24426843748887</v>
      </c>
      <c r="BK274" s="1">
        <f t="shared" si="69"/>
        <v>94.740341301943261</v>
      </c>
      <c r="BO274" s="1">
        <f t="shared" si="70"/>
        <v>-15.62907318150847</v>
      </c>
      <c r="BP274" s="1">
        <f t="shared" si="71"/>
        <v>11.13578197963971</v>
      </c>
      <c r="BT274" s="1">
        <f t="shared" si="72"/>
        <v>-91.660543664344331</v>
      </c>
      <c r="BU274" s="1">
        <f t="shared" si="73"/>
        <v>44.641128356336928</v>
      </c>
    </row>
    <row r="275" spans="49:73">
      <c r="AW275" s="1">
        <v>265</v>
      </c>
      <c r="AX275" s="1">
        <f t="shared" si="74"/>
        <v>132.5</v>
      </c>
      <c r="AZ275" s="1">
        <f t="shared" si="75"/>
        <v>57905.120113509671</v>
      </c>
      <c r="BA275" s="1">
        <f t="shared" si="76"/>
        <v>-45288.614267485602</v>
      </c>
      <c r="BC275" s="1">
        <f t="shared" si="77"/>
        <v>-1185.7860729207714</v>
      </c>
      <c r="BD275" s="1">
        <f t="shared" si="78"/>
        <v>1289.4787711661156</v>
      </c>
      <c r="BF275" s="1">
        <f t="shared" si="66"/>
        <v>-179.61438512776084</v>
      </c>
      <c r="BG275" s="1">
        <f t="shared" si="67"/>
        <v>153.72951429425916</v>
      </c>
      <c r="BJ275" s="1">
        <f t="shared" si="68"/>
        <v>-69.815677808284491</v>
      </c>
      <c r="BK275" s="1">
        <f t="shared" si="69"/>
        <v>97.228893474236855</v>
      </c>
      <c r="BO275" s="1">
        <f t="shared" si="70"/>
        <v>-15.920140392556874</v>
      </c>
      <c r="BP275" s="1">
        <f t="shared" si="71"/>
        <v>11.298390914047973</v>
      </c>
      <c r="BT275" s="1">
        <f t="shared" si="72"/>
        <v>-93.87856692691949</v>
      </c>
      <c r="BU275" s="1">
        <f t="shared" si="73"/>
        <v>45.202229905974349</v>
      </c>
    </row>
    <row r="276" spans="49:73">
      <c r="AW276" s="1">
        <v>266</v>
      </c>
      <c r="AX276" s="1">
        <f t="shared" si="74"/>
        <v>133</v>
      </c>
      <c r="AZ276" s="1">
        <f t="shared" si="75"/>
        <v>57289.77527890831</v>
      </c>
      <c r="BA276" s="1">
        <f t="shared" si="76"/>
        <v>-44624.658692615762</v>
      </c>
      <c r="BC276" s="1">
        <f t="shared" si="77"/>
        <v>-1275.5932654846517</v>
      </c>
      <c r="BD276" s="1">
        <f t="shared" si="78"/>
        <v>1366.3435283132453</v>
      </c>
      <c r="BF276" s="1">
        <f t="shared" si="66"/>
        <v>-184.11359792250553</v>
      </c>
      <c r="BG276" s="1">
        <f t="shared" si="67"/>
        <v>157.29413644605552</v>
      </c>
      <c r="BJ276" s="1">
        <f t="shared" si="68"/>
        <v>-71.540349618165564</v>
      </c>
      <c r="BK276" s="1">
        <f t="shared" si="69"/>
        <v>100.00103992867115</v>
      </c>
      <c r="BO276" s="1">
        <f t="shared" si="70"/>
        <v>-16.239631558144438</v>
      </c>
      <c r="BP276" s="1">
        <f t="shared" si="71"/>
        <v>11.477382719206188</v>
      </c>
      <c r="BT276" s="1">
        <f t="shared" si="72"/>
        <v>-96.333616746195531</v>
      </c>
      <c r="BU276" s="1">
        <f t="shared" si="73"/>
        <v>45.815713798178173</v>
      </c>
    </row>
    <row r="277" spans="49:73">
      <c r="AW277" s="1">
        <v>267</v>
      </c>
      <c r="AX277" s="1">
        <f t="shared" si="74"/>
        <v>133.5</v>
      </c>
      <c r="AZ277" s="1">
        <f t="shared" si="75"/>
        <v>56628.964446425671</v>
      </c>
      <c r="BA277" s="1">
        <f t="shared" si="76"/>
        <v>-43921.825161403387</v>
      </c>
      <c r="BC277" s="1">
        <f t="shared" si="77"/>
        <v>-1367.6500644459045</v>
      </c>
      <c r="BD277" s="1">
        <f t="shared" si="78"/>
        <v>1444.9905965362732</v>
      </c>
      <c r="BF277" s="1">
        <f t="shared" si="66"/>
        <v>-189.07452508987032</v>
      </c>
      <c r="BG277" s="1">
        <f t="shared" si="67"/>
        <v>161.24769528020093</v>
      </c>
      <c r="BJ277" s="1">
        <f t="shared" si="68"/>
        <v>-73.433466900904818</v>
      </c>
      <c r="BK277" s="1">
        <f t="shared" si="69"/>
        <v>103.09008056990015</v>
      </c>
      <c r="BO277" s="1">
        <f t="shared" si="70"/>
        <v>-16.590168033123927</v>
      </c>
      <c r="BP277" s="1">
        <f t="shared" si="71"/>
        <v>11.674073198598979</v>
      </c>
      <c r="BT277" s="1">
        <f t="shared" si="72"/>
        <v>-99.050890155841572</v>
      </c>
      <c r="BU277" s="1">
        <f t="shared" si="73"/>
        <v>46.483541511701794</v>
      </c>
    </row>
    <row r="278" spans="49:73">
      <c r="AW278" s="1">
        <v>268</v>
      </c>
      <c r="AX278" s="1">
        <f t="shared" si="74"/>
        <v>134</v>
      </c>
      <c r="AZ278" s="1">
        <f t="shared" si="75"/>
        <v>55921.505098566486</v>
      </c>
      <c r="BA278" s="1">
        <f t="shared" si="76"/>
        <v>-43179.173901225229</v>
      </c>
      <c r="BC278" s="1">
        <f t="shared" si="77"/>
        <v>-1462.1873269908397</v>
      </c>
      <c r="BD278" s="1">
        <f t="shared" si="78"/>
        <v>1525.6144441763736</v>
      </c>
      <c r="BF278" s="1">
        <f t="shared" si="66"/>
        <v>-194.54706045042309</v>
      </c>
      <c r="BG278" s="1">
        <f t="shared" si="67"/>
        <v>165.63298029888972</v>
      </c>
      <c r="BJ278" s="1">
        <f t="shared" si="68"/>
        <v>-75.512491205396699</v>
      </c>
      <c r="BK278" s="1">
        <f t="shared" si="69"/>
        <v>106.53536545899799</v>
      </c>
      <c r="BO278" s="1">
        <f t="shared" si="70"/>
        <v>-16.974775709129968</v>
      </c>
      <c r="BP278" s="1">
        <f t="shared" si="71"/>
        <v>11.889971730646854</v>
      </c>
      <c r="BT278" s="1">
        <f t="shared" si="72"/>
        <v>-102.05979353589643</v>
      </c>
      <c r="BU278" s="1">
        <f t="shared" si="73"/>
        <v>47.20764310924487</v>
      </c>
    </row>
    <row r="279" spans="49:73">
      <c r="AW279" s="1">
        <v>269</v>
      </c>
      <c r="AX279" s="1">
        <f t="shared" si="74"/>
        <v>134.5</v>
      </c>
      <c r="AZ279" s="1">
        <f t="shared" si="75"/>
        <v>55166.093052514763</v>
      </c>
      <c r="BA279" s="1">
        <f t="shared" si="76"/>
        <v>-42395.66255659968</v>
      </c>
      <c r="BC279" s="1">
        <f t="shared" si="77"/>
        <v>-1559.4608572160512</v>
      </c>
      <c r="BD279" s="1">
        <f t="shared" si="78"/>
        <v>1608.4309343258185</v>
      </c>
      <c r="BF279" s="1">
        <f t="shared" si="66"/>
        <v>-200.58927436119069</v>
      </c>
      <c r="BG279" s="1">
        <f t="shared" si="67"/>
        <v>170.50023476268669</v>
      </c>
      <c r="BJ279" s="1">
        <f t="shared" si="68"/>
        <v>-77.797550451526661</v>
      </c>
      <c r="BK279" s="1">
        <f t="shared" si="69"/>
        <v>110.38361069177188</v>
      </c>
      <c r="BO279" s="1">
        <f t="shared" si="70"/>
        <v>-17.396958494055156</v>
      </c>
      <c r="BP279" s="1">
        <f t="shared" si="71"/>
        <v>12.126813164665187</v>
      </c>
      <c r="BT279" s="1">
        <f t="shared" si="72"/>
        <v>-105.39476541560889</v>
      </c>
      <c r="BU279" s="1">
        <f t="shared" si="73"/>
        <v>47.989810906249637</v>
      </c>
    </row>
    <row r="280" spans="49:73">
      <c r="AW280" s="1">
        <v>270</v>
      </c>
      <c r="AX280" s="1">
        <f t="shared" si="74"/>
        <v>135</v>
      </c>
      <c r="AZ280" s="1">
        <f t="shared" si="75"/>
        <v>54361.288964611587</v>
      </c>
      <c r="BA280" s="1">
        <f t="shared" si="76"/>
        <v>-41570.134560091436</v>
      </c>
      <c r="BC280" s="1">
        <f t="shared" si="77"/>
        <v>-1659.7554943966466</v>
      </c>
      <c r="BD280" s="1">
        <f t="shared" si="78"/>
        <v>1693.6810517071619</v>
      </c>
      <c r="BF280" s="1">
        <f t="shared" si="66"/>
        <v>-207.26899079124419</v>
      </c>
      <c r="BG280" s="1">
        <f t="shared" si="67"/>
        <v>175.90871132430732</v>
      </c>
      <c r="BJ280" s="1">
        <f t="shared" si="68"/>
        <v>-80.311902595184947</v>
      </c>
      <c r="BK280" s="1">
        <f t="shared" si="69"/>
        <v>114.69057145037252</v>
      </c>
      <c r="BO280" s="1">
        <f t="shared" si="70"/>
        <v>-17.860788918813935</v>
      </c>
      <c r="BP280" s="1">
        <f t="shared" si="71"/>
        <v>12.386596584292217</v>
      </c>
      <c r="BT280" s="1">
        <f t="shared" si="72"/>
        <v>-109.09629927724531</v>
      </c>
      <c r="BU280" s="1">
        <f t="shared" si="73"/>
        <v>48.831543289642589</v>
      </c>
    </row>
    <row r="281" spans="49:73">
      <c r="AW281" s="1">
        <v>271</v>
      </c>
      <c r="AX281" s="1">
        <f t="shared" si="74"/>
        <v>135.5</v>
      </c>
      <c r="AZ281" s="1">
        <f t="shared" si="75"/>
        <v>53505.502593564357</v>
      </c>
      <c r="BA281" s="1">
        <f t="shared" si="76"/>
        <v>-40701.305445322316</v>
      </c>
      <c r="BC281" s="1">
        <f t="shared" si="77"/>
        <v>-1763.3899897922686</v>
      </c>
      <c r="BD281" s="1">
        <f t="shared" si="78"/>
        <v>1781.6354073693155</v>
      </c>
      <c r="BF281" s="1">
        <f t="shared" si="66"/>
        <v>-214.66573268540895</v>
      </c>
      <c r="BG281" s="1">
        <f t="shared" si="67"/>
        <v>181.92863574747847</v>
      </c>
      <c r="BJ281" s="1">
        <f t="shared" si="68"/>
        <v>-83.082489342771723</v>
      </c>
      <c r="BK281" s="1">
        <f t="shared" si="69"/>
        <v>119.52318681940572</v>
      </c>
      <c r="BO281" s="1">
        <f t="shared" si="70"/>
        <v>-18.371020617880198</v>
      </c>
      <c r="BP281" s="1">
        <f t="shared" si="71"/>
        <v>12.67163266455929</v>
      </c>
      <c r="BT281" s="1">
        <f t="shared" si="72"/>
        <v>-113.21222272475701</v>
      </c>
      <c r="BU281" s="1">
        <f t="shared" si="73"/>
        <v>49.733816263513468</v>
      </c>
    </row>
    <row r="282" spans="49:73">
      <c r="AW282" s="1">
        <v>272</v>
      </c>
      <c r="AX282" s="1">
        <f t="shared" si="74"/>
        <v>136</v>
      </c>
      <c r="AZ282" s="1">
        <f t="shared" si="75"/>
        <v>52596.974382082546</v>
      </c>
      <c r="BA282" s="1">
        <f t="shared" si="76"/>
        <v>-39787.746662169222</v>
      </c>
      <c r="BC282" s="1">
        <f t="shared" si="77"/>
        <v>-1870.722856134973</v>
      </c>
      <c r="BD282" s="1">
        <f t="shared" si="78"/>
        <v>1872.5997252430548</v>
      </c>
      <c r="BF282" s="1">
        <f t="shared" si="66"/>
        <v>-222.87313201992444</v>
      </c>
      <c r="BG282" s="1">
        <f t="shared" si="67"/>
        <v>188.64370559588781</v>
      </c>
      <c r="BJ282" s="1">
        <f t="shared" si="68"/>
        <v>-86.140595406364909</v>
      </c>
      <c r="BK282" s="1">
        <f t="shared" si="69"/>
        <v>124.96235402582667</v>
      </c>
      <c r="BO282" s="1">
        <f t="shared" si="70"/>
        <v>-18.933228994443525</v>
      </c>
      <c r="BP282" s="1">
        <f t="shared" si="71"/>
        <v>12.984601861105137</v>
      </c>
      <c r="BT282" s="1">
        <f t="shared" si="72"/>
        <v>-117.79930761911601</v>
      </c>
      <c r="BU282" s="1">
        <f t="shared" si="73"/>
        <v>50.696749708955984</v>
      </c>
    </row>
    <row r="283" spans="49:73">
      <c r="AW283" s="1">
        <v>273</v>
      </c>
      <c r="AX283" s="1">
        <f t="shared" si="74"/>
        <v>136.5</v>
      </c>
      <c r="AZ283" s="1">
        <f t="shared" si="75"/>
        <v>51633.753812512565</v>
      </c>
      <c r="BA283" s="1">
        <f t="shared" si="76"/>
        <v>-38827.866336348212</v>
      </c>
      <c r="BC283" s="1">
        <f t="shared" si="77"/>
        <v>-1982.1594221449352</v>
      </c>
      <c r="BD283" s="1">
        <f t="shared" si="78"/>
        <v>1966.9215780409986</v>
      </c>
      <c r="BF283" s="1">
        <f t="shared" si="66"/>
        <v>-232.00192770675523</v>
      </c>
      <c r="BG283" s="1">
        <f t="shared" si="67"/>
        <v>196.1542970872803</v>
      </c>
      <c r="BJ283" s="1">
        <f t="shared" si="68"/>
        <v>-89.5226285868617</v>
      </c>
      <c r="BK283" s="1">
        <f t="shared" si="69"/>
        <v>131.10655143336783</v>
      </c>
      <c r="BO283" s="1">
        <f t="shared" si="70"/>
        <v>-19.55398854544514</v>
      </c>
      <c r="BP283" s="1">
        <f t="shared" si="71"/>
        <v>13.328626355927533</v>
      </c>
      <c r="BT283" s="1">
        <f t="shared" si="72"/>
        <v>-122.92531057444837</v>
      </c>
      <c r="BU283" s="1">
        <f t="shared" si="73"/>
        <v>51.719119297984946</v>
      </c>
    </row>
    <row r="284" spans="49:73">
      <c r="AW284" s="1">
        <v>274</v>
      </c>
      <c r="AX284" s="1">
        <f t="shared" si="74"/>
        <v>137</v>
      </c>
      <c r="AZ284" s="1">
        <f t="shared" si="75"/>
        <v>50613.673860476752</v>
      </c>
      <c r="BA284" s="1">
        <f t="shared" si="76"/>
        <v>-37819.886260191801</v>
      </c>
      <c r="BC284" s="1">
        <f t="shared" si="77"/>
        <v>-2098.1603859983129</v>
      </c>
      <c r="BD284" s="1">
        <f t="shared" si="78"/>
        <v>2064.9987265846389</v>
      </c>
      <c r="BF284" s="1">
        <f t="shared" si="66"/>
        <v>-242.1837078933176</v>
      </c>
      <c r="BG284" s="1">
        <f t="shared" si="67"/>
        <v>204.58161902994044</v>
      </c>
      <c r="BJ284" s="1">
        <f t="shared" si="68"/>
        <v>-93.271032457727912</v>
      </c>
      <c r="BK284" s="1">
        <f t="shared" si="69"/>
        <v>138.0766190173641</v>
      </c>
      <c r="BO284" s="1">
        <f t="shared" si="70"/>
        <v>-20.241098351748128</v>
      </c>
      <c r="BP284" s="1">
        <f t="shared" si="71"/>
        <v>13.707359609619608</v>
      </c>
      <c r="BT284" s="1">
        <f t="shared" si="72"/>
        <v>-128.67157708384156</v>
      </c>
      <c r="BU284" s="1">
        <f t="shared" si="73"/>
        <v>52.797640402956738</v>
      </c>
    </row>
    <row r="285" spans="49:73">
      <c r="AW285" s="1">
        <v>275</v>
      </c>
      <c r="AX285" s="1">
        <f t="shared" si="74"/>
        <v>137.5</v>
      </c>
      <c r="AZ285" s="1">
        <f t="shared" si="75"/>
        <v>49534.320703990932</v>
      </c>
      <c r="BA285" s="1">
        <f t="shared" si="76"/>
        <v>-36761.814194520739</v>
      </c>
      <c r="BC285" s="1">
        <f t="shared" si="77"/>
        <v>-2219.2522399449717</v>
      </c>
      <c r="BD285" s="1">
        <f t="shared" si="78"/>
        <v>2167.289536099609</v>
      </c>
      <c r="BF285" s="1">
        <f t="shared" si="66"/>
        <v>-253.57559348818961</v>
      </c>
      <c r="BG285" s="1">
        <f t="shared" si="67"/>
        <v>214.07314708479541</v>
      </c>
      <c r="BJ285" s="1">
        <f t="shared" si="68"/>
        <v>-97.435332949790052</v>
      </c>
      <c r="BK285" s="1">
        <f t="shared" si="69"/>
        <v>146.02213628777002</v>
      </c>
      <c r="BO285" s="1">
        <f t="shared" si="70"/>
        <v>-21.003871533916183</v>
      </c>
      <c r="BP285" s="1">
        <f t="shared" si="71"/>
        <v>14.125098628858821</v>
      </c>
      <c r="BT285" s="1">
        <f t="shared" si="72"/>
        <v>-135.13638900448339</v>
      </c>
      <c r="BU285" s="1">
        <f t="shared" si="73"/>
        <v>53.925912168166569</v>
      </c>
    </row>
    <row r="286" spans="49:73">
      <c r="AW286" s="1">
        <v>276</v>
      </c>
      <c r="AX286" s="1">
        <f t="shared" si="74"/>
        <v>138</v>
      </c>
      <c r="AZ286" s="1">
        <f t="shared" si="75"/>
        <v>48392.997634832427</v>
      </c>
      <c r="BA286" s="1">
        <f t="shared" si="76"/>
        <v>-35651.410283085337</v>
      </c>
      <c r="BC286" s="1">
        <f t="shared" si="77"/>
        <v>-2346.0400366890667</v>
      </c>
      <c r="BD286" s="1">
        <f t="shared" si="78"/>
        <v>2274.3261096420065</v>
      </c>
      <c r="BF286" s="1">
        <f t="shared" si="66"/>
        <v>-266.36610518156539</v>
      </c>
      <c r="BG286" s="1">
        <f t="shared" si="67"/>
        <v>224.80980853030329</v>
      </c>
      <c r="BJ286" s="1">
        <f t="shared" si="68"/>
        <v>-102.07329557536916</v>
      </c>
      <c r="BK286" s="1">
        <f t="shared" si="69"/>
        <v>155.13003286823923</v>
      </c>
      <c r="BO286" s="1">
        <f t="shared" si="70"/>
        <v>-21.853510645189377</v>
      </c>
      <c r="BP286" s="1">
        <f t="shared" si="71"/>
        <v>14.586925783191806</v>
      </c>
      <c r="BT286" s="1">
        <f t="shared" si="72"/>
        <v>-142.43929896100687</v>
      </c>
      <c r="BU286" s="1">
        <f t="shared" si="73"/>
        <v>55.092849878872244</v>
      </c>
    </row>
    <row r="287" spans="49:73">
      <c r="AW287" s="1">
        <v>277</v>
      </c>
      <c r="AX287" s="1">
        <f t="shared" si="74"/>
        <v>138.5</v>
      </c>
      <c r="AZ287" s="1">
        <f t="shared" si="75"/>
        <v>47186.681853340197</v>
      </c>
      <c r="BA287" s="1">
        <f t="shared" si="76"/>
        <v>-34486.146002198046</v>
      </c>
      <c r="BC287" s="1">
        <f t="shared" si="77"/>
        <v>-2479.2230892798493</v>
      </c>
      <c r="BD287" s="1">
        <f t="shared" si="78"/>
        <v>2386.7310139071583</v>
      </c>
      <c r="BF287" s="1">
        <f t="shared" si="66"/>
        <v>-280.78250009853571</v>
      </c>
      <c r="BG287" s="1">
        <f t="shared" si="67"/>
        <v>237.01558876129565</v>
      </c>
      <c r="BJ287" s="1">
        <f t="shared" si="68"/>
        <v>-107.25211737975972</v>
      </c>
      <c r="BK287" s="1">
        <f t="shared" si="69"/>
        <v>165.63636134941623</v>
      </c>
      <c r="BO287" s="1">
        <f t="shared" si="70"/>
        <v>-22.80359996824421</v>
      </c>
      <c r="BP287" s="1">
        <f t="shared" si="71"/>
        <v>15.098889386700638</v>
      </c>
      <c r="BT287" s="1">
        <f t="shared" si="72"/>
        <v>-150.72678275053178</v>
      </c>
      <c r="BU287" s="1">
        <f t="shared" si="73"/>
        <v>56.28033802517875</v>
      </c>
    </row>
    <row r="288" spans="49:73">
      <c r="AW288" s="1">
        <v>278</v>
      </c>
      <c r="AX288" s="1">
        <f t="shared" si="74"/>
        <v>139</v>
      </c>
      <c r="AZ288" s="1">
        <f t="shared" si="75"/>
        <v>45911.972496187955</v>
      </c>
      <c r="BA288" s="1">
        <f t="shared" si="76"/>
        <v>-33263.153546649301</v>
      </c>
      <c r="BC288" s="1">
        <f t="shared" si="77"/>
        <v>-2619.6143393291172</v>
      </c>
      <c r="BD288" s="1">
        <f t="shared" si="78"/>
        <v>2505.238808287806</v>
      </c>
      <c r="BF288" s="1">
        <f t="shared" si="66"/>
        <v>-297.0998881428518</v>
      </c>
      <c r="BG288" s="1">
        <f t="shared" si="67"/>
        <v>250.97052915835241</v>
      </c>
      <c r="BJ288" s="1">
        <f t="shared" si="68"/>
        <v>-113.04946924903035</v>
      </c>
      <c r="BK288" s="1">
        <f t="shared" si="69"/>
        <v>177.84261209922855</v>
      </c>
      <c r="BO288" s="1">
        <f t="shared" si="70"/>
        <v>-23.870758998062001</v>
      </c>
      <c r="BP288" s="1">
        <f t="shared" si="71"/>
        <v>15.668235567793772</v>
      </c>
      <c r="BT288" s="1">
        <f t="shared" si="72"/>
        <v>-160.17965989575947</v>
      </c>
      <c r="BU288" s="1">
        <f t="shared" si="73"/>
        <v>57.459681491330102</v>
      </c>
    </row>
    <row r="289" spans="49:73">
      <c r="AW289" s="1">
        <v>279</v>
      </c>
      <c r="AX289" s="1">
        <f t="shared" si="74"/>
        <v>139.5</v>
      </c>
      <c r="AZ289" s="1">
        <f t="shared" si="75"/>
        <v>44565.027840505543</v>
      </c>
      <c r="BA289" s="1">
        <f t="shared" si="76"/>
        <v>-31979.162826360604</v>
      </c>
      <c r="BC289" s="1">
        <f t="shared" si="77"/>
        <v>-2768.1642834005434</v>
      </c>
      <c r="BD289" s="1">
        <f t="shared" si="78"/>
        <v>2630.7240728669822</v>
      </c>
      <c r="BF289" s="1">
        <f t="shared" si="66"/>
        <v>-315.65239714125426</v>
      </c>
      <c r="BG289" s="1">
        <f t="shared" si="67"/>
        <v>267.02853307495934</v>
      </c>
      <c r="BJ289" s="1">
        <f t="shared" si="68"/>
        <v>-119.55398428962789</v>
      </c>
      <c r="BK289" s="1">
        <f t="shared" si="69"/>
        <v>192.13864698039123</v>
      </c>
      <c r="BO289" s="1">
        <f t="shared" si="70"/>
        <v>-25.0755214364045</v>
      </c>
      <c r="BP289" s="1">
        <f t="shared" si="71"/>
        <v>16.303708563946902</v>
      </c>
      <c r="BT289" s="1">
        <f t="shared" si="72"/>
        <v>-171.02289141522189</v>
      </c>
      <c r="BU289" s="1">
        <f t="shared" si="73"/>
        <v>58.586177530621228</v>
      </c>
    </row>
    <row r="290" spans="49:73">
      <c r="AW290" s="1">
        <v>280</v>
      </c>
      <c r="AX290" s="1">
        <f t="shared" si="74"/>
        <v>140</v>
      </c>
      <c r="AZ290" s="1">
        <f t="shared" si="75"/>
        <v>43141.489149162611</v>
      </c>
      <c r="BA290" s="1">
        <f t="shared" si="76"/>
        <v>-30630.422223292742</v>
      </c>
      <c r="BC290" s="1">
        <f t="shared" si="77"/>
        <v>-2925.9904819711705</v>
      </c>
      <c r="BD290" s="1">
        <f t="shared" si="78"/>
        <v>2764.2383394044618</v>
      </c>
      <c r="BF290" s="1">
        <f t="shared" si="66"/>
        <v>-336.84644525573628</v>
      </c>
      <c r="BG290" s="1">
        <f t="shared" si="67"/>
        <v>285.64207111323537</v>
      </c>
      <c r="BJ290" s="1">
        <f t="shared" si="68"/>
        <v>-126.86434296600514</v>
      </c>
      <c r="BK290" s="1">
        <f t="shared" si="69"/>
        <v>209.03542253457093</v>
      </c>
      <c r="BO290" s="1">
        <f t="shared" si="70"/>
        <v>-26.443534738756572</v>
      </c>
      <c r="BP290" s="1">
        <f t="shared" si="71"/>
        <v>17.015943019238051</v>
      </c>
      <c r="BT290" s="1">
        <f t="shared" si="72"/>
        <v>-183.53856755097456</v>
      </c>
      <c r="BU290" s="1">
        <f t="shared" si="73"/>
        <v>59.590705559426375</v>
      </c>
    </row>
    <row r="291" spans="49:73">
      <c r="AW291" s="1">
        <v>281</v>
      </c>
      <c r="AX291" s="1">
        <f t="shared" si="74"/>
        <v>140.5</v>
      </c>
      <c r="AZ291" s="1">
        <f t="shared" si="75"/>
        <v>41636.388102520061</v>
      </c>
      <c r="BA291" s="1">
        <f t="shared" si="76"/>
        <v>-29212.59779470136</v>
      </c>
      <c r="BC291" s="1">
        <f t="shared" si="77"/>
        <v>-3094.4137045990387</v>
      </c>
      <c r="BD291" s="1">
        <f t="shared" si="78"/>
        <v>2907.0593749610794</v>
      </c>
      <c r="BF291" s="1">
        <f t="shared" si="66"/>
        <v>-361.17555824799888</v>
      </c>
      <c r="BG291" s="1">
        <f t="shared" si="67"/>
        <v>307.39689533761191</v>
      </c>
      <c r="BJ291" s="1">
        <f t="shared" si="68"/>
        <v>-135.08519850548322</v>
      </c>
      <c r="BK291" s="1">
        <f t="shared" si="69"/>
        <v>229.21240538163434</v>
      </c>
      <c r="BO291" s="1">
        <f t="shared" si="70"/>
        <v>-28.007223241156368</v>
      </c>
      <c r="BP291" s="1">
        <f t="shared" si="71"/>
        <v>17.817980808271511</v>
      </c>
      <c r="BT291" s="1">
        <f t="shared" si="72"/>
        <v>-198.08313650135929</v>
      </c>
      <c r="BU291" s="1">
        <f t="shared" si="73"/>
        <v>60.366509147706054</v>
      </c>
    </row>
    <row r="292" spans="49:73">
      <c r="AW292" s="1">
        <v>282</v>
      </c>
      <c r="AX292" s="1">
        <f t="shared" si="74"/>
        <v>141</v>
      </c>
      <c r="AZ292" s="1">
        <f t="shared" si="75"/>
        <v>40044.034305439542</v>
      </c>
      <c r="BA292" s="1">
        <f t="shared" si="76"/>
        <v>-27720.643495303619</v>
      </c>
      <c r="BC292" s="1">
        <f t="shared" si="77"/>
        <v>-3275.0014837230383</v>
      </c>
      <c r="BD292" s="1">
        <f t="shared" si="78"/>
        <v>3060.7578226298851</v>
      </c>
      <c r="BF292" s="1">
        <f t="shared" si="66"/>
        <v>-389.23458671455819</v>
      </c>
      <c r="BG292" s="1">
        <f t="shared" si="67"/>
        <v>333.06139465670771</v>
      </c>
      <c r="BJ292" s="1">
        <f t="shared" si="68"/>
        <v>-144.31631061381435</v>
      </c>
      <c r="BK292" s="1">
        <f t="shared" si="69"/>
        <v>253.58733921679922</v>
      </c>
      <c r="BO292" s="1">
        <f t="shared" si="70"/>
        <v>-29.808134430663287</v>
      </c>
      <c r="BP292" s="1">
        <f t="shared" si="71"/>
        <v>18.725957126722818</v>
      </c>
      <c r="BT292" s="1">
        <f t="shared" si="72"/>
        <v>-215.11014167008054</v>
      </c>
      <c r="BU292" s="1">
        <f t="shared" si="73"/>
        <v>60.748098313185686</v>
      </c>
    </row>
    <row r="293" spans="49:73">
      <c r="AW293" s="1">
        <v>283</v>
      </c>
      <c r="AX293" s="1">
        <f t="shared" si="74"/>
        <v>141.5</v>
      </c>
      <c r="AZ293" s="1">
        <f t="shared" si="75"/>
        <v>38357.879240238704</v>
      </c>
      <c r="BA293" s="1">
        <f t="shared" si="76"/>
        <v>-26148.631909656586</v>
      </c>
      <c r="BC293" s="1">
        <f t="shared" si="77"/>
        <v>-3469.6187770803172</v>
      </c>
      <c r="BD293" s="1">
        <f t="shared" si="78"/>
        <v>3227.2885199582388</v>
      </c>
      <c r="BF293" s="1">
        <f t="shared" si="66"/>
        <v>-421.7273599192597</v>
      </c>
      <c r="BG293" s="1">
        <f t="shared" si="67"/>
        <v>363.65742191489574</v>
      </c>
      <c r="BJ293" s="1">
        <f t="shared" si="68"/>
        <v>-154.62730257542052</v>
      </c>
      <c r="BK293" s="1">
        <f t="shared" si="69"/>
        <v>283.42038420968311</v>
      </c>
      <c r="BO293" s="1">
        <f t="shared" si="70"/>
        <v>-31.900312719271788</v>
      </c>
      <c r="BP293" s="1">
        <f t="shared" si="71"/>
        <v>19.760016595955641</v>
      </c>
      <c r="BT293" s="1">
        <f t="shared" si="72"/>
        <v>-235.19974462456739</v>
      </c>
      <c r="BU293" s="1">
        <f t="shared" si="73"/>
        <v>60.477021109257002</v>
      </c>
    </row>
    <row r="294" spans="49:73">
      <c r="AW294" s="1">
        <v>284</v>
      </c>
      <c r="AX294" s="1">
        <f t="shared" si="74"/>
        <v>142</v>
      </c>
      <c r="AZ294" s="1">
        <f t="shared" si="75"/>
        <v>36570.353931708632</v>
      </c>
      <c r="BA294" s="1">
        <f t="shared" si="76"/>
        <v>-24489.530471938106</v>
      </c>
      <c r="BC294" s="1">
        <f t="shared" si="77"/>
        <v>-3680.4824570399469</v>
      </c>
      <c r="BD294" s="1">
        <f t="shared" si="78"/>
        <v>3409.1172309156868</v>
      </c>
      <c r="BF294" s="1">
        <f t="shared" si="66"/>
        <v>-459.45277002452826</v>
      </c>
      <c r="BG294" s="1">
        <f t="shared" si="67"/>
        <v>400.56229823810236</v>
      </c>
      <c r="BJ294" s="1">
        <f t="shared" si="68"/>
        <v>-166.00192813834283</v>
      </c>
      <c r="BK294" s="1">
        <f t="shared" si="69"/>
        <v>320.47135266195426</v>
      </c>
      <c r="BO294" s="1">
        <f t="shared" si="70"/>
        <v>-34.355253363506947</v>
      </c>
      <c r="BP294" s="1">
        <f t="shared" si="71"/>
        <v>20.945539057122158</v>
      </c>
      <c r="BT294" s="1">
        <f t="shared" si="72"/>
        <v>-259.0955885226785</v>
      </c>
      <c r="BU294" s="1">
        <f t="shared" si="73"/>
        <v>59.145406519025912</v>
      </c>
    </row>
    <row r="295" spans="49:73">
      <c r="AW295" s="1">
        <v>285</v>
      </c>
      <c r="AX295" s="1">
        <f t="shared" si="74"/>
        <v>142.5</v>
      </c>
      <c r="AZ295" s="1">
        <f t="shared" si="75"/>
        <v>34672.68110693559</v>
      </c>
      <c r="BA295" s="1">
        <f t="shared" si="76"/>
        <v>-22734.901569200498</v>
      </c>
      <c r="BC295" s="1">
        <f t="shared" si="77"/>
        <v>-3910.2088420522109</v>
      </c>
      <c r="BD295" s="1">
        <f t="shared" si="78"/>
        <v>3609.3983800347378</v>
      </c>
      <c r="BF295" s="1">
        <f t="shared" si="66"/>
        <v>-503.23288779832501</v>
      </c>
      <c r="BG295" s="1">
        <f t="shared" si="67"/>
        <v>445.65435149053064</v>
      </c>
      <c r="BJ295" s="1">
        <f t="shared" si="68"/>
        <v>-178.2168508235813</v>
      </c>
      <c r="BK295" s="1">
        <f t="shared" si="69"/>
        <v>367.23819616558387</v>
      </c>
      <c r="BO295" s="1">
        <f t="shared" si="70"/>
        <v>-37.269345267652497</v>
      </c>
      <c r="BP295" s="1">
        <f t="shared" si="71"/>
        <v>22.314770817602845</v>
      </c>
      <c r="BT295" s="1">
        <f t="shared" si="72"/>
        <v>-287.7466917070912</v>
      </c>
      <c r="BU295" s="1">
        <f t="shared" si="73"/>
        <v>56.101384507343909</v>
      </c>
    </row>
    <row r="296" spans="49:73">
      <c r="AW296" s="1">
        <v>286</v>
      </c>
      <c r="AX296" s="1">
        <f t="shared" si="74"/>
        <v>143</v>
      </c>
      <c r="AZ296" s="1">
        <f t="shared" si="75"/>
        <v>32654.672574934692</v>
      </c>
      <c r="BA296" s="1">
        <f t="shared" si="76"/>
        <v>-20874.495585246816</v>
      </c>
      <c r="BC296" s="1">
        <f t="shared" si="77"/>
        <v>-4161.8252859513732</v>
      </c>
      <c r="BD296" s="1">
        <f t="shared" si="78"/>
        <v>3832.2255557800031</v>
      </c>
      <c r="BF296" s="1">
        <f t="shared" si="66"/>
        <v>-553.69572523199861</v>
      </c>
      <c r="BG296" s="1">
        <f t="shared" si="67"/>
        <v>501.51230410884415</v>
      </c>
      <c r="BJ296" s="1">
        <f t="shared" si="68"/>
        <v>-190.5770265140174</v>
      </c>
      <c r="BK296" s="1">
        <f t="shared" si="69"/>
        <v>427.31465120498063</v>
      </c>
      <c r="BO296" s="1">
        <f t="shared" si="70"/>
        <v>-40.775334929951804</v>
      </c>
      <c r="BP296" s="1">
        <f t="shared" si="71"/>
        <v>23.908949324300657</v>
      </c>
      <c r="BT296" s="1">
        <f t="shared" si="72"/>
        <v>-322.34336378802942</v>
      </c>
      <c r="BU296" s="1">
        <f t="shared" si="73"/>
        <v>50.288703579562892</v>
      </c>
    </row>
    <row r="297" spans="49:73">
      <c r="AW297" s="1">
        <v>287</v>
      </c>
      <c r="AX297" s="1">
        <f t="shared" si="74"/>
        <v>143.5</v>
      </c>
      <c r="AZ297" s="1">
        <f t="shared" si="75"/>
        <v>30504.547966305006</v>
      </c>
      <c r="BA297" s="1">
        <f t="shared" si="76"/>
        <v>-18895.693769343208</v>
      </c>
      <c r="BC297" s="1">
        <f t="shared" si="77"/>
        <v>-4438.6731485673727</v>
      </c>
      <c r="BD297" s="1">
        <f t="shared" si="78"/>
        <v>4082.9817078344254</v>
      </c>
      <c r="BF297" s="1">
        <f t="shared" si="66"/>
        <v>-610.70278439218953</v>
      </c>
      <c r="BG297" s="1">
        <f t="shared" si="67"/>
        <v>571.65455733644433</v>
      </c>
      <c r="BJ297" s="1">
        <f t="shared" si="68"/>
        <v>-201.33019425718399</v>
      </c>
      <c r="BK297" s="1">
        <f t="shared" si="69"/>
        <v>505.89993697789805</v>
      </c>
      <c r="BO297" s="1">
        <f t="shared" si="70"/>
        <v>-45.060459264311781</v>
      </c>
      <c r="BP297" s="1">
        <f t="shared" si="71"/>
        <v>25.780910520696178</v>
      </c>
      <c r="BT297" s="1">
        <f t="shared" si="72"/>
        <v>-364.31213087069375</v>
      </c>
      <c r="BU297" s="1">
        <f t="shared" si="73"/>
        <v>39.973709837850159</v>
      </c>
    </row>
    <row r="298" spans="49:73">
      <c r="AW298" s="1">
        <v>288</v>
      </c>
      <c r="AX298" s="1">
        <f t="shared" si="74"/>
        <v>144</v>
      </c>
      <c r="AZ298" s="1">
        <f t="shared" si="75"/>
        <v>28208.873543972295</v>
      </c>
      <c r="BA298" s="1">
        <f t="shared" si="76"/>
        <v>-16782.746095758939</v>
      </c>
      <c r="BC298" s="1">
        <f t="shared" si="77"/>
        <v>-4744.0245407634675</v>
      </c>
      <c r="BD298" s="1">
        <f t="shared" si="78"/>
        <v>4368.8089865026477</v>
      </c>
      <c r="BF298" s="1">
        <f t="shared" si="66"/>
        <v>-671.9184760079977</v>
      </c>
      <c r="BG298" s="1">
        <f t="shared" si="67"/>
        <v>660.69369123190836</v>
      </c>
      <c r="BJ298" s="1">
        <f t="shared" si="68"/>
        <v>-206.35082831363874</v>
      </c>
      <c r="BK298" s="1">
        <f t="shared" si="69"/>
        <v>610.40832749445826</v>
      </c>
      <c r="BO298" s="1">
        <f t="shared" si="70"/>
        <v>-50.395919042892601</v>
      </c>
      <c r="BP298" s="1">
        <f t="shared" si="71"/>
        <v>27.997773122765235</v>
      </c>
      <c r="BT298" s="1">
        <f t="shared" si="72"/>
        <v>-415.17172865146637</v>
      </c>
      <c r="BU298" s="1">
        <f t="shared" si="73"/>
        <v>22.287590614684806</v>
      </c>
    </row>
    <row r="299" spans="49:73">
      <c r="AW299" s="1">
        <v>289</v>
      </c>
      <c r="AX299" s="1">
        <f t="shared" si="74"/>
        <v>144.5</v>
      </c>
      <c r="AZ299" s="1">
        <f t="shared" si="75"/>
        <v>25752.871464089563</v>
      </c>
      <c r="BA299" s="1">
        <f t="shared" si="76"/>
        <v>-14515.754891103627</v>
      </c>
      <c r="BC299" s="1">
        <f t="shared" si="77"/>
        <v>-5079.983778767466</v>
      </c>
      <c r="BD299" s="1">
        <f t="shared" si="78"/>
        <v>4699.1558321186021</v>
      </c>
      <c r="BF299" s="1">
        <f t="shared" si="66"/>
        <v>-729.3476068547759</v>
      </c>
      <c r="BG299" s="1">
        <f t="shared" si="67"/>
        <v>773.85635717332002</v>
      </c>
      <c r="BJ299" s="1">
        <f t="shared" si="68"/>
        <v>-196.16568676126093</v>
      </c>
      <c r="BK299" s="1">
        <f t="shared" si="69"/>
        <v>750.70957255680776</v>
      </c>
      <c r="BO299" s="1">
        <f t="shared" si="70"/>
        <v>-57.18601934013828</v>
      </c>
      <c r="BP299" s="1">
        <f t="shared" si="71"/>
        <v>30.641976961841799</v>
      </c>
      <c r="BT299" s="1">
        <f t="shared" si="72"/>
        <v>-475.99590075337665</v>
      </c>
      <c r="BU299" s="1">
        <f t="shared" si="73"/>
        <v>-7.4951923453295048</v>
      </c>
    </row>
    <row r="300" spans="49:73">
      <c r="AW300" s="1">
        <v>290</v>
      </c>
      <c r="AX300" s="1">
        <f t="shared" si="74"/>
        <v>145</v>
      </c>
      <c r="AZ300" s="1">
        <f t="shared" si="75"/>
        <v>23121.711123848985</v>
      </c>
      <c r="BA300" s="1">
        <f t="shared" si="76"/>
        <v>-12069.44493039766</v>
      </c>
      <c r="BC300" s="1">
        <f t="shared" si="77"/>
        <v>-5444.6575821948536</v>
      </c>
      <c r="BD300" s="1">
        <f t="shared" si="78"/>
        <v>5086.0840107052618</v>
      </c>
      <c r="BF300" s="1">
        <f t="shared" si="66"/>
        <v>-761.38551829887399</v>
      </c>
      <c r="BG300" s="1">
        <f t="shared" si="67"/>
        <v>913.81690509006069</v>
      </c>
      <c r="BJ300" s="1">
        <f t="shared" si="68"/>
        <v>-149.45366721130364</v>
      </c>
      <c r="BK300" s="1">
        <f t="shared" si="69"/>
        <v>936.89812865563226</v>
      </c>
      <c r="BO300" s="1">
        <f t="shared" si="70"/>
        <v>-66.051539335560818</v>
      </c>
      <c r="BP300" s="1">
        <f t="shared" si="71"/>
        <v>33.804799761945063</v>
      </c>
      <c r="BT300" s="1">
        <f t="shared" si="72"/>
        <v>-545.88031175200956</v>
      </c>
      <c r="BU300" s="1">
        <f t="shared" si="73"/>
        <v>-56.886023327516639</v>
      </c>
    </row>
    <row r="301" spans="49:73">
      <c r="AW301" s="1">
        <v>291</v>
      </c>
      <c r="AX301" s="1">
        <f t="shared" si="74"/>
        <v>145.5</v>
      </c>
      <c r="AZ301" s="1">
        <f t="shared" si="75"/>
        <v>20304.209142964199</v>
      </c>
      <c r="BA301" s="1">
        <f t="shared" si="76"/>
        <v>-9412.1758119087717</v>
      </c>
      <c r="BC301" s="1">
        <f t="shared" si="77"/>
        <v>-5825.3503413442904</v>
      </c>
      <c r="BD301" s="1">
        <f t="shared" si="78"/>
        <v>5542.9924632502925</v>
      </c>
      <c r="BF301" s="1">
        <f t="shared" si="66"/>
        <v>-717.2154653890284</v>
      </c>
      <c r="BG301" s="1">
        <f t="shared" si="67"/>
        <v>1068.1717413370361</v>
      </c>
      <c r="BJ301" s="1">
        <f t="shared" si="68"/>
        <v>-20.994095428536184</v>
      </c>
      <c r="BK301" s="1">
        <f t="shared" si="69"/>
        <v>1167.1438584644361</v>
      </c>
      <c r="BO301" s="1">
        <f t="shared" si="70"/>
        <v>-77.970290420072104</v>
      </c>
      <c r="BP301" s="1">
        <f t="shared" si="71"/>
        <v>37.553720018948596</v>
      </c>
      <c r="BT301" s="1">
        <f t="shared" si="72"/>
        <v>-618.25107954042016</v>
      </c>
      <c r="BU301" s="1">
        <f t="shared" si="73"/>
        <v>-136.52583714634855</v>
      </c>
    </row>
    <row r="302" spans="49:73">
      <c r="AW302" s="1">
        <v>292</v>
      </c>
      <c r="AX302" s="1">
        <f t="shared" si="74"/>
        <v>146</v>
      </c>
      <c r="AZ302" s="1">
        <f t="shared" si="75"/>
        <v>17301.882039118427</v>
      </c>
      <c r="BA302" s="1">
        <f t="shared" si="76"/>
        <v>-6507.1581126164965</v>
      </c>
      <c r="BC302" s="1">
        <f t="shared" si="77"/>
        <v>-6183.9580740388046</v>
      </c>
      <c r="BD302" s="1">
        <f t="shared" si="78"/>
        <v>6077.078333918811</v>
      </c>
      <c r="BF302" s="1">
        <f t="shared" si="66"/>
        <v>-501.36134156879001</v>
      </c>
      <c r="BG302" s="1">
        <f t="shared" si="67"/>
        <v>1172.3631283145012</v>
      </c>
      <c r="BJ302" s="1">
        <f t="shared" si="68"/>
        <v>267.21679921111667</v>
      </c>
      <c r="BK302" s="1">
        <f t="shared" si="69"/>
        <v>1387.2440016204666</v>
      </c>
      <c r="BO302" s="1">
        <f t="shared" si="70"/>
        <v>-94.497241673548373</v>
      </c>
      <c r="BP302" s="1">
        <f t="shared" si="71"/>
        <v>41.817753535211736</v>
      </c>
      <c r="BT302" s="1">
        <f t="shared" si="72"/>
        <v>-674.08089910635829</v>
      </c>
      <c r="BU302" s="1">
        <f t="shared" si="73"/>
        <v>-256.6986268411772</v>
      </c>
    </row>
    <row r="303" spans="49:73">
      <c r="AW303" s="1">
        <v>293</v>
      </c>
      <c r="AX303" s="1">
        <f t="shared" si="74"/>
        <v>146.5</v>
      </c>
      <c r="AZ303" s="1">
        <f t="shared" si="75"/>
        <v>14147.232834402927</v>
      </c>
      <c r="BA303" s="1">
        <f t="shared" si="76"/>
        <v>-3322.0735546177784</v>
      </c>
      <c r="BC303" s="1">
        <f t="shared" si="77"/>
        <v>-6434.6387448231999</v>
      </c>
      <c r="BD303" s="1">
        <f t="shared" si="78"/>
        <v>6663.2598980760613</v>
      </c>
      <c r="BF303" s="1">
        <f t="shared" si="66"/>
        <v>-26.171697354754315</v>
      </c>
      <c r="BG303" s="1">
        <f t="shared" si="67"/>
        <v>1054.8752508172965</v>
      </c>
      <c r="BJ303" s="1">
        <f t="shared" si="68"/>
        <v>768.92521983278311</v>
      </c>
      <c r="BK303" s="1">
        <f t="shared" si="69"/>
        <v>1421.7830731324016</v>
      </c>
      <c r="BO303" s="1">
        <f t="shared" si="70"/>
        <v>-118.01853908138341</v>
      </c>
      <c r="BP303" s="1">
        <f t="shared" si="71"/>
        <v>46.043310919961229</v>
      </c>
      <c r="BT303" s="1">
        <f t="shared" si="72"/>
        <v>-677.07837810615399</v>
      </c>
      <c r="BU303" s="1">
        <f t="shared" si="73"/>
        <v>-412.95113323506621</v>
      </c>
    </row>
    <row r="304" spans="49:73">
      <c r="AW304" s="1">
        <v>294</v>
      </c>
      <c r="AX304" s="1">
        <f t="shared" si="74"/>
        <v>147</v>
      </c>
      <c r="AZ304" s="1">
        <f t="shared" si="75"/>
        <v>10926.641999821983</v>
      </c>
      <c r="BA304" s="1">
        <f t="shared" si="76"/>
        <v>141.41580077241429</v>
      </c>
      <c r="BC304" s="1">
        <f t="shared" si="77"/>
        <v>-6447.7245935005767</v>
      </c>
      <c r="BD304" s="1">
        <f t="shared" si="78"/>
        <v>7190.6975234847096</v>
      </c>
      <c r="BF304" s="1">
        <f t="shared" si="66"/>
        <v>562.21891410062551</v>
      </c>
      <c r="BG304" s="1">
        <f t="shared" si="67"/>
        <v>544.57834280030602</v>
      </c>
      <c r="BJ304" s="1">
        <f t="shared" si="68"/>
        <v>1306.4414655776086</v>
      </c>
      <c r="BK304" s="1">
        <f t="shared" si="69"/>
        <v>1059.5371113568431</v>
      </c>
      <c r="BO304" s="1">
        <f t="shared" si="70"/>
        <v>-151.69443740678656</v>
      </c>
      <c r="BP304" s="1">
        <f t="shared" si="71"/>
        <v>48.356119094270632</v>
      </c>
      <c r="BT304" s="1">
        <f t="shared" si="72"/>
        <v>-592.52811407019647</v>
      </c>
      <c r="BU304" s="1">
        <f t="shared" si="73"/>
        <v>-563.31488765080758</v>
      </c>
    </row>
    <row r="305" spans="49:73">
      <c r="AW305" s="1">
        <v>295</v>
      </c>
      <c r="AX305" s="1">
        <f t="shared" si="74"/>
        <v>147.5</v>
      </c>
      <c r="AZ305" s="1">
        <f t="shared" si="75"/>
        <v>7773.0570673342718</v>
      </c>
      <c r="BA305" s="1">
        <f t="shared" si="76"/>
        <v>3804.836855364807</v>
      </c>
      <c r="BC305" s="1">
        <f t="shared" si="77"/>
        <v>-6166.6151364502639</v>
      </c>
      <c r="BD305" s="1">
        <f t="shared" si="78"/>
        <v>7462.986694884863</v>
      </c>
      <c r="BF305" s="1">
        <f t="shared" si="66"/>
        <v>864.86697913649857</v>
      </c>
      <c r="BG305" s="1">
        <f t="shared" si="67"/>
        <v>-145.35912049537018</v>
      </c>
      <c r="BJ305" s="1">
        <f t="shared" si="68"/>
        <v>1499.7041506701216</v>
      </c>
      <c r="BK305" s="1">
        <f t="shared" si="69"/>
        <v>453.23279383332027</v>
      </c>
      <c r="BO305" s="1">
        <f t="shared" si="70"/>
        <v>-198.21521112059227</v>
      </c>
      <c r="BP305" s="1">
        <f t="shared" si="71"/>
        <v>44.21463462460099</v>
      </c>
      <c r="BT305" s="1">
        <f t="shared" si="72"/>
        <v>-436.62196041303071</v>
      </c>
      <c r="BU305" s="1">
        <f t="shared" si="73"/>
        <v>-642.80654895329144</v>
      </c>
    </row>
    <row r="306" spans="49:73">
      <c r="AW306" s="1">
        <v>296</v>
      </c>
      <c r="AX306" s="1">
        <f t="shared" si="74"/>
        <v>148</v>
      </c>
      <c r="AZ306" s="1">
        <f t="shared" si="75"/>
        <v>4797.8578715012018</v>
      </c>
      <c r="BA306" s="1">
        <f t="shared" si="76"/>
        <v>7518.1603127453172</v>
      </c>
      <c r="BC306" s="1">
        <f t="shared" si="77"/>
        <v>-5734.1816468820143</v>
      </c>
      <c r="BD306" s="1">
        <f t="shared" si="78"/>
        <v>7390.307134637178</v>
      </c>
      <c r="BF306" s="1">
        <f t="shared" si="66"/>
        <v>789.21708006094013</v>
      </c>
      <c r="BG306" s="1">
        <f t="shared" si="67"/>
        <v>-608.34923616791468</v>
      </c>
      <c r="BJ306" s="1">
        <f t="shared" si="68"/>
        <v>1321.1554081086035</v>
      </c>
      <c r="BK306" s="1">
        <f t="shared" si="69"/>
        <v>-1.5782378031739088</v>
      </c>
      <c r="BO306" s="1">
        <f t="shared" si="70"/>
        <v>-256.74619245604816</v>
      </c>
      <c r="BP306" s="1">
        <f t="shared" si="71"/>
        <v>25.695884430455223</v>
      </c>
      <c r="BT306" s="1">
        <f t="shared" si="72"/>
        <v>-275.19213559161523</v>
      </c>
      <c r="BU306" s="1">
        <f t="shared" si="73"/>
        <v>-632.46688279519594</v>
      </c>
    </row>
    <row r="307" spans="49:73">
      <c r="AW307" s="1">
        <v>297</v>
      </c>
      <c r="AX307" s="1">
        <f t="shared" si="74"/>
        <v>148.5</v>
      </c>
      <c r="AZ307" s="1">
        <f t="shared" si="75"/>
        <v>2029.4191830678121</v>
      </c>
      <c r="BA307" s="1">
        <f t="shared" si="76"/>
        <v>11137.270225542918</v>
      </c>
      <c r="BC307" s="1">
        <f t="shared" si="77"/>
        <v>-5339.5731068515443</v>
      </c>
      <c r="BD307" s="1">
        <f t="shared" si="78"/>
        <v>7086.1325165532207</v>
      </c>
      <c r="BF307" s="1">
        <f t="shared" si="66"/>
        <v>560.53967895155756</v>
      </c>
      <c r="BG307" s="1">
        <f t="shared" si="67"/>
        <v>-795.22261716909952</v>
      </c>
      <c r="BJ307" s="1">
        <f t="shared" si="68"/>
        <v>1032.9392844025599</v>
      </c>
      <c r="BK307" s="1">
        <f t="shared" si="69"/>
        <v>-209.06832907765872</v>
      </c>
      <c r="BO307" s="1">
        <f t="shared" si="70"/>
        <v>-319.18956823603747</v>
      </c>
      <c r="BP307" s="1">
        <f t="shared" si="71"/>
        <v>-16.47818261762237</v>
      </c>
      <c r="BT307" s="1">
        <f t="shared" si="72"/>
        <v>-153.21003721496481</v>
      </c>
      <c r="BU307" s="1">
        <f t="shared" si="73"/>
        <v>-569.67610547381844</v>
      </c>
    </row>
    <row r="308" spans="49:73">
      <c r="AW308" s="1">
        <v>298</v>
      </c>
      <c r="AX308" s="1">
        <f t="shared" si="74"/>
        <v>149</v>
      </c>
      <c r="AZ308" s="1">
        <f t="shared" si="75"/>
        <v>-570.29991048901525</v>
      </c>
      <c r="BA308" s="1">
        <f t="shared" si="76"/>
        <v>14580.933656673391</v>
      </c>
      <c r="BC308" s="1">
        <f t="shared" si="77"/>
        <v>-5059.3032673757652</v>
      </c>
      <c r="BD308" s="1">
        <f t="shared" si="78"/>
        <v>6688.5212079686708</v>
      </c>
      <c r="BF308" s="1">
        <f t="shared" si="66"/>
        <v>342.12847956285049</v>
      </c>
      <c r="BG308" s="1">
        <f t="shared" si="67"/>
        <v>-850.76396461954721</v>
      </c>
      <c r="BJ308" s="1">
        <f t="shared" si="68"/>
        <v>784.68008060084412</v>
      </c>
      <c r="BK308" s="1">
        <f t="shared" si="69"/>
        <v>-270.11116107327666</v>
      </c>
      <c r="BO308" s="1">
        <f t="shared" si="70"/>
        <v>-368.61406477949117</v>
      </c>
      <c r="BP308" s="1">
        <f t="shared" si="71"/>
        <v>-86.908010308565494</v>
      </c>
      <c r="BT308" s="1">
        <f t="shared" si="72"/>
        <v>-73.937536258502462</v>
      </c>
      <c r="BU308" s="1">
        <f t="shared" si="73"/>
        <v>-493.74479323770504</v>
      </c>
    </row>
    <row r="309" spans="49:73">
      <c r="AW309" s="1">
        <v>299</v>
      </c>
      <c r="AX309" s="1">
        <f t="shared" si="74"/>
        <v>149.5</v>
      </c>
      <c r="AZ309" s="1">
        <f t="shared" si="75"/>
        <v>-3057.185484231542</v>
      </c>
      <c r="BA309" s="1">
        <f t="shared" si="76"/>
        <v>17818.848765080282</v>
      </c>
      <c r="BC309" s="1">
        <f t="shared" si="77"/>
        <v>-4888.2390275943399</v>
      </c>
      <c r="BD309" s="1">
        <f t="shared" si="78"/>
        <v>6263.139225658897</v>
      </c>
      <c r="BF309" s="1">
        <f t="shared" si="66"/>
        <v>192.57226764257589</v>
      </c>
      <c r="BG309" s="1">
        <f t="shared" si="67"/>
        <v>-870.29779277792852</v>
      </c>
      <c r="BJ309" s="1">
        <f t="shared" si="68"/>
        <v>602.03414886494011</v>
      </c>
      <c r="BK309" s="1">
        <f t="shared" si="69"/>
        <v>-269.43008017173833</v>
      </c>
      <c r="BO309" s="1">
        <f t="shared" si="70"/>
        <v>-384.39287550367754</v>
      </c>
      <c r="BP309" s="1">
        <f t="shared" si="71"/>
        <v>-177.39141021348007</v>
      </c>
      <c r="BT309" s="1">
        <f t="shared" si="72"/>
        <v>-25.069005718686661</v>
      </c>
      <c r="BU309" s="1">
        <f t="shared" si="73"/>
        <v>-423.47630239271012</v>
      </c>
    </row>
    <row r="310" spans="49:73">
      <c r="AW310" s="1">
        <v>300</v>
      </c>
      <c r="AX310" s="1">
        <f t="shared" si="74"/>
        <v>150</v>
      </c>
      <c r="AZ310" s="1">
        <f t="shared" si="75"/>
        <v>-5477.2334645733899</v>
      </c>
      <c r="BA310" s="1">
        <f t="shared" si="76"/>
        <v>20841.631153812486</v>
      </c>
      <c r="BC310" s="1">
        <f t="shared" si="77"/>
        <v>-4791.952893773052</v>
      </c>
      <c r="BD310" s="1">
        <f t="shared" si="78"/>
        <v>5827.9903292699328</v>
      </c>
      <c r="BF310" s="1">
        <f t="shared" si="66"/>
        <v>121.74961318819489</v>
      </c>
      <c r="BG310" s="1">
        <f t="shared" si="67"/>
        <v>-877.14214502072502</v>
      </c>
      <c r="BJ310" s="1">
        <f t="shared" si="68"/>
        <v>472.57317442346158</v>
      </c>
      <c r="BK310" s="1">
        <f t="shared" si="69"/>
        <v>-247.47180635256981</v>
      </c>
      <c r="BO310" s="1">
        <f t="shared" si="70"/>
        <v>-355.67226084641459</v>
      </c>
      <c r="BP310" s="1">
        <f t="shared" si="71"/>
        <v>-265.51879453084774</v>
      </c>
      <c r="BT310" s="1">
        <f t="shared" si="72"/>
        <v>4.8486996111478984</v>
      </c>
      <c r="BU310" s="1">
        <f t="shared" si="73"/>
        <v>-364.1515441373075</v>
      </c>
    </row>
    <row r="311" spans="49:73">
      <c r="AW311" s="1">
        <v>301</v>
      </c>
      <c r="AX311" s="1">
        <f t="shared" si="74"/>
        <v>150.5</v>
      </c>
      <c r="AZ311" s="1">
        <f t="shared" si="75"/>
        <v>-7857.9912098113919</v>
      </c>
      <c r="BA311" s="1">
        <f t="shared" si="76"/>
        <v>23645.983550319863</v>
      </c>
      <c r="BC311" s="1">
        <f t="shared" si="77"/>
        <v>-4731.0780871789548</v>
      </c>
      <c r="BD311" s="1">
        <f t="shared" si="78"/>
        <v>5389.4192567595701</v>
      </c>
      <c r="BF311" s="1">
        <f t="shared" si="66"/>
        <v>112.58726449995686</v>
      </c>
      <c r="BG311" s="1">
        <f t="shared" si="67"/>
        <v>-863.67462868748908</v>
      </c>
      <c r="BJ311" s="1">
        <f t="shared" si="68"/>
        <v>380.5791407236909</v>
      </c>
      <c r="BK311" s="1">
        <f t="shared" si="69"/>
        <v>-220.57672785665238</v>
      </c>
      <c r="BO311" s="1">
        <f t="shared" si="70"/>
        <v>-291.33698047576496</v>
      </c>
      <c r="BP311" s="1">
        <f t="shared" si="71"/>
        <v>-327.42355172602322</v>
      </c>
      <c r="BT311" s="1">
        <f t="shared" si="72"/>
        <v>23.345104252030925</v>
      </c>
      <c r="BU311" s="1">
        <f t="shared" si="73"/>
        <v>-315.67434910481342</v>
      </c>
    </row>
    <row r="312" spans="49:73">
      <c r="AW312" s="1">
        <v>302</v>
      </c>
      <c r="AX312" s="1">
        <f t="shared" si="74"/>
        <v>151</v>
      </c>
      <c r="AZ312" s="1">
        <f t="shared" si="75"/>
        <v>-10209.456845338374</v>
      </c>
      <c r="BA312" s="1">
        <f t="shared" si="76"/>
        <v>26232.733850113709</v>
      </c>
      <c r="BC312" s="1">
        <f t="shared" si="77"/>
        <v>-4674.7844549289766</v>
      </c>
      <c r="BD312" s="1">
        <f t="shared" si="78"/>
        <v>4957.5819424158253</v>
      </c>
      <c r="BF312" s="1">
        <f t="shared" si="66"/>
        <v>135.99845018188037</v>
      </c>
      <c r="BG312" s="1">
        <f t="shared" si="67"/>
        <v>-824.48965418596299</v>
      </c>
      <c r="BJ312" s="1">
        <f t="shared" si="68"/>
        <v>314.15654858012385</v>
      </c>
      <c r="BK312" s="1">
        <f t="shared" si="69"/>
        <v>-194.80691235035874</v>
      </c>
      <c r="BO312" s="1">
        <f t="shared" si="70"/>
        <v>-213.07892886663242</v>
      </c>
      <c r="BP312" s="1">
        <f t="shared" si="71"/>
        <v>-353.28515351188383</v>
      </c>
      <c r="BT312" s="1">
        <f t="shared" si="72"/>
        <v>34.920830468388935</v>
      </c>
      <c r="BU312" s="1">
        <f t="shared" si="73"/>
        <v>-276.3975883237203</v>
      </c>
    </row>
    <row r="313" spans="49:73">
      <c r="AW313" s="1">
        <v>303</v>
      </c>
      <c r="AX313" s="1">
        <f t="shared" si="74"/>
        <v>151.5</v>
      </c>
      <c r="AZ313" s="1">
        <f t="shared" si="75"/>
        <v>-12529.849266530127</v>
      </c>
      <c r="BA313" s="1">
        <f t="shared" si="76"/>
        <v>28608.463614548378</v>
      </c>
      <c r="BC313" s="1">
        <f t="shared" si="77"/>
        <v>-4606.7852298380367</v>
      </c>
      <c r="BD313" s="1">
        <f t="shared" si="78"/>
        <v>4545.3371153228436</v>
      </c>
      <c r="BF313" s="1">
        <f t="shared" si="66"/>
        <v>167.37906608477931</v>
      </c>
      <c r="BG313" s="1">
        <f t="shared" si="67"/>
        <v>-765.42431642984559</v>
      </c>
      <c r="BJ313" s="1">
        <f t="shared" si="68"/>
        <v>265.1992464563441</v>
      </c>
      <c r="BK313" s="1">
        <f t="shared" si="69"/>
        <v>-172.08652270605819</v>
      </c>
      <c r="BO313" s="1">
        <f t="shared" si="70"/>
        <v>-140.0375606341689</v>
      </c>
      <c r="BP313" s="1">
        <f t="shared" si="71"/>
        <v>-348.83952743489232</v>
      </c>
      <c r="BT313" s="1">
        <f t="shared" si="72"/>
        <v>42.217380262604095</v>
      </c>
      <c r="BU313" s="1">
        <f t="shared" si="73"/>
        <v>-244.498266288895</v>
      </c>
    </row>
    <row r="314" spans="49:73">
      <c r="AW314" s="1">
        <v>304</v>
      </c>
      <c r="AX314" s="1">
        <f t="shared" si="74"/>
        <v>152</v>
      </c>
      <c r="AZ314" s="1">
        <f t="shared" si="75"/>
        <v>-14812.31949818855</v>
      </c>
      <c r="BA314" s="1">
        <f t="shared" si="76"/>
        <v>30785.454132656068</v>
      </c>
      <c r="BC314" s="1">
        <f t="shared" si="77"/>
        <v>-4523.0956967956472</v>
      </c>
      <c r="BD314" s="1">
        <f t="shared" si="78"/>
        <v>4162.6249571079206</v>
      </c>
      <c r="BF314" s="1">
        <f t="shared" si="66"/>
        <v>193.73172788266183</v>
      </c>
      <c r="BG314" s="1">
        <f t="shared" si="67"/>
        <v>-697.18668423186432</v>
      </c>
      <c r="BJ314" s="1">
        <f t="shared" si="68"/>
        <v>228.31179664962042</v>
      </c>
      <c r="BK314" s="1">
        <f t="shared" si="69"/>
        <v>-152.71443975761713</v>
      </c>
      <c r="BO314" s="1">
        <f t="shared" si="70"/>
        <v>-81.383843040411875</v>
      </c>
      <c r="BP314" s="1">
        <f t="shared" si="71"/>
        <v>-326.08024647336777</v>
      </c>
      <c r="BT314" s="1">
        <f t="shared" si="72"/>
        <v>46.803774273453293</v>
      </c>
      <c r="BU314" s="1">
        <f t="shared" si="73"/>
        <v>-218.39199800087943</v>
      </c>
    </row>
    <row r="315" spans="49:73">
      <c r="AW315" s="1">
        <v>305</v>
      </c>
      <c r="AX315" s="1">
        <f t="shared" si="74"/>
        <v>152.5</v>
      </c>
      <c r="AZ315" s="1">
        <f t="shared" si="75"/>
        <v>-17049.650880601039</v>
      </c>
      <c r="BA315" s="1">
        <f t="shared" si="76"/>
        <v>32779.618275681045</v>
      </c>
      <c r="BC315" s="1">
        <f t="shared" si="77"/>
        <v>-4426.2298328543166</v>
      </c>
      <c r="BD315" s="1">
        <f t="shared" si="78"/>
        <v>3814.0316149919886</v>
      </c>
      <c r="BF315" s="1">
        <f t="shared" si="66"/>
        <v>211.27149366884291</v>
      </c>
      <c r="BG315" s="1">
        <f t="shared" si="67"/>
        <v>-628.67889114764853</v>
      </c>
      <c r="BJ315" s="1">
        <f t="shared" si="68"/>
        <v>199.90487716662449</v>
      </c>
      <c r="BK315" s="1">
        <f t="shared" si="69"/>
        <v>-136.3985588556562</v>
      </c>
      <c r="BO315" s="1">
        <f t="shared" si="70"/>
        <v>-38.268074058987182</v>
      </c>
      <c r="BP315" s="1">
        <f t="shared" si="71"/>
        <v>-295.46744603120305</v>
      </c>
      <c r="BT315" s="1">
        <f t="shared" si="72"/>
        <v>49.634690561205588</v>
      </c>
      <c r="BU315" s="1">
        <f t="shared" si="73"/>
        <v>-196.8128862607893</v>
      </c>
    </row>
    <row r="316" spans="49:73">
      <c r="AW316" s="1">
        <v>306</v>
      </c>
      <c r="AX316" s="1">
        <f t="shared" si="74"/>
        <v>153</v>
      </c>
      <c r="AZ316" s="1">
        <f t="shared" si="75"/>
        <v>-19236.356860319593</v>
      </c>
      <c r="BA316" s="1">
        <f t="shared" si="76"/>
        <v>34608.049221783578</v>
      </c>
      <c r="BC316" s="1">
        <f t="shared" si="77"/>
        <v>-4320.5940860198953</v>
      </c>
      <c r="BD316" s="1">
        <f t="shared" si="78"/>
        <v>3499.6921694181642</v>
      </c>
      <c r="BF316" s="1">
        <f t="shared" si="66"/>
        <v>220.69996797080569</v>
      </c>
      <c r="BG316" s="1">
        <f t="shared" si="67"/>
        <v>-565.02126906112142</v>
      </c>
      <c r="BJ316" s="1">
        <f t="shared" si="68"/>
        <v>177.5715863376073</v>
      </c>
      <c r="BK316" s="1">
        <f t="shared" si="69"/>
        <v>-122.68262621747506</v>
      </c>
      <c r="BO316" s="1">
        <f t="shared" si="70"/>
        <v>-8.1786717972242791</v>
      </c>
      <c r="BP316" s="1">
        <f t="shared" si="71"/>
        <v>-263.55393991902832</v>
      </c>
      <c r="BT316" s="1">
        <f t="shared" si="72"/>
        <v>51.307053430422648</v>
      </c>
      <c r="BU316" s="1">
        <f t="shared" si="73"/>
        <v>-178.78470292461807</v>
      </c>
    </row>
    <row r="317" spans="49:73">
      <c r="AW317" s="1">
        <v>307</v>
      </c>
      <c r="AX317" s="1">
        <f t="shared" si="74"/>
        <v>153.5</v>
      </c>
      <c r="AZ317" s="1">
        <f t="shared" si="75"/>
        <v>-21369.06640733319</v>
      </c>
      <c r="BA317" s="1">
        <f t="shared" si="76"/>
        <v>36287.267647860019</v>
      </c>
      <c r="BC317" s="1">
        <f t="shared" si="77"/>
        <v>-4210.2441020344922</v>
      </c>
      <c r="BD317" s="1">
        <f t="shared" si="78"/>
        <v>3217.1815348876034</v>
      </c>
      <c r="BF317" s="1">
        <f t="shared" si="66"/>
        <v>224.04845208937999</v>
      </c>
      <c r="BG317" s="1">
        <f t="shared" si="67"/>
        <v>-508.30590963744476</v>
      </c>
      <c r="BJ317" s="1">
        <f t="shared" si="68"/>
        <v>159.67693552441216</v>
      </c>
      <c r="BK317" s="1">
        <f t="shared" si="69"/>
        <v>-111.1135222359411</v>
      </c>
      <c r="BO317" s="1">
        <f t="shared" si="70"/>
        <v>12.167567965506063</v>
      </c>
      <c r="BP317" s="1">
        <f t="shared" si="71"/>
        <v>-233.62790440226101</v>
      </c>
      <c r="BT317" s="1">
        <f t="shared" si="72"/>
        <v>52.203948599461768</v>
      </c>
      <c r="BU317" s="1">
        <f t="shared" si="73"/>
        <v>-163.56448299924259</v>
      </c>
    </row>
    <row r="318" spans="49:73">
      <c r="AW318" s="1">
        <v>308</v>
      </c>
      <c r="AX318" s="1">
        <f t="shared" si="74"/>
        <v>154</v>
      </c>
      <c r="AZ318" s="1">
        <f t="shared" si="75"/>
        <v>-23446.182401839265</v>
      </c>
      <c r="BA318" s="1">
        <f t="shared" si="76"/>
        <v>37832.32017659914</v>
      </c>
      <c r="BC318" s="1">
        <f t="shared" si="77"/>
        <v>-4098.2198759898019</v>
      </c>
      <c r="BD318" s="1">
        <f t="shared" si="78"/>
        <v>2963.0285800688812</v>
      </c>
      <c r="BF318" s="1">
        <f t="shared" si="66"/>
        <v>223.29620606409503</v>
      </c>
      <c r="BG318" s="1">
        <f t="shared" si="67"/>
        <v>-458.856649863879</v>
      </c>
      <c r="BJ318" s="1">
        <f t="shared" si="68"/>
        <v>145.09207103295338</v>
      </c>
      <c r="BK318" s="1">
        <f t="shared" si="69"/>
        <v>-101.29725813311263</v>
      </c>
      <c r="BO318" s="1">
        <f t="shared" si="70"/>
        <v>25.627145486969248</v>
      </c>
      <c r="BP318" s="1">
        <f t="shared" si="71"/>
        <v>-206.97189969542518</v>
      </c>
      <c r="BT318" s="1">
        <f t="shared" si="72"/>
        <v>52.576989544172399</v>
      </c>
      <c r="BU318" s="1">
        <f t="shared" si="73"/>
        <v>-150.5874920353412</v>
      </c>
    </row>
    <row r="319" spans="49:73">
      <c r="AW319" s="1">
        <v>309</v>
      </c>
      <c r="AX319" s="1">
        <f t="shared" si="74"/>
        <v>154.5</v>
      </c>
      <c r="AZ319" s="1">
        <f t="shared" si="75"/>
        <v>-25467.380314076156</v>
      </c>
      <c r="BA319" s="1">
        <f t="shared" si="76"/>
        <v>39256.477385400598</v>
      </c>
      <c r="BC319" s="1">
        <f t="shared" si="77"/>
        <v>-3986.5717729577545</v>
      </c>
      <c r="BD319" s="1">
        <f t="shared" si="78"/>
        <v>2733.6002551369415</v>
      </c>
      <c r="BF319" s="1">
        <f t="shared" si="66"/>
        <v>219.97153754629653</v>
      </c>
      <c r="BG319" s="1">
        <f t="shared" si="67"/>
        <v>-416.16034552333406</v>
      </c>
      <c r="BJ319" s="1">
        <f t="shared" si="68"/>
        <v>133.02331156410108</v>
      </c>
      <c r="BK319" s="1">
        <f t="shared" si="69"/>
        <v>-92.909504709438139</v>
      </c>
      <c r="BO319" s="1">
        <f t="shared" si="70"/>
        <v>34.353459279732078</v>
      </c>
      <c r="BP319" s="1">
        <f t="shared" si="71"/>
        <v>-183.82866140483424</v>
      </c>
      <c r="BT319" s="1">
        <f t="shared" si="72"/>
        <v>52.59476670246336</v>
      </c>
      <c r="BU319" s="1">
        <f t="shared" si="73"/>
        <v>-139.42217940906173</v>
      </c>
    </row>
    <row r="320" spans="49:73">
      <c r="AW320" s="1">
        <v>310</v>
      </c>
      <c r="AX320" s="1">
        <f t="shared" si="74"/>
        <v>155</v>
      </c>
      <c r="AZ320" s="1">
        <f t="shared" si="75"/>
        <v>-27433.169758361746</v>
      </c>
      <c r="BA320" s="1">
        <f t="shared" si="76"/>
        <v>40571.257469778655</v>
      </c>
      <c r="BC320" s="1">
        <f t="shared" si="77"/>
        <v>-3876.5860041846063</v>
      </c>
      <c r="BD320" s="1">
        <f t="shared" si="78"/>
        <v>2525.5200823752743</v>
      </c>
      <c r="BF320" s="1">
        <f t="shared" si="66"/>
        <v>215.14319972579193</v>
      </c>
      <c r="BG320" s="1">
        <f t="shared" si="67"/>
        <v>-379.39917579098369</v>
      </c>
      <c r="BJ320" s="1">
        <f t="shared" si="68"/>
        <v>122.90205267516654</v>
      </c>
      <c r="BK320" s="1">
        <f t="shared" si="69"/>
        <v>-85.68951744719142</v>
      </c>
      <c r="BO320" s="1">
        <f t="shared" si="70"/>
        <v>39.868982041387603</v>
      </c>
      <c r="BP320" s="1">
        <f t="shared" si="71"/>
        <v>-163.97377628489306</v>
      </c>
      <c r="BT320" s="1">
        <f t="shared" si="72"/>
        <v>52.372165009237776</v>
      </c>
      <c r="BU320" s="1">
        <f t="shared" si="73"/>
        <v>-129.73588205889925</v>
      </c>
    </row>
    <row r="321" spans="49:73">
      <c r="AW321" s="1">
        <v>311</v>
      </c>
      <c r="AX321" s="1">
        <f t="shared" si="74"/>
        <v>155.5</v>
      </c>
      <c r="AZ321" s="1">
        <f t="shared" si="75"/>
        <v>-29344.569860488326</v>
      </c>
      <c r="BA321" s="1">
        <f t="shared" si="76"/>
        <v>41786.592613992412</v>
      </c>
      <c r="BC321" s="1">
        <f t="shared" si="77"/>
        <v>-3769.0144043217101</v>
      </c>
      <c r="BD321" s="1">
        <f t="shared" si="78"/>
        <v>2335.8204944797826</v>
      </c>
      <c r="BF321" s="1">
        <f t="shared" si="66"/>
        <v>209.52069774661533</v>
      </c>
      <c r="BG321" s="1">
        <f t="shared" si="67"/>
        <v>-347.71252182891232</v>
      </c>
      <c r="BJ321" s="1">
        <f t="shared" si="68"/>
        <v>114.31333208077</v>
      </c>
      <c r="BK321" s="1">
        <f t="shared" si="69"/>
        <v>-79.429502749395411</v>
      </c>
      <c r="BO321" s="1">
        <f t="shared" si="70"/>
        <v>43.218783158743804</v>
      </c>
      <c r="BP321" s="1">
        <f t="shared" si="71"/>
        <v>-147.01349276098998</v>
      </c>
      <c r="BT321" s="1">
        <f t="shared" si="72"/>
        <v>51.988582507101519</v>
      </c>
      <c r="BU321" s="1">
        <f t="shared" si="73"/>
        <v>-121.26952631852693</v>
      </c>
    </row>
    <row r="322" spans="49:73">
      <c r="AW322" s="1">
        <v>312</v>
      </c>
      <c r="AX322" s="1">
        <f t="shared" si="74"/>
        <v>156</v>
      </c>
      <c r="AZ322" s="1">
        <f t="shared" si="75"/>
        <v>-31202.886975430851</v>
      </c>
      <c r="BA322" s="1">
        <f t="shared" si="76"/>
        <v>42911.03879600369</v>
      </c>
      <c r="BC322" s="1">
        <f t="shared" si="77"/>
        <v>-3664.2540554484026</v>
      </c>
      <c r="BD322" s="1">
        <f t="shared" si="78"/>
        <v>2161.9642335653266</v>
      </c>
      <c r="BF322" s="1">
        <f t="shared" si="66"/>
        <v>203.55997518017392</v>
      </c>
      <c r="BG322" s="1">
        <f t="shared" si="67"/>
        <v>-320.30864708092133</v>
      </c>
      <c r="BJ322" s="1">
        <f t="shared" si="68"/>
        <v>106.94891454500652</v>
      </c>
      <c r="BK322" s="1">
        <f t="shared" si="69"/>
        <v>-73.964035738081378</v>
      </c>
      <c r="BO322" s="1">
        <f t="shared" si="70"/>
        <v>45.111533195576982</v>
      </c>
      <c r="BP322" s="1">
        <f t="shared" si="71"/>
        <v>-132.52543048973709</v>
      </c>
      <c r="BT322" s="1">
        <f t="shared" si="72"/>
        <v>51.499527439590437</v>
      </c>
      <c r="BU322" s="1">
        <f t="shared" si="73"/>
        <v>-113.81918085310288</v>
      </c>
    </row>
    <row r="323" spans="49:73">
      <c r="AW323" s="1">
        <v>313</v>
      </c>
      <c r="AX323" s="1">
        <f t="shared" si="74"/>
        <v>156.5</v>
      </c>
      <c r="AZ323" s="1">
        <f t="shared" si="75"/>
        <v>-33009.56900625753</v>
      </c>
      <c r="BA323" s="1">
        <f t="shared" si="76"/>
        <v>43951.982331901243</v>
      </c>
      <c r="BC323" s="1">
        <f t="shared" si="77"/>
        <v>-3562.4740678583157</v>
      </c>
      <c r="BD323" s="1">
        <f t="shared" si="78"/>
        <v>2001.809910024866</v>
      </c>
      <c r="BF323" s="1">
        <f t="shared" si="66"/>
        <v>197.54648524293628</v>
      </c>
      <c r="BG323" s="1">
        <f t="shared" si="67"/>
        <v>-296.50169649077702</v>
      </c>
      <c r="BJ323" s="1">
        <f t="shared" si="68"/>
        <v>100.57601773268425</v>
      </c>
      <c r="BK323" s="1">
        <f t="shared" si="69"/>
        <v>-69.161007911081398</v>
      </c>
      <c r="BO323" s="1">
        <f t="shared" si="70"/>
        <v>46.026306609052071</v>
      </c>
      <c r="BP323" s="1">
        <f t="shared" si="71"/>
        <v>-120.11807216992068</v>
      </c>
      <c r="BT323" s="1">
        <f t="shared" si="72"/>
        <v>50.944160901199943</v>
      </c>
      <c r="BU323" s="1">
        <f t="shared" si="73"/>
        <v>-107.22261640977497</v>
      </c>
    </row>
    <row r="324" spans="49:73">
      <c r="AW324" s="1">
        <v>314</v>
      </c>
      <c r="AX324" s="1">
        <f t="shared" si="74"/>
        <v>157</v>
      </c>
      <c r="AZ324" s="1">
        <f t="shared" si="75"/>
        <v>-34766.11272953132</v>
      </c>
      <c r="BA324" s="1">
        <f t="shared" si="76"/>
        <v>44915.824574852326</v>
      </c>
      <c r="BC324" s="1">
        <f t="shared" si="77"/>
        <v>-3463.7008252368478</v>
      </c>
      <c r="BD324" s="1">
        <f t="shared" si="78"/>
        <v>1853.5590617794774</v>
      </c>
      <c r="BF324" s="1">
        <f t="shared" si="66"/>
        <v>191.65391632550131</v>
      </c>
      <c r="BG324" s="1">
        <f t="shared" si="67"/>
        <v>-275.71483348700968</v>
      </c>
      <c r="BJ324" s="1">
        <f t="shared" si="68"/>
        <v>95.016122882613331</v>
      </c>
      <c r="BK324" s="1">
        <f t="shared" si="69"/>
        <v>-64.914349556189435</v>
      </c>
      <c r="BO324" s="1">
        <f t="shared" si="70"/>
        <v>46.287495845691431</v>
      </c>
      <c r="BP324" s="1">
        <f t="shared" si="71"/>
        <v>-109.45101900279653</v>
      </c>
      <c r="BT324" s="1">
        <f t="shared" si="72"/>
        <v>50.35029759719653</v>
      </c>
      <c r="BU324" s="1">
        <f t="shared" si="73"/>
        <v>-101.34946492802375</v>
      </c>
    </row>
    <row r="325" spans="49:73">
      <c r="AW325" s="1">
        <v>315</v>
      </c>
      <c r="AX325" s="1">
        <f t="shared" si="74"/>
        <v>157.5</v>
      </c>
      <c r="AZ325" s="1">
        <f t="shared" si="75"/>
        <v>-36474.006402609062</v>
      </c>
      <c r="BA325" s="1">
        <f t="shared" si="76"/>
        <v>45808.139751556191</v>
      </c>
      <c r="BC325" s="1">
        <f t="shared" si="77"/>
        <v>-3367.8738670740972</v>
      </c>
      <c r="BD325" s="1">
        <f t="shared" si="78"/>
        <v>1715.7016450359724</v>
      </c>
      <c r="BF325" s="1">
        <f t="shared" si="66"/>
        <v>185.98375566817111</v>
      </c>
      <c r="BG325" s="1">
        <f t="shared" si="67"/>
        <v>-257.46983537952599</v>
      </c>
      <c r="BJ325" s="1">
        <f t="shared" si="68"/>
        <v>90.130377420771055</v>
      </c>
      <c r="BK325" s="1">
        <f t="shared" si="69"/>
        <v>-61.138341584631902</v>
      </c>
      <c r="BO325" s="1">
        <f t="shared" si="70"/>
        <v>46.115599536699712</v>
      </c>
      <c r="BP325" s="1">
        <f t="shared" si="71"/>
        <v>-100.23753740167403</v>
      </c>
      <c r="BT325" s="1">
        <f t="shared" si="72"/>
        <v>49.737778710700354</v>
      </c>
      <c r="BU325" s="1">
        <f t="shared" si="73"/>
        <v>-96.09395639322004</v>
      </c>
    </row>
    <row r="326" spans="49:73">
      <c r="AW326" s="1">
        <v>316</v>
      </c>
      <c r="AX326" s="1">
        <f t="shared" si="74"/>
        <v>158</v>
      </c>
      <c r="AZ326" s="1">
        <f t="shared" si="75"/>
        <v>-38134.695366687592</v>
      </c>
      <c r="BA326" s="1">
        <f t="shared" si="76"/>
        <v>46633.806844651735</v>
      </c>
      <c r="BC326" s="1">
        <f t="shared" si="77"/>
        <v>-3274.8819892400115</v>
      </c>
      <c r="BD326" s="1">
        <f t="shared" si="78"/>
        <v>1586.9667273462094</v>
      </c>
      <c r="BF326" s="1">
        <f t="shared" si="66"/>
        <v>180.59132944069475</v>
      </c>
      <c r="BG326" s="1">
        <f t="shared" si="67"/>
        <v>-241.37264078010611</v>
      </c>
      <c r="BJ326" s="1">
        <f t="shared" si="68"/>
        <v>85.809372375989781</v>
      </c>
      <c r="BK326" s="1">
        <f t="shared" si="69"/>
        <v>-57.763223542184598</v>
      </c>
      <c r="BO326" s="1">
        <f t="shared" si="70"/>
        <v>45.661175044964949</v>
      </c>
      <c r="BP326" s="1">
        <f t="shared" si="71"/>
        <v>-92.239909911572681</v>
      </c>
      <c r="BT326" s="1">
        <f t="shared" si="72"/>
        <v>49.120782019740012</v>
      </c>
      <c r="BU326" s="1">
        <f t="shared" si="73"/>
        <v>-91.369507326348824</v>
      </c>
    </row>
    <row r="327" spans="49:73">
      <c r="AW327" s="1">
        <v>317</v>
      </c>
      <c r="AX327" s="1">
        <f t="shared" si="74"/>
        <v>158.5</v>
      </c>
      <c r="AZ327" s="1">
        <f t="shared" si="75"/>
        <v>-39749.562445127507</v>
      </c>
      <c r="BA327" s="1">
        <f t="shared" si="76"/>
        <v>47397.118628227327</v>
      </c>
      <c r="BC327" s="1">
        <f t="shared" si="77"/>
        <v>-3184.5863245196642</v>
      </c>
      <c r="BD327" s="1">
        <f t="shared" si="78"/>
        <v>1466.2804069561564</v>
      </c>
      <c r="BF327" s="1">
        <f t="shared" si="66"/>
        <v>175.50275018211013</v>
      </c>
      <c r="BG327" s="1">
        <f t="shared" si="67"/>
        <v>-227.09896352903391</v>
      </c>
      <c r="BJ327" s="1">
        <f t="shared" si="68"/>
        <v>81.965869283048946</v>
      </c>
      <c r="BK327" s="1">
        <f t="shared" si="69"/>
        <v>-54.731815203748972</v>
      </c>
      <c r="BO327" s="1">
        <f t="shared" si="70"/>
        <v>45.02745483215832</v>
      </c>
      <c r="BP327" s="1">
        <f t="shared" si="71"/>
        <v>-85.262500096593953</v>
      </c>
      <c r="BT327" s="1">
        <f t="shared" si="72"/>
        <v>48.509426066902883</v>
      </c>
      <c r="BU327" s="1">
        <f t="shared" si="73"/>
        <v>-87.104648228690991</v>
      </c>
    </row>
    <row r="328" spans="49:73">
      <c r="AW328" s="1">
        <v>318</v>
      </c>
      <c r="AX328" s="1">
        <f t="shared" si="74"/>
        <v>159</v>
      </c>
      <c r="AZ328" s="1">
        <f t="shared" si="75"/>
        <v>-41319.917763614576</v>
      </c>
      <c r="BA328" s="1">
        <f t="shared" si="76"/>
        <v>48101.871461264273</v>
      </c>
      <c r="BC328" s="1">
        <f t="shared" si="77"/>
        <v>-3096.834949428609</v>
      </c>
      <c r="BD328" s="1">
        <f t="shared" si="78"/>
        <v>1352.7309251916395</v>
      </c>
      <c r="BF328" s="1">
        <f t="shared" si="66"/>
        <v>170.72588856589181</v>
      </c>
      <c r="BG328" s="1">
        <f t="shared" si="67"/>
        <v>-214.38153270478659</v>
      </c>
      <c r="BJ328" s="1">
        <f t="shared" si="68"/>
        <v>78.529547109557797</v>
      </c>
      <c r="BK328" s="1">
        <f t="shared" si="69"/>
        <v>-51.996915422242992</v>
      </c>
      <c r="BO328" s="1">
        <f t="shared" si="70"/>
        <v>44.28544349648628</v>
      </c>
      <c r="BP328" s="1">
        <f t="shared" si="71"/>
        <v>-79.144689694249905</v>
      </c>
      <c r="BT328" s="1">
        <f t="shared" si="72"/>
        <v>47.910897959847723</v>
      </c>
      <c r="BU328" s="1">
        <f t="shared" si="73"/>
        <v>-83.23992758829371</v>
      </c>
    </row>
    <row r="329" spans="49:73">
      <c r="AW329" s="1">
        <v>319</v>
      </c>
      <c r="AX329" s="1">
        <f t="shared" si="74"/>
        <v>159.5</v>
      </c>
      <c r="AZ329" s="1">
        <f t="shared" si="75"/>
        <v>-42846.994502258145</v>
      </c>
      <c r="BA329" s="1">
        <f t="shared" si="76"/>
        <v>48751.439232271994</v>
      </c>
      <c r="BC329" s="1">
        <f t="shared" si="77"/>
        <v>-3011.4720051456629</v>
      </c>
      <c r="BD329" s="1">
        <f t="shared" si="78"/>
        <v>1245.5401588392463</v>
      </c>
      <c r="BF329" s="1">
        <f t="shared" si="66"/>
        <v>166.25745758679244</v>
      </c>
      <c r="BG329" s="1">
        <f t="shared" si="67"/>
        <v>-202.99936242781601</v>
      </c>
      <c r="BJ329" s="1">
        <f t="shared" si="68"/>
        <v>75.443153964001368</v>
      </c>
      <c r="BK329" s="1">
        <f t="shared" si="69"/>
        <v>-49.519292145706679</v>
      </c>
      <c r="BO329" s="1">
        <f t="shared" si="70"/>
        <v>43.484048527216359</v>
      </c>
      <c r="BP329" s="1">
        <f t="shared" si="71"/>
        <v>-73.75453536827537</v>
      </c>
      <c r="BT329" s="1">
        <f t="shared" si="72"/>
        <v>47.330255095574728</v>
      </c>
      <c r="BU329" s="1">
        <f t="shared" si="73"/>
        <v>-79.725534913833968</v>
      </c>
    </row>
    <row r="330" spans="49:73">
      <c r="AW330" s="1">
        <v>320</v>
      </c>
      <c r="AX330" s="1">
        <f t="shared" si="74"/>
        <v>160</v>
      </c>
      <c r="AZ330" s="1">
        <f t="shared" si="75"/>
        <v>-44331.948322632627</v>
      </c>
      <c r="BA330" s="1">
        <f t="shared" si="76"/>
        <v>49348.83439138814</v>
      </c>
      <c r="BC330" s="1">
        <f t="shared" si="77"/>
        <v>-2928.3432763522669</v>
      </c>
      <c r="BD330" s="1">
        <f t="shared" si="78"/>
        <v>1144.0404776253383</v>
      </c>
      <c r="BF330" s="1">
        <f t="shared" si="66"/>
        <v>162.08757652303544</v>
      </c>
      <c r="BG330" s="1">
        <f t="shared" si="67"/>
        <v>-192.76897040634742</v>
      </c>
      <c r="BJ330" s="1">
        <f t="shared" si="68"/>
        <v>72.65965016963878</v>
      </c>
      <c r="BK330" s="1">
        <f t="shared" si="69"/>
        <v>-47.266121206772993</v>
      </c>
      <c r="BO330" s="1">
        <f t="shared" si="70"/>
        <v>42.656925589196305</v>
      </c>
      <c r="BP330" s="1">
        <f t="shared" si="71"/>
        <v>-68.983390824226646</v>
      </c>
      <c r="BT330" s="1">
        <f t="shared" si="72"/>
        <v>46.771000764200359</v>
      </c>
      <c r="BU330" s="1">
        <f t="shared" si="73"/>
        <v>-76.519458375347767</v>
      </c>
    </row>
    <row r="331" spans="49:73">
      <c r="AW331" s="1">
        <v>321</v>
      </c>
      <c r="AX331" s="1">
        <f t="shared" si="74"/>
        <v>160.5</v>
      </c>
      <c r="AZ331" s="1">
        <f t="shared" si="75"/>
        <v>-45775.859013743386</v>
      </c>
      <c r="BA331" s="1">
        <f t="shared" si="76"/>
        <v>49896.75850890002</v>
      </c>
      <c r="BC331" s="1">
        <f t="shared" si="77"/>
        <v>-2847.299488090749</v>
      </c>
      <c r="BD331" s="1">
        <f t="shared" si="78"/>
        <v>1047.6559924221647</v>
      </c>
      <c r="BF331" s="1">
        <f t="shared" ref="BF331:BF394" si="79">BJ331 + BO331 + BT331</f>
        <v>158.20270129287991</v>
      </c>
      <c r="BG331" s="1">
        <f t="shared" ref="BG331:BG394" si="80">BK331 + BP331 + BU331</f>
        <v>-183.53729097103206</v>
      </c>
      <c r="BJ331" s="1">
        <f t="shared" ref="BJ331:BJ394" si="81">$M$22*($M$18 - AZ331)/ (SQRT(($M$18 - AZ331)^2 + ($N$18 - BA331)^2 )^2 + $M$23^2)^(3/2)</f>
        <v>70.140060781737716</v>
      </c>
      <c r="BK331" s="1">
        <f t="shared" ref="BK331:BK394" si="82">$M$22*($N$18 - BA331)/ (SQRT(($M$18 - AZ331)^2 + ($N$18 - BA331)^2 )^2 + $M$23^2)^(3/2)</f>
        <v>-45.209766369475588</v>
      </c>
      <c r="BO331" s="1">
        <f t="shared" ref="BO331:BO394" si="83">$M$30*($M$26 - AZ331)/ (SQRT(($M$26 - AZ331)^2 + ($N$26 - BA331)^2 )^2 + $M$31^2)^(3/2)</f>
        <v>41.827139431266012</v>
      </c>
      <c r="BP331" s="1">
        <f t="shared" ref="BP331:BP394" si="84">$M$30*($N$26 - BA331)/ (SQRT(($M$26 - AZ331)^2 + ($N$26 - BA331)^2 )^2 + $M$31^2)^(3/2)</f>
        <v>-64.741480783144524</v>
      </c>
      <c r="BT331" s="1">
        <f t="shared" ref="BT331:BT394" si="85">$M$38*($M$34 - AZ331)/ (SQRT(($M$34 - AZ331)^2 + ($N$34 - BA331)^2 )^2 + $M$39^2)^(3/2)</f>
        <v>46.235501079876158</v>
      </c>
      <c r="BU331" s="1">
        <f t="shared" ref="BU331:BU394" si="86">$M$38*($N$34 - BA331)/ (SQRT(($M$34 - AZ331)^2 + ($N$34 - BA331)^2 )^2 + $M$39^2)^(3/2)</f>
        <v>-73.586043818411966</v>
      </c>
    </row>
    <row r="332" spans="49:73">
      <c r="AW332" s="1">
        <v>322</v>
      </c>
      <c r="AX332" s="1">
        <f t="shared" ref="AX332:AX395" si="87">AX331+$M$5</f>
        <v>161</v>
      </c>
      <c r="AZ332" s="1">
        <f t="shared" ref="AZ332:AZ395" si="88">AZ331 + BC331 * $M$5 + 0.5 * BF331 * POWER($M$5, 2)</f>
        <v>-47179.733420127151</v>
      </c>
      <c r="BA332" s="1">
        <f t="shared" ref="BA332:BA395" si="89">BA331+BD331*$M$5+0.5*BG331* POWER($M$5, 2)</f>
        <v>50397.644343739725</v>
      </c>
      <c r="BC332" s="1">
        <f t="shared" ref="BC332:BC395" si="90">BC331 + BF331 * $M$5</f>
        <v>-2768.1981374443089</v>
      </c>
      <c r="BD332" s="1">
        <f t="shared" ref="BD332:BD395" si="91">BD331+BG331*$M$5</f>
        <v>955.88734693664867</v>
      </c>
      <c r="BF332" s="1">
        <f t="shared" si="79"/>
        <v>154.58749442912631</v>
      </c>
      <c r="BG332" s="1">
        <f t="shared" si="80"/>
        <v>-175.17599314653197</v>
      </c>
      <c r="BJ332" s="1">
        <f t="shared" si="81"/>
        <v>67.851842536346851</v>
      </c>
      <c r="BK332" s="1">
        <f t="shared" si="82"/>
        <v>-43.326819875703642</v>
      </c>
      <c r="BO332" s="1">
        <f t="shared" si="83"/>
        <v>41.01036253228704</v>
      </c>
      <c r="BP332" s="1">
        <f t="shared" si="84"/>
        <v>-60.954315275230933</v>
      </c>
      <c r="BT332" s="1">
        <f t="shared" si="85"/>
        <v>45.725289360492397</v>
      </c>
      <c r="BU332" s="1">
        <f t="shared" si="86"/>
        <v>-70.894857995597391</v>
      </c>
    </row>
    <row r="333" spans="49:73">
      <c r="AW333" s="1">
        <v>323</v>
      </c>
      <c r="AX333" s="1">
        <f t="shared" si="87"/>
        <v>161.5</v>
      </c>
      <c r="AZ333" s="1">
        <f t="shared" si="88"/>
        <v>-48544.509052045665</v>
      </c>
      <c r="BA333" s="1">
        <f t="shared" si="89"/>
        <v>50853.691018064732</v>
      </c>
      <c r="BC333" s="1">
        <f t="shared" si="90"/>
        <v>-2690.9043902297458</v>
      </c>
      <c r="BD333" s="1">
        <f t="shared" si="91"/>
        <v>868.2993503633827</v>
      </c>
      <c r="BF333" s="1">
        <f t="shared" si="79"/>
        <v>151.22600559526518</v>
      </c>
      <c r="BG333" s="1">
        <f t="shared" si="80"/>
        <v>-167.57693517124048</v>
      </c>
      <c r="BJ333" s="1">
        <f t="shared" si="81"/>
        <v>65.767628484635452</v>
      </c>
      <c r="BK333" s="1">
        <f t="shared" si="82"/>
        <v>-41.597342861538287</v>
      </c>
      <c r="BO333" s="1">
        <f t="shared" si="83"/>
        <v>40.217087227174964</v>
      </c>
      <c r="BP333" s="1">
        <f t="shared" si="84"/>
        <v>-57.559807815570601</v>
      </c>
      <c r="BT333" s="1">
        <f t="shared" si="85"/>
        <v>45.241289883454748</v>
      </c>
      <c r="BU333" s="1">
        <f t="shared" si="86"/>
        <v>-68.419784494131591</v>
      </c>
    </row>
    <row r="334" spans="49:73">
      <c r="AW334" s="1">
        <v>324</v>
      </c>
      <c r="AX334" s="1">
        <f t="shared" si="87"/>
        <v>162</v>
      </c>
      <c r="AZ334" s="1">
        <f t="shared" si="88"/>
        <v>-49871.057996461124</v>
      </c>
      <c r="BA334" s="1">
        <f t="shared" si="89"/>
        <v>51266.893576350012</v>
      </c>
      <c r="BC334" s="1">
        <f t="shared" si="90"/>
        <v>-2615.291387432113</v>
      </c>
      <c r="BD334" s="1">
        <f t="shared" si="91"/>
        <v>784.5108827777625</v>
      </c>
      <c r="BF334" s="1">
        <f t="shared" si="79"/>
        <v>148.10240334582235</v>
      </c>
      <c r="BG334" s="1">
        <f t="shared" si="80"/>
        <v>-160.64852627623344</v>
      </c>
      <c r="BJ334" s="1">
        <f t="shared" si="81"/>
        <v>63.864253172022757</v>
      </c>
      <c r="BK334" s="1">
        <f t="shared" si="82"/>
        <v>-40.004260019285297</v>
      </c>
      <c r="BO334" s="1">
        <f t="shared" si="83"/>
        <v>39.454166803866833</v>
      </c>
      <c r="BP334" s="1">
        <f t="shared" si="84"/>
        <v>-54.505967041128038</v>
      </c>
      <c r="BT334" s="1">
        <f t="shared" si="85"/>
        <v>44.783983369932777</v>
      </c>
      <c r="BU334" s="1">
        <f t="shared" si="86"/>
        <v>-66.138299215820112</v>
      </c>
    </row>
    <row r="335" spans="49:73">
      <c r="AW335" s="1">
        <v>325</v>
      </c>
      <c r="AX335" s="1">
        <f t="shared" si="87"/>
        <v>162.5</v>
      </c>
      <c r="AZ335" s="1">
        <f t="shared" si="88"/>
        <v>-51160.190889758953</v>
      </c>
      <c r="BA335" s="1">
        <f t="shared" si="89"/>
        <v>51639.067951954363</v>
      </c>
      <c r="BC335" s="1">
        <f t="shared" si="90"/>
        <v>-2541.2401857592017</v>
      </c>
      <c r="BD335" s="1">
        <f t="shared" si="91"/>
        <v>704.18661963964576</v>
      </c>
      <c r="BF335" s="1">
        <f t="shared" si="79"/>
        <v>145.20141491105986</v>
      </c>
      <c r="BG335" s="1">
        <f t="shared" si="80"/>
        <v>-154.31280815822453</v>
      </c>
      <c r="BJ335" s="1">
        <f t="shared" si="81"/>
        <v>62.121988502549996</v>
      </c>
      <c r="BK335" s="1">
        <f t="shared" si="82"/>
        <v>-38.532874034479278</v>
      </c>
      <c r="BO335" s="1">
        <f t="shared" si="83"/>
        <v>38.725896397961733</v>
      </c>
      <c r="BP335" s="1">
        <f t="shared" si="84"/>
        <v>-51.74904856391742</v>
      </c>
      <c r="BT335" s="1">
        <f t="shared" si="85"/>
        <v>44.35353001054812</v>
      </c>
      <c r="BU335" s="1">
        <f t="shared" si="86"/>
        <v>-64.030885559827837</v>
      </c>
    </row>
    <row r="336" spans="49:73">
      <c r="AW336" s="1">
        <v>326</v>
      </c>
      <c r="AX336" s="1">
        <f t="shared" si="87"/>
        <v>163</v>
      </c>
      <c r="AZ336" s="1">
        <f t="shared" si="88"/>
        <v>-52412.660805774671</v>
      </c>
      <c r="BA336" s="1">
        <f t="shared" si="89"/>
        <v>51971.872160754407</v>
      </c>
      <c r="BC336" s="1">
        <f t="shared" si="90"/>
        <v>-2468.6394783036717</v>
      </c>
      <c r="BD336" s="1">
        <f t="shared" si="91"/>
        <v>627.03021556053352</v>
      </c>
      <c r="BF336" s="1">
        <f t="shared" si="79"/>
        <v>142.50857651739551</v>
      </c>
      <c r="BG336" s="1">
        <f t="shared" si="80"/>
        <v>-148.50310604624158</v>
      </c>
      <c r="BJ336" s="1">
        <f t="shared" si="81"/>
        <v>60.523939461503417</v>
      </c>
      <c r="BK336" s="1">
        <f t="shared" si="82"/>
        <v>-37.170473622239435</v>
      </c>
      <c r="BO336" s="1">
        <f t="shared" si="83"/>
        <v>38.03477572832594</v>
      </c>
      <c r="BP336" s="1">
        <f t="shared" si="84"/>
        <v>-49.252073259219941</v>
      </c>
      <c r="BT336" s="1">
        <f t="shared" si="85"/>
        <v>43.949861327566168</v>
      </c>
      <c r="BU336" s="1">
        <f t="shared" si="86"/>
        <v>-62.080559164782215</v>
      </c>
    </row>
    <row r="337" spans="49:73">
      <c r="AW337" s="1">
        <v>327</v>
      </c>
      <c r="AX337" s="1">
        <f t="shared" si="87"/>
        <v>163.5</v>
      </c>
      <c r="AZ337" s="1">
        <f t="shared" si="88"/>
        <v>-53629.166972861829</v>
      </c>
      <c r="BA337" s="1">
        <f t="shared" si="89"/>
        <v>52266.824380278893</v>
      </c>
      <c r="BC337" s="1">
        <f t="shared" si="90"/>
        <v>-2397.385190044974</v>
      </c>
      <c r="BD337" s="1">
        <f t="shared" si="91"/>
        <v>552.77866253741274</v>
      </c>
      <c r="BF337" s="1">
        <f t="shared" si="79"/>
        <v>140.01036150134141</v>
      </c>
      <c r="BG337" s="1">
        <f t="shared" si="80"/>
        <v>-143.16213068257963</v>
      </c>
      <c r="BJ337" s="1">
        <f t="shared" si="81"/>
        <v>59.055562309011655</v>
      </c>
      <c r="BK337" s="1">
        <f t="shared" si="82"/>
        <v>-35.906015173858549</v>
      </c>
      <c r="BO337" s="1">
        <f t="shared" si="83"/>
        <v>37.382050178594625</v>
      </c>
      <c r="BP337" s="1">
        <f t="shared" si="84"/>
        <v>-46.983636292521972</v>
      </c>
      <c r="BT337" s="1">
        <f t="shared" si="85"/>
        <v>43.572749013735127</v>
      </c>
      <c r="BU337" s="1">
        <f t="shared" si="86"/>
        <v>-60.272479216199116</v>
      </c>
    </row>
    <row r="338" spans="49:73">
      <c r="AW338" s="1">
        <v>328</v>
      </c>
      <c r="AX338" s="1">
        <f t="shared" si="87"/>
        <v>164</v>
      </c>
      <c r="AZ338" s="1">
        <f t="shared" si="88"/>
        <v>-54810.358272696649</v>
      </c>
      <c r="BA338" s="1">
        <f t="shared" si="89"/>
        <v>52525.31844521228</v>
      </c>
      <c r="BC338" s="1">
        <f t="shared" si="90"/>
        <v>-2327.3800092943034</v>
      </c>
      <c r="BD338" s="1">
        <f t="shared" si="91"/>
        <v>481.19759719612296</v>
      </c>
      <c r="BF338" s="1">
        <f t="shared" si="79"/>
        <v>137.69423045823319</v>
      </c>
      <c r="BG338" s="1">
        <f t="shared" si="80"/>
        <v>-138.24043794525787</v>
      </c>
      <c r="BJ338" s="1">
        <f t="shared" si="81"/>
        <v>57.704277457460648</v>
      </c>
      <c r="BK338" s="1">
        <f t="shared" si="82"/>
        <v>-34.729862657552488</v>
      </c>
      <c r="BO338" s="1">
        <f t="shared" si="83"/>
        <v>36.768096337892906</v>
      </c>
      <c r="BP338" s="1">
        <f t="shared" si="84"/>
        <v>-44.916946649742542</v>
      </c>
      <c r="BT338" s="1">
        <f t="shared" si="85"/>
        <v>43.221856662879638</v>
      </c>
      <c r="BU338" s="1">
        <f t="shared" si="86"/>
        <v>-58.593628637962844</v>
      </c>
    </row>
    <row r="339" spans="49:73">
      <c r="AW339" s="1">
        <v>329</v>
      </c>
      <c r="AX339" s="1">
        <f t="shared" si="87"/>
        <v>164.5</v>
      </c>
      <c r="AZ339" s="1">
        <f t="shared" si="88"/>
        <v>-55956.836498536519</v>
      </c>
      <c r="BA339" s="1">
        <f t="shared" si="89"/>
        <v>52748.637189067187</v>
      </c>
      <c r="BC339" s="1">
        <f t="shared" si="90"/>
        <v>-2258.5328940651866</v>
      </c>
      <c r="BD339" s="1">
        <f t="shared" si="91"/>
        <v>412.07737822349401</v>
      </c>
      <c r="BF339" s="1">
        <f t="shared" si="79"/>
        <v>135.54863256402152</v>
      </c>
      <c r="BG339" s="1">
        <f t="shared" si="80"/>
        <v>-133.69517297480746</v>
      </c>
      <c r="BJ339" s="1">
        <f t="shared" si="81"/>
        <v>56.459156178284296</v>
      </c>
      <c r="BK339" s="1">
        <f t="shared" si="82"/>
        <v>-33.633573904322475</v>
      </c>
      <c r="BO339" s="1">
        <f t="shared" si="83"/>
        <v>36.192697662292481</v>
      </c>
      <c r="BP339" s="1">
        <f t="shared" si="84"/>
        <v>-43.029049602901353</v>
      </c>
      <c r="BT339" s="1">
        <f t="shared" si="85"/>
        <v>42.896778723444747</v>
      </c>
      <c r="BU339" s="1">
        <f t="shared" si="86"/>
        <v>-57.032549467583621</v>
      </c>
    </row>
    <row r="340" spans="49:73">
      <c r="AW340" s="1">
        <v>330</v>
      </c>
      <c r="AX340" s="1">
        <f t="shared" si="87"/>
        <v>165</v>
      </c>
      <c r="AZ340" s="1">
        <f t="shared" si="88"/>
        <v>-57069.159366498607</v>
      </c>
      <c r="BA340" s="1">
        <f t="shared" si="89"/>
        <v>52937.963981557084</v>
      </c>
      <c r="BC340" s="1">
        <f t="shared" si="90"/>
        <v>-2190.758577783176</v>
      </c>
      <c r="BD340" s="1">
        <f t="shared" si="91"/>
        <v>345.22979173609031</v>
      </c>
      <c r="BF340" s="1">
        <f t="shared" si="79"/>
        <v>133.56297725161585</v>
      </c>
      <c r="BG340" s="1">
        <f t="shared" si="80"/>
        <v>-129.4890414518685</v>
      </c>
      <c r="BJ340" s="1">
        <f t="shared" si="81"/>
        <v>55.310665342110283</v>
      </c>
      <c r="BK340" s="1">
        <f t="shared" si="82"/>
        <v>-32.60972404875141</v>
      </c>
      <c r="BO340" s="1">
        <f t="shared" si="83"/>
        <v>35.65524204050346</v>
      </c>
      <c r="BP340" s="1">
        <f t="shared" si="84"/>
        <v>-41.300194680768819</v>
      </c>
      <c r="BT340" s="1">
        <f t="shared" si="85"/>
        <v>42.597069869002105</v>
      </c>
      <c r="BU340" s="1">
        <f t="shared" si="86"/>
        <v>-55.579122722348266</v>
      </c>
    </row>
    <row r="341" spans="49:73">
      <c r="AW341" s="1">
        <v>331</v>
      </c>
      <c r="AX341" s="1">
        <f t="shared" si="87"/>
        <v>165.5</v>
      </c>
      <c r="AZ341" s="1">
        <f t="shared" si="88"/>
        <v>-58147.843283233742</v>
      </c>
      <c r="BA341" s="1">
        <f t="shared" si="89"/>
        <v>53094.392747243641</v>
      </c>
      <c r="BC341" s="1">
        <f t="shared" si="90"/>
        <v>-2123.977089157368</v>
      </c>
      <c r="BD341" s="1">
        <f t="shared" si="91"/>
        <v>280.48527101015605</v>
      </c>
      <c r="BF341" s="1">
        <f t="shared" si="79"/>
        <v>131.72758883248147</v>
      </c>
      <c r="BG341" s="1">
        <f t="shared" si="80"/>
        <v>-125.58946297514777</v>
      </c>
      <c r="BJ341" s="1">
        <f t="shared" si="81"/>
        <v>54.250458123443387</v>
      </c>
      <c r="BK341" s="1">
        <f t="shared" si="82"/>
        <v>-31.651758903100195</v>
      </c>
      <c r="BO341" s="1">
        <f t="shared" si="83"/>
        <v>35.154863552395938</v>
      </c>
      <c r="BP341" s="1">
        <f t="shared" si="84"/>
        <v>-39.713319719140067</v>
      </c>
      <c r="BT341" s="1">
        <f t="shared" si="85"/>
        <v>42.322267156642134</v>
      </c>
      <c r="BU341" s="1">
        <f t="shared" si="86"/>
        <v>-54.224384352907499</v>
      </c>
    </row>
    <row r="342" spans="49:73">
      <c r="AW342" s="1">
        <v>332</v>
      </c>
      <c r="AX342" s="1">
        <f t="shared" si="87"/>
        <v>166</v>
      </c>
      <c r="AZ342" s="1">
        <f t="shared" si="88"/>
        <v>-59193.365879208366</v>
      </c>
      <c r="BA342" s="1">
        <f t="shared" si="89"/>
        <v>53218.936699876824</v>
      </c>
      <c r="BC342" s="1">
        <f t="shared" si="90"/>
        <v>-2058.1132947411274</v>
      </c>
      <c r="BD342" s="1">
        <f t="shared" si="91"/>
        <v>217.69053952258218</v>
      </c>
      <c r="BF342" s="1">
        <f t="shared" si="79"/>
        <v>130.03365227769777</v>
      </c>
      <c r="BG342" s="1">
        <f t="shared" si="80"/>
        <v>-121.96787105821565</v>
      </c>
      <c r="BJ342" s="1">
        <f t="shared" si="81"/>
        <v>53.271201372948596</v>
      </c>
      <c r="BK342" s="1">
        <f t="shared" si="82"/>
        <v>-30.753872580830045</v>
      </c>
      <c r="BO342" s="1">
        <f t="shared" si="83"/>
        <v>34.690544160722119</v>
      </c>
      <c r="BP342" s="1">
        <f t="shared" si="84"/>
        <v>-38.253627840672046</v>
      </c>
      <c r="BT342" s="1">
        <f t="shared" si="85"/>
        <v>42.071906744027046</v>
      </c>
      <c r="BU342" s="1">
        <f t="shared" si="86"/>
        <v>-52.96037063671357</v>
      </c>
    </row>
    <row r="343" spans="49:73">
      <c r="AW343" s="1">
        <v>333</v>
      </c>
      <c r="AX343" s="1">
        <f t="shared" si="87"/>
        <v>166.5</v>
      </c>
      <c r="AZ343" s="1">
        <f t="shared" si="88"/>
        <v>-60206.168320044213</v>
      </c>
      <c r="BA343" s="1">
        <f t="shared" si="89"/>
        <v>53312.535985755836</v>
      </c>
      <c r="BC343" s="1">
        <f t="shared" si="90"/>
        <v>-1993.0964686022785</v>
      </c>
      <c r="BD343" s="1">
        <f t="shared" si="91"/>
        <v>156.70660399347435</v>
      </c>
      <c r="BF343" s="1">
        <f t="shared" si="79"/>
        <v>128.47315546075953</v>
      </c>
      <c r="BG343" s="1">
        <f t="shared" si="80"/>
        <v>-118.59913170598081</v>
      </c>
      <c r="BJ343" s="1">
        <f t="shared" si="81"/>
        <v>52.366432440045564</v>
      </c>
      <c r="BK343" s="1">
        <f t="shared" si="82"/>
        <v>-29.910904869964956</v>
      </c>
      <c r="BO343" s="1">
        <f t="shared" si="83"/>
        <v>34.26118652548724</v>
      </c>
      <c r="BP343" s="1">
        <f t="shared" si="84"/>
        <v>-36.908239116137374</v>
      </c>
      <c r="BT343" s="1">
        <f t="shared" si="85"/>
        <v>41.84553649522671</v>
      </c>
      <c r="BU343" s="1">
        <f t="shared" si="86"/>
        <v>-51.779987719878477</v>
      </c>
    </row>
    <row r="344" spans="49:73">
      <c r="AW344" s="1">
        <v>334</v>
      </c>
      <c r="AX344" s="1">
        <f t="shared" si="87"/>
        <v>167</v>
      </c>
      <c r="AZ344" s="1">
        <f t="shared" si="88"/>
        <v>-61186.657409912754</v>
      </c>
      <c r="BA344" s="1">
        <f t="shared" si="89"/>
        <v>53376.064396289323</v>
      </c>
      <c r="BC344" s="1">
        <f t="shared" si="90"/>
        <v>-1928.8598908718986</v>
      </c>
      <c r="BD344" s="1">
        <f t="shared" si="91"/>
        <v>97.407038140483934</v>
      </c>
      <c r="BF344" s="1">
        <f t="shared" si="79"/>
        <v>127.03883122592801</v>
      </c>
      <c r="BG344" s="1">
        <f t="shared" si="80"/>
        <v>-115.46105832856061</v>
      </c>
      <c r="BJ344" s="1">
        <f t="shared" si="81"/>
        <v>51.530439801834198</v>
      </c>
      <c r="BK344" s="1">
        <f t="shared" si="82"/>
        <v>-29.11825477408328</v>
      </c>
      <c r="BO344" s="1">
        <f t="shared" si="83"/>
        <v>33.865665944244988</v>
      </c>
      <c r="BP344" s="1">
        <f t="shared" si="84"/>
        <v>-35.665902483925429</v>
      </c>
      <c r="BT344" s="1">
        <f t="shared" si="85"/>
        <v>41.642725479848821</v>
      </c>
      <c r="BU344" s="1">
        <f t="shared" si="86"/>
        <v>-50.676901070551907</v>
      </c>
    </row>
    <row r="345" spans="49:73">
      <c r="AW345" s="1">
        <v>335</v>
      </c>
      <c r="AX345" s="1">
        <f t="shared" si="87"/>
        <v>167.5</v>
      </c>
      <c r="AZ345" s="1">
        <f t="shared" si="88"/>
        <v>-62135.20750144546</v>
      </c>
      <c r="BA345" s="1">
        <f t="shared" si="89"/>
        <v>53410.335283068496</v>
      </c>
      <c r="BC345" s="1">
        <f t="shared" si="90"/>
        <v>-1865.3404752589347</v>
      </c>
      <c r="BD345" s="1">
        <f t="shared" si="91"/>
        <v>39.676508976203628</v>
      </c>
      <c r="BF345" s="1">
        <f t="shared" si="79"/>
        <v>125.72410135737883</v>
      </c>
      <c r="BG345" s="1">
        <f t="shared" si="80"/>
        <v>-112.53400527662734</v>
      </c>
      <c r="BJ345" s="1">
        <f t="shared" si="81"/>
        <v>50.758163054120359</v>
      </c>
      <c r="BK345" s="1">
        <f t="shared" si="82"/>
        <v>-28.371807353458202</v>
      </c>
      <c r="BO345" s="1">
        <f t="shared" si="83"/>
        <v>33.50286717527888</v>
      </c>
      <c r="BP345" s="1">
        <f t="shared" si="84"/>
        <v>-34.516756490948175</v>
      </c>
      <c r="BT345" s="1">
        <f t="shared" si="85"/>
        <v>41.463071127979596</v>
      </c>
      <c r="BU345" s="1">
        <f t="shared" si="86"/>
        <v>-49.645441432220956</v>
      </c>
    </row>
    <row r="346" spans="49:73">
      <c r="AW346" s="1">
        <v>336</v>
      </c>
      <c r="AX346" s="1">
        <f t="shared" si="87"/>
        <v>168</v>
      </c>
      <c r="AZ346" s="1">
        <f t="shared" si="88"/>
        <v>-63052.162226405257</v>
      </c>
      <c r="BA346" s="1">
        <f t="shared" si="89"/>
        <v>53416.10678689702</v>
      </c>
      <c r="BC346" s="1">
        <f t="shared" si="90"/>
        <v>-1802.4784245802452</v>
      </c>
      <c r="BD346" s="1">
        <f t="shared" si="91"/>
        <v>-16.590493662110042</v>
      </c>
      <c r="BF346" s="1">
        <f t="shared" si="79"/>
        <v>124.52302367117736</v>
      </c>
      <c r="BG346" s="1">
        <f t="shared" si="80"/>
        <v>-109.80052582760911</v>
      </c>
      <c r="BJ346" s="1">
        <f t="shared" si="81"/>
        <v>50.045108742072024</v>
      </c>
      <c r="BK346" s="1">
        <f t="shared" si="82"/>
        <v>-27.667871558824693</v>
      </c>
      <c r="BO346" s="1">
        <f t="shared" si="83"/>
        <v>33.171710306496777</v>
      </c>
      <c r="BP346" s="1">
        <f t="shared" si="84"/>
        <v>-33.452129753603046</v>
      </c>
      <c r="BT346" s="1">
        <f t="shared" si="85"/>
        <v>41.306204622608561</v>
      </c>
      <c r="BU346" s="1">
        <f t="shared" si="86"/>
        <v>-48.680524515181375</v>
      </c>
    </row>
    <row r="347" spans="49:73">
      <c r="AW347" s="1">
        <v>337</v>
      </c>
      <c r="AX347" s="1">
        <f t="shared" si="87"/>
        <v>168.5</v>
      </c>
      <c r="AZ347" s="1">
        <f t="shared" si="88"/>
        <v>-63937.836060736481</v>
      </c>
      <c r="BA347" s="1">
        <f t="shared" si="89"/>
        <v>53394.086474337513</v>
      </c>
      <c r="BC347" s="1">
        <f t="shared" si="90"/>
        <v>-1740.2169127446566</v>
      </c>
      <c r="BD347" s="1">
        <f t="shared" si="91"/>
        <v>-71.490756575914588</v>
      </c>
      <c r="BF347" s="1">
        <f t="shared" si="79"/>
        <v>123.43024289134598</v>
      </c>
      <c r="BG347" s="1">
        <f t="shared" si="80"/>
        <v>-107.24508323896076</v>
      </c>
      <c r="BJ347" s="1">
        <f t="shared" si="81"/>
        <v>49.387279221302663</v>
      </c>
      <c r="BK347" s="1">
        <f t="shared" si="82"/>
        <v>-27.003127191349584</v>
      </c>
      <c r="BO347" s="1">
        <f t="shared" si="83"/>
        <v>32.871168694585897</v>
      </c>
      <c r="BP347" s="1">
        <f t="shared" si="84"/>
        <v>-32.464373868426854</v>
      </c>
      <c r="BT347" s="1">
        <f t="shared" si="85"/>
        <v>41.171794975457431</v>
      </c>
      <c r="BU347" s="1">
        <f t="shared" si="86"/>
        <v>-47.777582179184321</v>
      </c>
    </row>
    <row r="348" spans="49:73">
      <c r="AW348" s="1">
        <v>338</v>
      </c>
      <c r="AX348" s="1">
        <f t="shared" si="87"/>
        <v>169</v>
      </c>
      <c r="AZ348" s="1">
        <f t="shared" si="88"/>
        <v>-64792.515736747388</v>
      </c>
      <c r="BA348" s="1">
        <f t="shared" si="89"/>
        <v>53344.93546064468</v>
      </c>
      <c r="BC348" s="1">
        <f t="shared" si="90"/>
        <v>-1678.5017912989836</v>
      </c>
      <c r="BD348" s="1">
        <f t="shared" si="91"/>
        <v>-125.11329819539498</v>
      </c>
      <c r="BF348" s="1">
        <f t="shared" si="79"/>
        <v>122.44094560725085</v>
      </c>
      <c r="BG348" s="1">
        <f t="shared" si="80"/>
        <v>-104.85380568378648</v>
      </c>
      <c r="BJ348" s="1">
        <f t="shared" si="81"/>
        <v>48.781112295900002</v>
      </c>
      <c r="BK348" s="1">
        <f t="shared" si="82"/>
        <v>-26.374579471697398</v>
      </c>
      <c r="BO348" s="1">
        <f t="shared" si="83"/>
        <v>32.600281181568832</v>
      </c>
      <c r="BP348" s="1">
        <f t="shared" si="84"/>
        <v>-31.546722941813041</v>
      </c>
      <c r="BT348" s="1">
        <f t="shared" si="85"/>
        <v>41.05955212978202</v>
      </c>
      <c r="BU348" s="1">
        <f t="shared" si="86"/>
        <v>-46.93250327027603</v>
      </c>
    </row>
    <row r="349" spans="49:73">
      <c r="AW349" s="1">
        <v>339</v>
      </c>
      <c r="AX349" s="1">
        <f t="shared" si="87"/>
        <v>169.5</v>
      </c>
      <c r="AZ349" s="1">
        <f t="shared" si="88"/>
        <v>-65616.461514195966</v>
      </c>
      <c r="BA349" s="1">
        <f t="shared" si="89"/>
        <v>53269.272085836506</v>
      </c>
      <c r="BC349" s="1">
        <f t="shared" si="90"/>
        <v>-1617.2813184953582</v>
      </c>
      <c r="BD349" s="1">
        <f t="shared" si="91"/>
        <v>-177.54020103728823</v>
      </c>
      <c r="BF349" s="1">
        <f t="shared" si="79"/>
        <v>121.5508193778725</v>
      </c>
      <c r="BG349" s="1">
        <f t="shared" si="80"/>
        <v>-102.61427762638561</v>
      </c>
      <c r="BJ349" s="1">
        <f t="shared" si="81"/>
        <v>48.223429815705835</v>
      </c>
      <c r="BK349" s="1">
        <f t="shared" si="82"/>
        <v>-25.779519979125929</v>
      </c>
      <c r="BO349" s="1">
        <f t="shared" si="83"/>
        <v>32.358160205853743</v>
      </c>
      <c r="BP349" s="1">
        <f t="shared" si="84"/>
        <v>-30.693175044023391</v>
      </c>
      <c r="BT349" s="1">
        <f t="shared" si="85"/>
        <v>40.969229356312916</v>
      </c>
      <c r="BU349" s="1">
        <f t="shared" si="86"/>
        <v>-46.141582603236294</v>
      </c>
    </row>
    <row r="350" spans="49:73">
      <c r="AW350" s="1">
        <v>340</v>
      </c>
      <c r="AX350" s="1">
        <f t="shared" si="87"/>
        <v>170</v>
      </c>
      <c r="AZ350" s="1">
        <f t="shared" si="88"/>
        <v>-66409.908321021416</v>
      </c>
      <c r="BA350" s="1">
        <f t="shared" si="89"/>
        <v>53167.675200614562</v>
      </c>
      <c r="BC350" s="1">
        <f t="shared" si="90"/>
        <v>-1556.505908806422</v>
      </c>
      <c r="BD350" s="1">
        <f t="shared" si="91"/>
        <v>-228.84733985048103</v>
      </c>
      <c r="BF350" s="1">
        <f t="shared" si="79"/>
        <v>120.75601590576744</v>
      </c>
      <c r="BG350" s="1">
        <f t="shared" si="80"/>
        <v>-100.51536158134346</v>
      </c>
      <c r="BJ350" s="1">
        <f t="shared" si="81"/>
        <v>47.711393759016637</v>
      </c>
      <c r="BK350" s="1">
        <f t="shared" si="82"/>
        <v>-25.215492943942113</v>
      </c>
      <c r="BO350" s="1">
        <f t="shared" si="83"/>
        <v>32.143996996966443</v>
      </c>
      <c r="BP350" s="1">
        <f t="shared" si="84"/>
        <v>-29.898391792040467</v>
      </c>
      <c r="BT350" s="1">
        <f t="shared" si="85"/>
        <v>40.900625149784368</v>
      </c>
      <c r="BU350" s="1">
        <f t="shared" si="86"/>
        <v>-45.401476845360875</v>
      </c>
    </row>
    <row r="351" spans="49:73">
      <c r="AW351" s="1">
        <v>341</v>
      </c>
      <c r="AX351" s="1">
        <f t="shared" si="87"/>
        <v>170.5</v>
      </c>
      <c r="AZ351" s="1">
        <f t="shared" si="88"/>
        <v>-67173.066773436411</v>
      </c>
      <c r="BA351" s="1">
        <f t="shared" si="89"/>
        <v>53040.68711049165</v>
      </c>
      <c r="BC351" s="1">
        <f t="shared" si="90"/>
        <v>-1496.1279008535382</v>
      </c>
      <c r="BD351" s="1">
        <f t="shared" si="91"/>
        <v>-279.10502064115275</v>
      </c>
      <c r="BF351" s="1">
        <f t="shared" si="79"/>
        <v>120.05311812038244</v>
      </c>
      <c r="BG351" s="1">
        <f t="shared" si="80"/>
        <v>-98.547045307109244</v>
      </c>
      <c r="BJ351" s="1">
        <f t="shared" si="81"/>
        <v>47.242468599849644</v>
      </c>
      <c r="BK351" s="1">
        <f t="shared" si="82"/>
        <v>-24.680266055393332</v>
      </c>
      <c r="BO351" s="1">
        <f t="shared" si="83"/>
        <v>31.957064731593313</v>
      </c>
      <c r="BP351" s="1">
        <f t="shared" si="84"/>
        <v>-29.157612980480771</v>
      </c>
      <c r="BT351" s="1">
        <f t="shared" si="85"/>
        <v>40.853584788939493</v>
      </c>
      <c r="BU351" s="1">
        <f t="shared" si="86"/>
        <v>-44.709166271235134</v>
      </c>
    </row>
    <row r="352" spans="49:73">
      <c r="AW352" s="1">
        <v>342</v>
      </c>
      <c r="AX352" s="1">
        <f t="shared" si="87"/>
        <v>171</v>
      </c>
      <c r="AZ352" s="1">
        <f t="shared" si="88"/>
        <v>-67906.124084098134</v>
      </c>
      <c r="BA352" s="1">
        <f t="shared" si="89"/>
        <v>52888.816219507687</v>
      </c>
      <c r="BC352" s="1">
        <f t="shared" si="90"/>
        <v>-1436.101341793347</v>
      </c>
      <c r="BD352" s="1">
        <f t="shared" si="91"/>
        <v>-328.37854329470736</v>
      </c>
      <c r="BF352" s="1">
        <f t="shared" si="79"/>
        <v>119.43911096684937</v>
      </c>
      <c r="BG352" s="1">
        <f t="shared" si="80"/>
        <v>-96.700310373254212</v>
      </c>
      <c r="BJ352" s="1">
        <f t="shared" si="81"/>
        <v>46.814388976839581</v>
      </c>
      <c r="BK352" s="1">
        <f t="shared" si="82"/>
        <v>-24.171805091366721</v>
      </c>
      <c r="BO352" s="1">
        <f t="shared" si="83"/>
        <v>31.796720300948575</v>
      </c>
      <c r="BP352" s="1">
        <f t="shared" si="84"/>
        <v>-28.466583749845555</v>
      </c>
      <c r="BT352" s="1">
        <f t="shared" si="85"/>
        <v>40.828001689061203</v>
      </c>
      <c r="BU352" s="1">
        <f t="shared" si="86"/>
        <v>-44.061921532041936</v>
      </c>
    </row>
    <row r="353" spans="49:73">
      <c r="AW353" s="1">
        <v>343</v>
      </c>
      <c r="AX353" s="1">
        <f t="shared" si="87"/>
        <v>171.5</v>
      </c>
      <c r="AZ353" s="1">
        <f t="shared" si="88"/>
        <v>-68609.244866123947</v>
      </c>
      <c r="BA353" s="1">
        <f t="shared" si="89"/>
        <v>52712.539409063676</v>
      </c>
      <c r="BC353" s="1">
        <f t="shared" si="90"/>
        <v>-1376.3817863099223</v>
      </c>
      <c r="BD353" s="1">
        <f t="shared" si="91"/>
        <v>-376.72869848133445</v>
      </c>
      <c r="BF353" s="1">
        <f t="shared" si="79"/>
        <v>118.91135567906565</v>
      </c>
      <c r="BG353" s="1">
        <f t="shared" si="80"/>
        <v>-94.967018756114129</v>
      </c>
      <c r="BJ353" s="1">
        <f t="shared" si="81"/>
        <v>46.425131855796728</v>
      </c>
      <c r="BK353" s="1">
        <f t="shared" si="82"/>
        <v>-23.68825179328045</v>
      </c>
      <c r="BO353" s="1">
        <f t="shared" si="83"/>
        <v>31.662405172822929</v>
      </c>
      <c r="BP353" s="1">
        <f t="shared" si="84"/>
        <v>-27.821492237836082</v>
      </c>
      <c r="BT353" s="1">
        <f t="shared" si="85"/>
        <v>40.823818650445979</v>
      </c>
      <c r="BU353" s="1">
        <f t="shared" si="86"/>
        <v>-43.457274724997603</v>
      </c>
    </row>
    <row r="354" spans="49:73">
      <c r="AW354" s="1">
        <v>344</v>
      </c>
      <c r="AX354" s="1">
        <f t="shared" si="87"/>
        <v>172</v>
      </c>
      <c r="AZ354" s="1">
        <f t="shared" si="88"/>
        <v>-69282.571839819022</v>
      </c>
      <c r="BA354" s="1">
        <f t="shared" si="89"/>
        <v>52512.304182478489</v>
      </c>
      <c r="BC354" s="1">
        <f t="shared" si="90"/>
        <v>-1316.9261084703894</v>
      </c>
      <c r="BD354" s="1">
        <f t="shared" si="91"/>
        <v>-424.21220785939153</v>
      </c>
      <c r="BF354" s="1">
        <f t="shared" si="79"/>
        <v>118.46756731559341</v>
      </c>
      <c r="BG354" s="1">
        <f t="shared" si="80"/>
        <v>-93.339814696205934</v>
      </c>
      <c r="BJ354" s="1">
        <f t="shared" si="81"/>
        <v>46.072892519166132</v>
      </c>
      <c r="BK354" s="1">
        <f t="shared" si="82"/>
        <v>-23.227904504812116</v>
      </c>
      <c r="BO354" s="1">
        <f t="shared" si="83"/>
        <v>31.553645709490358</v>
      </c>
      <c r="BP354" s="1">
        <f t="shared" si="84"/>
        <v>-27.21891602629757</v>
      </c>
      <c r="BT354" s="1">
        <f t="shared" si="85"/>
        <v>40.841029086936928</v>
      </c>
      <c r="BU354" s="1">
        <f t="shared" si="86"/>
        <v>-42.892994165096241</v>
      </c>
    </row>
    <row r="355" spans="49:73">
      <c r="AW355" s="1">
        <v>345</v>
      </c>
      <c r="AX355" s="1">
        <f t="shared" si="87"/>
        <v>172.5</v>
      </c>
      <c r="AZ355" s="1">
        <f t="shared" si="88"/>
        <v>-69926.226448139772</v>
      </c>
      <c r="BA355" s="1">
        <f t="shared" si="89"/>
        <v>52288.530601711762</v>
      </c>
      <c r="BC355" s="1">
        <f t="shared" si="90"/>
        <v>-1257.6923248125927</v>
      </c>
      <c r="BD355" s="1">
        <f t="shared" si="91"/>
        <v>-470.88211520749451</v>
      </c>
      <c r="BF355" s="1">
        <f t="shared" si="79"/>
        <v>118.10579534759589</v>
      </c>
      <c r="BG355" s="1">
        <f t="shared" si="80"/>
        <v>-91.812039520712489</v>
      </c>
      <c r="BJ355" s="1">
        <f t="shared" si="81"/>
        <v>45.756063830231177</v>
      </c>
      <c r="BK355" s="1">
        <f t="shared" si="82"/>
        <v>-22.789201170984736</v>
      </c>
      <c r="BO355" s="1">
        <f t="shared" si="83"/>
        <v>31.470053213117875</v>
      </c>
      <c r="BP355" s="1">
        <f t="shared" si="84"/>
        <v>-26.655775992259446</v>
      </c>
      <c r="BT355" s="1">
        <f t="shared" si="85"/>
        <v>40.879678304246838</v>
      </c>
      <c r="BU355" s="1">
        <f t="shared" si="86"/>
        <v>-42.367062357468313</v>
      </c>
    </row>
    <row r="356" spans="49:73">
      <c r="AW356" s="1">
        <v>346</v>
      </c>
      <c r="AX356" s="1">
        <f t="shared" si="87"/>
        <v>173</v>
      </c>
      <c r="AZ356" s="1">
        <f t="shared" si="88"/>
        <v>-70540.309386127614</v>
      </c>
      <c r="BA356" s="1">
        <f t="shared" si="89"/>
        <v>52041.613039167925</v>
      </c>
      <c r="BC356" s="1">
        <f t="shared" si="90"/>
        <v>-1198.6394271387946</v>
      </c>
      <c r="BD356" s="1">
        <f t="shared" si="91"/>
        <v>-516.78813496785074</v>
      </c>
      <c r="BF356" s="1">
        <f t="shared" si="79"/>
        <v>117.82440710551285</v>
      </c>
      <c r="BG356" s="1">
        <f t="shared" si="80"/>
        <v>-90.377657517342698</v>
      </c>
      <c r="BJ356" s="1">
        <f t="shared" si="81"/>
        <v>45.473218313360881</v>
      </c>
      <c r="BK356" s="1">
        <f t="shared" si="82"/>
        <v>-22.370704358004545</v>
      </c>
      <c r="BO356" s="1">
        <f t="shared" si="83"/>
        <v>31.411323904900829</v>
      </c>
      <c r="BP356" s="1">
        <f t="shared" si="84"/>
        <v>-26.129296411079778</v>
      </c>
      <c r="BT356" s="1">
        <f t="shared" si="85"/>
        <v>40.939864887251133</v>
      </c>
      <c r="BU356" s="1">
        <f t="shared" si="86"/>
        <v>-41.877656748258367</v>
      </c>
    </row>
    <row r="357" spans="49:73">
      <c r="AW357" s="1">
        <v>347</v>
      </c>
      <c r="AX357" s="1">
        <f t="shared" si="87"/>
        <v>173.5</v>
      </c>
      <c r="AZ357" s="1">
        <f t="shared" si="88"/>
        <v>-71124.90104880881</v>
      </c>
      <c r="BA357" s="1">
        <f t="shared" si="89"/>
        <v>51771.921764494335</v>
      </c>
      <c r="BC357" s="1">
        <f t="shared" si="90"/>
        <v>-1139.7272235860382</v>
      </c>
      <c r="BD357" s="1">
        <f t="shared" si="91"/>
        <v>-561.97696372652206</v>
      </c>
      <c r="BF357" s="1">
        <f t="shared" si="79"/>
        <v>117.62207391286441</v>
      </c>
      <c r="BG357" s="1">
        <f t="shared" si="80"/>
        <v>-89.031191259300527</v>
      </c>
      <c r="BJ357" s="1">
        <f t="shared" si="81"/>
        <v>45.223092668254083</v>
      </c>
      <c r="BK357" s="1">
        <f t="shared" si="82"/>
        <v>-21.971088006834041</v>
      </c>
      <c r="BO357" s="1">
        <f t="shared" si="83"/>
        <v>31.377238996645485</v>
      </c>
      <c r="BP357" s="1">
        <f t="shared" si="84"/>
        <v>-25.636970354278159</v>
      </c>
      <c r="BT357" s="1">
        <f t="shared" si="85"/>
        <v>41.021742247964831</v>
      </c>
      <c r="BU357" s="1">
        <f t="shared" si="86"/>
        <v>-41.423132898188321</v>
      </c>
    </row>
    <row r="358" spans="49:73">
      <c r="AW358" s="1">
        <v>348</v>
      </c>
      <c r="AX358" s="1">
        <f t="shared" si="87"/>
        <v>174</v>
      </c>
      <c r="AZ358" s="1">
        <f t="shared" si="88"/>
        <v>-71680.061901362715</v>
      </c>
      <c r="BA358" s="1">
        <f t="shared" si="89"/>
        <v>51479.804383723662</v>
      </c>
      <c r="BC358" s="1">
        <f t="shared" si="90"/>
        <v>-1080.916186629606</v>
      </c>
      <c r="BD358" s="1">
        <f t="shared" si="91"/>
        <v>-606.49255935617236</v>
      </c>
      <c r="BF358" s="1">
        <f t="shared" si="79"/>
        <v>117.49775975963011</v>
      </c>
      <c r="BG358" s="1">
        <f t="shared" si="80"/>
        <v>-87.767665038442573</v>
      </c>
      <c r="BJ358" s="1">
        <f t="shared" si="81"/>
        <v>45.004574399307806</v>
      </c>
      <c r="BK358" s="1">
        <f t="shared" si="82"/>
        <v>-21.589125676897861</v>
      </c>
      <c r="BO358" s="1">
        <f t="shared" si="83"/>
        <v>31.367664979416968</v>
      </c>
      <c r="BP358" s="1">
        <f t="shared" si="84"/>
        <v>-25.176529583183154</v>
      </c>
      <c r="BT358" s="1">
        <f t="shared" si="85"/>
        <v>41.125520380905343</v>
      </c>
      <c r="BU358" s="1">
        <f t="shared" si="86"/>
        <v>-41.002009778361554</v>
      </c>
    </row>
    <row r="359" spans="49:73">
      <c r="AW359" s="1">
        <v>349</v>
      </c>
      <c r="AX359" s="1">
        <f t="shared" si="87"/>
        <v>174.5</v>
      </c>
      <c r="AZ359" s="1">
        <f t="shared" si="88"/>
        <v>-72205.832774707567</v>
      </c>
      <c r="BA359" s="1">
        <f t="shared" si="89"/>
        <v>51165.587145915764</v>
      </c>
      <c r="BC359" s="1">
        <f t="shared" si="90"/>
        <v>-1022.167306749791</v>
      </c>
      <c r="BD359" s="1">
        <f t="shared" si="91"/>
        <v>-650.37639187539367</v>
      </c>
      <c r="BF359" s="1">
        <f t="shared" si="79"/>
        <v>117.45071239310218</v>
      </c>
      <c r="BG359" s="1">
        <f t="shared" si="80"/>
        <v>-86.58255527579044</v>
      </c>
      <c r="BJ359" s="1">
        <f t="shared" si="81"/>
        <v>44.816690293598832</v>
      </c>
      <c r="BK359" s="1">
        <f t="shared" si="82"/>
        <v>-21.223680072259548</v>
      </c>
      <c r="BO359" s="1">
        <f t="shared" si="83"/>
        <v>31.382554229925987</v>
      </c>
      <c r="BP359" s="1">
        <f t="shared" si="84"/>
        <v>-24.745918269104408</v>
      </c>
      <c r="BT359" s="1">
        <f t="shared" si="85"/>
        <v>41.251467869577375</v>
      </c>
      <c r="BU359" s="1">
        <f t="shared" si="86"/>
        <v>-40.612956934426478</v>
      </c>
    </row>
    <row r="360" spans="49:73">
      <c r="AW360" s="1">
        <v>350</v>
      </c>
      <c r="AX360" s="1">
        <f t="shared" si="87"/>
        <v>175</v>
      </c>
      <c r="AZ360" s="1">
        <f t="shared" si="88"/>
        <v>-72702.235089033318</v>
      </c>
      <c r="BA360" s="1">
        <f t="shared" si="89"/>
        <v>50829.576130568588</v>
      </c>
      <c r="BC360" s="1">
        <f t="shared" si="90"/>
        <v>-963.44195055323996</v>
      </c>
      <c r="BD360" s="1">
        <f t="shared" si="91"/>
        <v>-693.66766951328884</v>
      </c>
      <c r="BF360" s="1">
        <f t="shared" si="79"/>
        <v>117.48045673029569</v>
      </c>
      <c r="BG360" s="1">
        <f t="shared" si="80"/>
        <v>-85.471746953875652</v>
      </c>
      <c r="BJ360" s="1">
        <f t="shared" si="81"/>
        <v>44.658596524626944</v>
      </c>
      <c r="BK360" s="1">
        <f t="shared" si="82"/>
        <v>-20.873693672431035</v>
      </c>
      <c r="BO360" s="1">
        <f t="shared" si="83"/>
        <v>31.421946019112433</v>
      </c>
      <c r="BP360" s="1">
        <f t="shared" si="84"/>
        <v>-24.343269976891978</v>
      </c>
      <c r="BT360" s="1">
        <f t="shared" si="85"/>
        <v>41.399914186556316</v>
      </c>
      <c r="BU360" s="1">
        <f t="shared" si="86"/>
        <v>-40.254783304552632</v>
      </c>
    </row>
    <row r="361" spans="49:73">
      <c r="AW361" s="1">
        <v>351</v>
      </c>
      <c r="AX361" s="1">
        <f t="shared" si="87"/>
        <v>175.5</v>
      </c>
      <c r="AZ361" s="1">
        <f t="shared" si="88"/>
        <v>-73169.271007218646</v>
      </c>
      <c r="BA361" s="1">
        <f t="shared" si="89"/>
        <v>50472.058327442704</v>
      </c>
      <c r="BC361" s="1">
        <f t="shared" si="90"/>
        <v>-904.70172218809216</v>
      </c>
      <c r="BD361" s="1">
        <f t="shared" si="91"/>
        <v>-736.4035429902267</v>
      </c>
      <c r="BF361" s="1">
        <f t="shared" si="79"/>
        <v>117.58679052271569</v>
      </c>
      <c r="BG361" s="1">
        <f t="shared" si="80"/>
        <v>-84.431495260804169</v>
      </c>
      <c r="BJ361" s="1">
        <f t="shared" si="81"/>
        <v>44.529570195591774</v>
      </c>
      <c r="BK361" s="1">
        <f t="shared" si="82"/>
        <v>-20.538180314759206</v>
      </c>
      <c r="BO361" s="1">
        <f t="shared" si="83"/>
        <v>31.485967997216324</v>
      </c>
      <c r="BP361" s="1">
        <f t="shared" si="84"/>
        <v>-23.966887435908699</v>
      </c>
      <c r="BT361" s="1">
        <f t="shared" si="85"/>
        <v>41.571252329907601</v>
      </c>
      <c r="BU361" s="1">
        <f t="shared" si="86"/>
        <v>-39.926427510136264</v>
      </c>
    </row>
    <row r="362" spans="49:73">
      <c r="AW362" s="1">
        <v>352</v>
      </c>
      <c r="AX362" s="1">
        <f t="shared" si="87"/>
        <v>176</v>
      </c>
      <c r="AZ362" s="1">
        <f t="shared" si="88"/>
        <v>-73606.923519497359</v>
      </c>
      <c r="BA362" s="1">
        <f t="shared" si="89"/>
        <v>50093.302619039991</v>
      </c>
      <c r="BC362" s="1">
        <f t="shared" si="90"/>
        <v>-845.90832692673428</v>
      </c>
      <c r="BD362" s="1">
        <f t="shared" si="91"/>
        <v>-778.61929062062882</v>
      </c>
      <c r="BF362" s="1">
        <f t="shared" si="79"/>
        <v>117.76978223139061</v>
      </c>
      <c r="BG362" s="1">
        <f t="shared" si="80"/>
        <v>-83.458391756791684</v>
      </c>
      <c r="BJ362" s="1">
        <f t="shared" si="81"/>
        <v>44.42900216688934</v>
      </c>
      <c r="BK362" s="1">
        <f t="shared" si="82"/>
        <v>-20.216217595936033</v>
      </c>
      <c r="BO362" s="1">
        <f t="shared" si="83"/>
        <v>31.574838224224781</v>
      </c>
      <c r="BP362" s="1">
        <f t="shared" si="84"/>
        <v>-23.615224694075959</v>
      </c>
      <c r="BT362" s="1">
        <f t="shared" si="85"/>
        <v>41.765941840276483</v>
      </c>
      <c r="BU362" s="1">
        <f t="shared" si="86"/>
        <v>-39.626949466779692</v>
      </c>
    </row>
    <row r="363" spans="49:73">
      <c r="AW363" s="1">
        <v>353</v>
      </c>
      <c r="AX363" s="1">
        <f t="shared" si="87"/>
        <v>176.5</v>
      </c>
      <c r="AZ363" s="1">
        <f t="shared" si="88"/>
        <v>-74015.156460181795</v>
      </c>
      <c r="BA363" s="1">
        <f t="shared" si="89"/>
        <v>49693.560674760076</v>
      </c>
      <c r="BC363" s="1">
        <f t="shared" si="90"/>
        <v>-787.02343581103901</v>
      </c>
      <c r="BD363" s="1">
        <f t="shared" si="91"/>
        <v>-820.3484864990246</v>
      </c>
      <c r="BF363" s="1">
        <f t="shared" si="79"/>
        <v>118.02977109784575</v>
      </c>
      <c r="BG363" s="1">
        <f t="shared" si="80"/>
        <v>-82.549334474691904</v>
      </c>
      <c r="BJ363" s="1">
        <f t="shared" si="81"/>
        <v>44.356391038860757</v>
      </c>
      <c r="BK363" s="1">
        <f t="shared" si="82"/>
        <v>-19.906939977323912</v>
      </c>
      <c r="BO363" s="1">
        <f t="shared" si="83"/>
        <v>31.688867813110658</v>
      </c>
      <c r="BP363" s="1">
        <f t="shared" si="84"/>
        <v>-23.286871309562919</v>
      </c>
      <c r="BT363" s="1">
        <f t="shared" si="85"/>
        <v>41.984512245874349</v>
      </c>
      <c r="BU363" s="1">
        <f t="shared" si="86"/>
        <v>-39.355523187805076</v>
      </c>
    </row>
    <row r="364" spans="49:73">
      <c r="AW364" s="1">
        <v>354</v>
      </c>
      <c r="AX364" s="1">
        <f t="shared" si="87"/>
        <v>177</v>
      </c>
      <c r="AZ364" s="1">
        <f t="shared" si="88"/>
        <v>-74393.914456700091</v>
      </c>
      <c r="BA364" s="1">
        <f t="shared" si="89"/>
        <v>49273.067764701227</v>
      </c>
      <c r="BC364" s="1">
        <f t="shared" si="90"/>
        <v>-728.00855026211616</v>
      </c>
      <c r="BD364" s="1">
        <f t="shared" si="91"/>
        <v>-861.62315373637057</v>
      </c>
      <c r="BF364" s="1">
        <f t="shared" si="79"/>
        <v>118.36736942525968</v>
      </c>
      <c r="BG364" s="1">
        <f t="shared" si="80"/>
        <v>-81.701501450142018</v>
      </c>
      <c r="BJ364" s="1">
        <f t="shared" si="81"/>
        <v>44.311338183416126</v>
      </c>
      <c r="BK364" s="1">
        <f t="shared" si="82"/>
        <v>-19.609532493003304</v>
      </c>
      <c r="BO364" s="1">
        <f t="shared" si="83"/>
        <v>31.828464255118845</v>
      </c>
      <c r="BP364" s="1">
        <f t="shared" si="84"/>
        <v>-22.980538283059378</v>
      </c>
      <c r="BT364" s="1">
        <f t="shared" si="85"/>
        <v>42.227566986724717</v>
      </c>
      <c r="BU364" s="1">
        <f t="shared" si="86"/>
        <v>-39.111430674079344</v>
      </c>
    </row>
    <row r="365" spans="49:73">
      <c r="AW365" s="1">
        <v>355</v>
      </c>
      <c r="AX365" s="1">
        <f t="shared" si="87"/>
        <v>177.5</v>
      </c>
      <c r="AZ365" s="1">
        <f t="shared" si="88"/>
        <v>-74743.122810652989</v>
      </c>
      <c r="BA365" s="1">
        <f t="shared" si="89"/>
        <v>48832.043500151776</v>
      </c>
      <c r="BC365" s="1">
        <f t="shared" si="90"/>
        <v>-668.82486554948628</v>
      </c>
      <c r="BD365" s="1">
        <f t="shared" si="91"/>
        <v>-902.47390446144163</v>
      </c>
      <c r="BF365" s="1">
        <f t="shared" si="79"/>
        <v>118.7834671138809</v>
      </c>
      <c r="BG365" s="1">
        <f t="shared" si="80"/>
        <v>-80.912327247247646</v>
      </c>
      <c r="BJ365" s="1">
        <f t="shared" si="81"/>
        <v>44.293543737768374</v>
      </c>
      <c r="BK365" s="1">
        <f t="shared" si="82"/>
        <v>-19.323224971210973</v>
      </c>
      <c r="BO365" s="1">
        <f t="shared" si="83"/>
        <v>31.994135501157267</v>
      </c>
      <c r="BP365" s="1">
        <f t="shared" si="84"/>
        <v>-22.695045473162505</v>
      </c>
      <c r="BT365" s="1">
        <f t="shared" si="85"/>
        <v>42.495787874955248</v>
      </c>
      <c r="BU365" s="1">
        <f t="shared" si="86"/>
        <v>-38.894056802874161</v>
      </c>
    </row>
    <row r="366" spans="49:73">
      <c r="AW366" s="1">
        <v>356</v>
      </c>
      <c r="AX366" s="1">
        <f t="shared" si="87"/>
        <v>178</v>
      </c>
      <c r="AZ366" s="1">
        <f t="shared" si="88"/>
        <v>-75062.687310038498</v>
      </c>
      <c r="BA366" s="1">
        <f t="shared" si="89"/>
        <v>48370.692507015148</v>
      </c>
      <c r="BC366" s="1">
        <f t="shared" si="90"/>
        <v>-609.43313199254578</v>
      </c>
      <c r="BD366" s="1">
        <f t="shared" si="91"/>
        <v>-942.9300680850655</v>
      </c>
      <c r="BF366" s="1">
        <f t="shared" si="79"/>
        <v>119.27923852635256</v>
      </c>
      <c r="BG366" s="1">
        <f t="shared" si="80"/>
        <v>-80.179482104472513</v>
      </c>
      <c r="BJ366" s="1">
        <f t="shared" si="81"/>
        <v>44.302803490739031</v>
      </c>
      <c r="BK366" s="1">
        <f t="shared" si="82"/>
        <v>-19.047286689501213</v>
      </c>
      <c r="BO366" s="1">
        <f t="shared" si="83"/>
        <v>32.186494880895516</v>
      </c>
      <c r="BP366" s="1">
        <f t="shared" si="84"/>
        <v>-22.429310269575279</v>
      </c>
      <c r="BT366" s="1">
        <f t="shared" si="85"/>
        <v>42.78994015471801</v>
      </c>
      <c r="BU366" s="1">
        <f t="shared" si="86"/>
        <v>-38.702885145396024</v>
      </c>
    </row>
    <row r="367" spans="49:73">
      <c r="AW367" s="1">
        <v>357</v>
      </c>
      <c r="AX367" s="1">
        <f t="shared" si="87"/>
        <v>178.5</v>
      </c>
      <c r="AZ367" s="1">
        <f t="shared" si="88"/>
        <v>-75352.493971218981</v>
      </c>
      <c r="BA367" s="1">
        <f t="shared" si="89"/>
        <v>47889.205037709551</v>
      </c>
      <c r="BC367" s="1">
        <f t="shared" si="90"/>
        <v>-549.79351272936947</v>
      </c>
      <c r="BD367" s="1">
        <f t="shared" si="91"/>
        <v>-983.01980913730176</v>
      </c>
      <c r="BF367" s="1">
        <f t="shared" si="79"/>
        <v>119.85615179244418</v>
      </c>
      <c r="BG367" s="1">
        <f t="shared" si="80"/>
        <v>-79.500853374375012</v>
      </c>
      <c r="BJ367" s="1">
        <f t="shared" si="81"/>
        <v>44.339006607409765</v>
      </c>
      <c r="BK367" s="1">
        <f t="shared" si="82"/>
        <v>-18.781021391800913</v>
      </c>
      <c r="BO367" s="1">
        <f t="shared" si="83"/>
        <v>32.406266951459322</v>
      </c>
      <c r="BP367" s="1">
        <f t="shared" si="84"/>
        <v>-22.182337324656473</v>
      </c>
      <c r="BT367" s="1">
        <f t="shared" si="85"/>
        <v>43.110878233575093</v>
      </c>
      <c r="BU367" s="1">
        <f t="shared" si="86"/>
        <v>-38.537494657917627</v>
      </c>
    </row>
    <row r="368" spans="49:73">
      <c r="AW368" s="1">
        <v>358</v>
      </c>
      <c r="AX368" s="1">
        <f t="shared" si="87"/>
        <v>179</v>
      </c>
      <c r="AZ368" s="1">
        <f t="shared" si="88"/>
        <v>-75612.408708609611</v>
      </c>
      <c r="BA368" s="1">
        <f t="shared" si="89"/>
        <v>47387.757526469104</v>
      </c>
      <c r="BC368" s="1">
        <f t="shared" si="90"/>
        <v>-489.86543683314738</v>
      </c>
      <c r="BD368" s="1">
        <f t="shared" si="91"/>
        <v>-1022.7702358244893</v>
      </c>
      <c r="BF368" s="1">
        <f t="shared" si="79"/>
        <v>120.51598069959468</v>
      </c>
      <c r="BG368" s="1">
        <f t="shared" si="80"/>
        <v>-78.874528971526459</v>
      </c>
      <c r="BJ368" s="1">
        <f t="shared" si="81"/>
        <v>44.402134151778164</v>
      </c>
      <c r="BK368" s="1">
        <f t="shared" si="82"/>
        <v>-18.5237626017929</v>
      </c>
      <c r="BO368" s="1">
        <f t="shared" si="83"/>
        <v>32.654294380680057</v>
      </c>
      <c r="BP368" s="1">
        <f t="shared" si="84"/>
        <v>-21.953209164159073</v>
      </c>
      <c r="BT368" s="1">
        <f t="shared" si="85"/>
        <v>43.459552167136451</v>
      </c>
      <c r="BU368" s="1">
        <f t="shared" si="86"/>
        <v>-38.397557205574486</v>
      </c>
    </row>
    <row r="369" spans="49:73">
      <c r="AW369" s="1">
        <v>359</v>
      </c>
      <c r="AX369" s="1">
        <f t="shared" si="87"/>
        <v>179.5</v>
      </c>
      <c r="AZ369" s="1">
        <f t="shared" si="88"/>
        <v>-75842.27692943874</v>
      </c>
      <c r="BA369" s="1">
        <f t="shared" si="89"/>
        <v>46866.513092435423</v>
      </c>
      <c r="BC369" s="1">
        <f t="shared" si="90"/>
        <v>-429.60744648335003</v>
      </c>
      <c r="BD369" s="1">
        <f t="shared" si="91"/>
        <v>-1062.2075003102525</v>
      </c>
      <c r="BF369" s="1">
        <f t="shared" si="79"/>
        <v>121.26081935638791</v>
      </c>
      <c r="BG369" s="1">
        <f t="shared" si="80"/>
        <v>-78.298782576444566</v>
      </c>
      <c r="BJ369" s="1">
        <f t="shared" si="81"/>
        <v>44.492258379848181</v>
      </c>
      <c r="BK369" s="1">
        <f t="shared" si="82"/>
        <v>-18.274869171898022</v>
      </c>
      <c r="BO369" s="1">
        <f t="shared" si="83"/>
        <v>32.931545985987121</v>
      </c>
      <c r="BP369" s="1">
        <f t="shared" si="84"/>
        <v>-21.741077513379533</v>
      </c>
      <c r="BT369" s="1">
        <f t="shared" si="85"/>
        <v>43.837014990552596</v>
      </c>
      <c r="BU369" s="1">
        <f t="shared" si="86"/>
        <v>-38.282835891167011</v>
      </c>
    </row>
    <row r="370" spans="49:73">
      <c r="AW370" s="1">
        <v>360</v>
      </c>
      <c r="AX370" s="1">
        <f t="shared" si="87"/>
        <v>180</v>
      </c>
      <c r="AZ370" s="1">
        <f t="shared" si="88"/>
        <v>-76041.923050260855</v>
      </c>
      <c r="BA370" s="1">
        <f t="shared" si="89"/>
        <v>46325.621994458241</v>
      </c>
      <c r="BC370" s="1">
        <f t="shared" si="90"/>
        <v>-368.9770368051561</v>
      </c>
      <c r="BD370" s="1">
        <f t="shared" si="91"/>
        <v>-1101.3568915984747</v>
      </c>
      <c r="BF370" s="1">
        <f t="shared" si="79"/>
        <v>122.09309986164982</v>
      </c>
      <c r="BG370" s="1">
        <f t="shared" si="80"/>
        <v>-77.77206037058329</v>
      </c>
      <c r="BJ370" s="1">
        <f t="shared" si="81"/>
        <v>44.609542787626616</v>
      </c>
      <c r="BK370" s="1">
        <f t="shared" si="82"/>
        <v>-18.033721010684175</v>
      </c>
      <c r="BO370" s="1">
        <f t="shared" si="83"/>
        <v>33.239126069519102</v>
      </c>
      <c r="BP370" s="1">
        <f t="shared" si="84"/>
        <v>-21.545155185781461</v>
      </c>
      <c r="BT370" s="1">
        <f t="shared" si="85"/>
        <v>44.244431004504094</v>
      </c>
      <c r="BU370" s="1">
        <f t="shared" si="86"/>
        <v>-38.193184174117647</v>
      </c>
    </row>
    <row r="371" spans="49:73">
      <c r="AW371" s="1">
        <v>361</v>
      </c>
      <c r="AX371" s="1">
        <f t="shared" si="87"/>
        <v>180.5</v>
      </c>
      <c r="AZ371" s="1">
        <f t="shared" si="88"/>
        <v>-76211.149931180727</v>
      </c>
      <c r="BA371" s="1">
        <f t="shared" si="89"/>
        <v>45765.222041112676</v>
      </c>
      <c r="BC371" s="1">
        <f t="shared" si="90"/>
        <v>-307.93048687433122</v>
      </c>
      <c r="BD371" s="1">
        <f t="shared" si="91"/>
        <v>-1140.2429217837664</v>
      </c>
      <c r="BF371" s="1">
        <f t="shared" si="79"/>
        <v>123.01561326337713</v>
      </c>
      <c r="BG371" s="1">
        <f t="shared" si="80"/>
        <v>-77.292969098928239</v>
      </c>
      <c r="BJ371" s="1">
        <f t="shared" si="81"/>
        <v>44.754242910067866</v>
      </c>
      <c r="BK371" s="1">
        <f t="shared" si="82"/>
        <v>-17.799714933878278</v>
      </c>
      <c r="BO371" s="1">
        <f t="shared" si="83"/>
        <v>33.57828521339372</v>
      </c>
      <c r="BP371" s="1">
        <f t="shared" si="84"/>
        <v>-21.364708387697824</v>
      </c>
      <c r="BT371" s="1">
        <f t="shared" si="85"/>
        <v>44.683085139915548</v>
      </c>
      <c r="BU371" s="1">
        <f t="shared" si="86"/>
        <v>-38.12854577735213</v>
      </c>
    </row>
    <row r="372" spans="49:73">
      <c r="AW372" s="1">
        <v>362</v>
      </c>
      <c r="AX372" s="1">
        <f t="shared" si="87"/>
        <v>181</v>
      </c>
      <c r="AZ372" s="1">
        <f t="shared" si="88"/>
        <v>-76349.738222959975</v>
      </c>
      <c r="BA372" s="1">
        <f t="shared" si="89"/>
        <v>45185.438959083425</v>
      </c>
      <c r="BC372" s="1">
        <f t="shared" si="90"/>
        <v>-246.42268024264266</v>
      </c>
      <c r="BD372" s="1">
        <f t="shared" si="91"/>
        <v>-1178.8894063332305</v>
      </c>
      <c r="BF372" s="1">
        <f t="shared" si="79"/>
        <v>124.03153415064679</v>
      </c>
      <c r="BG372" s="1">
        <f t="shared" si="80"/>
        <v>-76.860265273024112</v>
      </c>
      <c r="BJ372" s="1">
        <f t="shared" si="81"/>
        <v>44.926707878435685</v>
      </c>
      <c r="BK372" s="1">
        <f t="shared" si="82"/>
        <v>-17.572260585362979</v>
      </c>
      <c r="BO372" s="1">
        <f t="shared" si="83"/>
        <v>33.950432726948847</v>
      </c>
      <c r="BP372" s="1">
        <f t="shared" si="84"/>
        <v>-21.199049294993838</v>
      </c>
      <c r="BT372" s="1">
        <f t="shared" si="85"/>
        <v>45.154393545262245</v>
      </c>
      <c r="BU372" s="1">
        <f t="shared" si="86"/>
        <v>-38.088955392667302</v>
      </c>
    </row>
    <row r="373" spans="49:73">
      <c r="AW373" s="1">
        <v>363</v>
      </c>
      <c r="AX373" s="1">
        <f t="shared" si="87"/>
        <v>181.5</v>
      </c>
      <c r="AZ373" s="1">
        <f t="shared" si="88"/>
        <v>-76457.445621312479</v>
      </c>
      <c r="BA373" s="1">
        <f t="shared" si="89"/>
        <v>44586.386722757685</v>
      </c>
      <c r="BC373" s="1">
        <f t="shared" si="90"/>
        <v>-184.40691316731926</v>
      </c>
      <c r="BD373" s="1">
        <f t="shared" si="91"/>
        <v>-1217.3195389697426</v>
      </c>
      <c r="BF373" s="1">
        <f t="shared" si="79"/>
        <v>125.14444928959378</v>
      </c>
      <c r="BG373" s="1">
        <f t="shared" si="80"/>
        <v>-76.472845338461909</v>
      </c>
      <c r="BJ373" s="1">
        <f t="shared" si="81"/>
        <v>45.127382755072809</v>
      </c>
      <c r="BK373" s="1">
        <f t="shared" si="82"/>
        <v>-17.350776374600038</v>
      </c>
      <c r="BO373" s="1">
        <f t="shared" si="83"/>
        <v>34.357150970940573</v>
      </c>
      <c r="BP373" s="1">
        <f t="shared" si="84"/>
        <v>-21.047528755437444</v>
      </c>
      <c r="BT373" s="1">
        <f t="shared" si="85"/>
        <v>45.659915563580398</v>
      </c>
      <c r="BU373" s="1">
        <f t="shared" si="86"/>
        <v>-38.074540208424423</v>
      </c>
    </row>
    <row r="374" spans="49:73">
      <c r="AW374" s="1">
        <v>364</v>
      </c>
      <c r="AX374" s="1">
        <f t="shared" si="87"/>
        <v>182</v>
      </c>
      <c r="AZ374" s="1">
        <f t="shared" si="88"/>
        <v>-76534.006021734953</v>
      </c>
      <c r="BA374" s="1">
        <f t="shared" si="89"/>
        <v>43968.167847605509</v>
      </c>
      <c r="BC374" s="1">
        <f t="shared" si="90"/>
        <v>-121.83468852252237</v>
      </c>
      <c r="BD374" s="1">
        <f t="shared" si="91"/>
        <v>-1255.5559616389735</v>
      </c>
      <c r="BF374" s="1">
        <f t="shared" si="79"/>
        <v>126.35839079356619</v>
      </c>
      <c r="BG374" s="1">
        <f t="shared" si="80"/>
        <v>-76.129736637026951</v>
      </c>
      <c r="BJ374" s="1">
        <f t="shared" si="81"/>
        <v>45.356811676491589</v>
      </c>
      <c r="BK374" s="1">
        <f t="shared" si="82"/>
        <v>-17.134685375826081</v>
      </c>
      <c r="BO374" s="1">
        <f t="shared" si="83"/>
        <v>34.800211823213139</v>
      </c>
      <c r="BP374" s="1">
        <f t="shared" si="84"/>
        <v>-20.909528963658833</v>
      </c>
      <c r="BT374" s="1">
        <f t="shared" si="85"/>
        <v>46.201367293861452</v>
      </c>
      <c r="BU374" s="1">
        <f t="shared" si="86"/>
        <v>-38.085522297542042</v>
      </c>
    </row>
    <row r="375" spans="49:73">
      <c r="AW375" s="1">
        <v>365</v>
      </c>
      <c r="AX375" s="1">
        <f t="shared" si="87"/>
        <v>182.5</v>
      </c>
      <c r="AZ375" s="1">
        <f t="shared" si="88"/>
        <v>-76579.128567147025</v>
      </c>
      <c r="BA375" s="1">
        <f t="shared" si="89"/>
        <v>43330.873649706395</v>
      </c>
      <c r="BC375" s="1">
        <f t="shared" si="90"/>
        <v>-58.655493125739277</v>
      </c>
      <c r="BD375" s="1">
        <f t="shared" si="91"/>
        <v>-1293.6208299574869</v>
      </c>
      <c r="BF375" s="1">
        <f t="shared" si="79"/>
        <v>127.67787441009054</v>
      </c>
      <c r="BG375" s="1">
        <f t="shared" si="80"/>
        <v>-75.830088994611828</v>
      </c>
      <c r="BJ375" s="1">
        <f t="shared" si="81"/>
        <v>45.615641848313615</v>
      </c>
      <c r="BK375" s="1">
        <f t="shared" si="82"/>
        <v>-16.92341113205249</v>
      </c>
      <c r="BO375" s="1">
        <f t="shared" si="83"/>
        <v>35.281595597488185</v>
      </c>
      <c r="BP375" s="1">
        <f t="shared" si="84"/>
        <v>-20.78445594340149</v>
      </c>
      <c r="BT375" s="1">
        <f t="shared" si="85"/>
        <v>46.780636964288739</v>
      </c>
      <c r="BU375" s="1">
        <f t="shared" si="86"/>
        <v>-38.122221919157859</v>
      </c>
    </row>
    <row r="376" spans="49:73">
      <c r="AW376" s="1">
        <v>366</v>
      </c>
      <c r="AX376" s="1">
        <f t="shared" si="87"/>
        <v>183</v>
      </c>
      <c r="AZ376" s="1">
        <f t="shared" si="88"/>
        <v>-76592.496579408631</v>
      </c>
      <c r="BA376" s="1">
        <f t="shared" si="89"/>
        <v>42674.584473603318</v>
      </c>
      <c r="BC376" s="1">
        <f t="shared" si="90"/>
        <v>5.1834440793059926</v>
      </c>
      <c r="BD376" s="1">
        <f t="shared" si="91"/>
        <v>-1331.5358744547927</v>
      </c>
      <c r="BF376" s="1">
        <f t="shared" si="79"/>
        <v>129.10794361626682</v>
      </c>
      <c r="BG376" s="1">
        <f t="shared" si="80"/>
        <v>-75.573166761134303</v>
      </c>
      <c r="BJ376" s="1">
        <f t="shared" si="81"/>
        <v>45.904628449191463</v>
      </c>
      <c r="BK376" s="1">
        <f t="shared" si="82"/>
        <v>-16.716373303262067</v>
      </c>
      <c r="BO376" s="1">
        <f t="shared" si="83"/>
        <v>35.80351278325449</v>
      </c>
      <c r="BP376" s="1">
        <f t="shared" si="84"/>
        <v>-20.67173165344758</v>
      </c>
      <c r="BT376" s="1">
        <f t="shared" si="85"/>
        <v>47.399802383820855</v>
      </c>
      <c r="BU376" s="1">
        <f t="shared" si="86"/>
        <v>-38.185061804424663</v>
      </c>
    </row>
    <row r="377" spans="49:73">
      <c r="AW377" s="1">
        <v>367</v>
      </c>
      <c r="AX377" s="1">
        <f t="shared" si="87"/>
        <v>183.5</v>
      </c>
      <c r="AZ377" s="1">
        <f t="shared" si="88"/>
        <v>-76573.766364416952</v>
      </c>
      <c r="BA377" s="1">
        <f t="shared" si="89"/>
        <v>41999.369890530776</v>
      </c>
      <c r="BC377" s="1">
        <f t="shared" si="90"/>
        <v>69.737415887439397</v>
      </c>
      <c r="BD377" s="1">
        <f t="shared" si="91"/>
        <v>-1369.32245783536</v>
      </c>
      <c r="BF377" s="1">
        <f t="shared" si="79"/>
        <v>130.65422034339218</v>
      </c>
      <c r="BG377" s="1">
        <f t="shared" si="80"/>
        <v>-75.358341117337147</v>
      </c>
      <c r="BJ377" s="1">
        <f t="shared" si="81"/>
        <v>46.22464051581062</v>
      </c>
      <c r="BK377" s="1">
        <f t="shared" si="82"/>
        <v>-16.512983093091297</v>
      </c>
      <c r="BO377" s="1">
        <f t="shared" si="83"/>
        <v>36.368429042243314</v>
      </c>
      <c r="BP377" s="1">
        <f t="shared" si="84"/>
        <v>-20.570785507967113</v>
      </c>
      <c r="BT377" s="1">
        <f t="shared" si="85"/>
        <v>48.061150785338249</v>
      </c>
      <c r="BU377" s="1">
        <f t="shared" si="86"/>
        <v>-38.274572516278745</v>
      </c>
    </row>
    <row r="378" spans="49:73">
      <c r="AW378" s="1">
        <v>368</v>
      </c>
      <c r="AX378" s="1">
        <f t="shared" si="87"/>
        <v>184</v>
      </c>
      <c r="AZ378" s="1">
        <f t="shared" si="88"/>
        <v>-76522.565878930312</v>
      </c>
      <c r="BA378" s="1">
        <f t="shared" si="89"/>
        <v>41305.288868973432</v>
      </c>
      <c r="BC378" s="1">
        <f t="shared" si="90"/>
        <v>135.06452605913549</v>
      </c>
      <c r="BD378" s="1">
        <f t="shared" si="91"/>
        <v>-1407.0016283940286</v>
      </c>
      <c r="BF378" s="1">
        <f t="shared" si="79"/>
        <v>132.32296330541345</v>
      </c>
      <c r="BG378" s="1">
        <f t="shared" si="80"/>
        <v>-75.185082444255187</v>
      </c>
      <c r="BJ378" s="1">
        <f t="shared" si="81"/>
        <v>46.576667897793904</v>
      </c>
      <c r="BK378" s="1">
        <f t="shared" si="82"/>
        <v>-16.312638381517235</v>
      </c>
      <c r="BO378" s="1">
        <f t="shared" si="83"/>
        <v>36.979093978075667</v>
      </c>
      <c r="BP378" s="1">
        <f t="shared" si="84"/>
        <v>-20.481045067490541</v>
      </c>
      <c r="BT378" s="1">
        <f t="shared" si="85"/>
        <v>48.767201429543888</v>
      </c>
      <c r="BU378" s="1">
        <f t="shared" si="86"/>
        <v>-38.391398995247421</v>
      </c>
    </row>
    <row r="379" spans="49:73">
      <c r="AW379" s="1">
        <v>369</v>
      </c>
      <c r="AX379" s="1">
        <f t="shared" si="87"/>
        <v>184.5</v>
      </c>
      <c r="AZ379" s="1">
        <f t="shared" si="88"/>
        <v>-76438.493245487567</v>
      </c>
      <c r="BA379" s="1">
        <f t="shared" si="89"/>
        <v>40592.389919470879</v>
      </c>
      <c r="BC379" s="1">
        <f t="shared" si="90"/>
        <v>201.22600771184221</v>
      </c>
      <c r="BD379" s="1">
        <f t="shared" si="91"/>
        <v>-1444.5941696161563</v>
      </c>
      <c r="BF379" s="1">
        <f t="shared" si="79"/>
        <v>134.12113508991811</v>
      </c>
      <c r="BG379" s="1">
        <f t="shared" si="80"/>
        <v>-75.052952522770852</v>
      </c>
      <c r="BJ379" s="1">
        <f t="shared" si="81"/>
        <v>46.96182939025303</v>
      </c>
      <c r="BK379" s="1">
        <f t="shared" si="82"/>
        <v>-16.114718482359088</v>
      </c>
      <c r="BO379" s="1">
        <f t="shared" si="83"/>
        <v>37.638574293437358</v>
      </c>
      <c r="BP379" s="1">
        <f t="shared" si="84"/>
        <v>-20.401925611114205</v>
      </c>
      <c r="BT379" s="1">
        <f t="shared" si="85"/>
        <v>49.520731406227718</v>
      </c>
      <c r="BU379" s="1">
        <f t="shared" si="86"/>
        <v>-38.536308429297556</v>
      </c>
    </row>
    <row r="380" spans="49:73">
      <c r="AW380" s="1">
        <v>370</v>
      </c>
      <c r="AX380" s="1">
        <f t="shared" si="87"/>
        <v>185</v>
      </c>
      <c r="AZ380" s="1">
        <f t="shared" si="88"/>
        <v>-76321.11509974541</v>
      </c>
      <c r="BA380" s="1">
        <f t="shared" si="89"/>
        <v>39860.711215597454</v>
      </c>
      <c r="BC380" s="1">
        <f t="shared" si="90"/>
        <v>268.28657525680126</v>
      </c>
      <c r="BD380" s="1">
        <f t="shared" si="91"/>
        <v>-1482.1206458775416</v>
      </c>
      <c r="BF380" s="1">
        <f t="shared" si="79"/>
        <v>136.0564793916551</v>
      </c>
      <c r="BG380" s="1">
        <f t="shared" si="80"/>
        <v>-74.96159629071802</v>
      </c>
      <c r="BJ380" s="1">
        <f t="shared" si="81"/>
        <v>47.381382173432584</v>
      </c>
      <c r="BK380" s="1">
        <f t="shared" si="82"/>
        <v>-15.918578433425568</v>
      </c>
      <c r="BO380" s="1">
        <f t="shared" si="83"/>
        <v>38.350292067338891</v>
      </c>
      <c r="BP380" s="1">
        <f t="shared" si="84"/>
        <v>-20.332818241054341</v>
      </c>
      <c r="BT380" s="1">
        <f t="shared" si="85"/>
        <v>50.324805150883648</v>
      </c>
      <c r="BU380" s="1">
        <f t="shared" si="86"/>
        <v>-38.710199616238114</v>
      </c>
    </row>
    <row r="381" spans="49:73">
      <c r="AW381" s="1">
        <v>371</v>
      </c>
      <c r="AX381" s="1">
        <f t="shared" si="87"/>
        <v>185.5</v>
      </c>
      <c r="AZ381" s="1">
        <f t="shared" si="88"/>
        <v>-76169.96475219306</v>
      </c>
      <c r="BA381" s="1">
        <f t="shared" si="89"/>
        <v>39110.280693122346</v>
      </c>
      <c r="BC381" s="1">
        <f t="shared" si="90"/>
        <v>336.31481495262881</v>
      </c>
      <c r="BD381" s="1">
        <f t="shared" si="91"/>
        <v>-1519.6014440229005</v>
      </c>
      <c r="BF381" s="1">
        <f t="shared" si="79"/>
        <v>138.13761003580726</v>
      </c>
      <c r="BG381" s="1">
        <f t="shared" si="80"/>
        <v>-74.910732830471801</v>
      </c>
      <c r="BJ381" s="1">
        <f t="shared" si="81"/>
        <v>47.836732713999154</v>
      </c>
      <c r="BK381" s="1">
        <f t="shared" si="82"/>
        <v>-15.723542713442651</v>
      </c>
      <c r="BO381" s="1">
        <f t="shared" si="83"/>
        <v>39.118069028413075</v>
      </c>
      <c r="BP381" s="1">
        <f t="shared" si="84"/>
        <v>-20.273076093493192</v>
      </c>
      <c r="BT381" s="1">
        <f t="shared" si="85"/>
        <v>51.182808293395027</v>
      </c>
      <c r="BU381" s="1">
        <f t="shared" si="86"/>
        <v>-38.914114023535952</v>
      </c>
    </row>
    <row r="382" spans="49:73">
      <c r="AW382" s="1">
        <v>372</v>
      </c>
      <c r="AX382" s="1">
        <f t="shared" si="87"/>
        <v>186</v>
      </c>
      <c r="AZ382" s="1">
        <f t="shared" si="88"/>
        <v>-75984.540143462262</v>
      </c>
      <c r="BA382" s="1">
        <f t="shared" si="89"/>
        <v>38341.116129507085</v>
      </c>
      <c r="BC382" s="1">
        <f t="shared" si="90"/>
        <v>405.38361997053244</v>
      </c>
      <c r="BD382" s="1">
        <f t="shared" si="91"/>
        <v>-1557.0568104381364</v>
      </c>
      <c r="BF382" s="1">
        <f t="shared" si="79"/>
        <v>140.37411376224551</v>
      </c>
      <c r="BG382" s="1">
        <f t="shared" si="80"/>
        <v>-74.900145186710802</v>
      </c>
      <c r="BJ382" s="1">
        <f t="shared" si="81"/>
        <v>48.329449311840037</v>
      </c>
      <c r="BK382" s="1">
        <f t="shared" si="82"/>
        <v>-15.528898262926239</v>
      </c>
      <c r="BO382" s="1">
        <f t="shared" si="83"/>
        <v>39.946177874743846</v>
      </c>
      <c r="BP382" s="1">
        <f t="shared" si="84"/>
        <v>-20.221998129786694</v>
      </c>
      <c r="BT382" s="1">
        <f t="shared" si="85"/>
        <v>52.098486575661632</v>
      </c>
      <c r="BU382" s="1">
        <f t="shared" si="86"/>
        <v>-39.14924879399787</v>
      </c>
    </row>
    <row r="383" spans="49:73">
      <c r="AW383" s="1">
        <v>373</v>
      </c>
      <c r="AX383" s="1">
        <f t="shared" si="87"/>
        <v>186.5</v>
      </c>
      <c r="AZ383" s="1">
        <f t="shared" si="88"/>
        <v>-75764.301569256713</v>
      </c>
      <c r="BA383" s="1">
        <f t="shared" si="89"/>
        <v>37553.225206139679</v>
      </c>
      <c r="BC383" s="1">
        <f t="shared" si="90"/>
        <v>475.57067685165521</v>
      </c>
      <c r="BD383" s="1">
        <f t="shared" si="91"/>
        <v>-1594.5068830314917</v>
      </c>
      <c r="BF383" s="1">
        <f t="shared" si="79"/>
        <v>142.77666913651908</v>
      </c>
      <c r="BG383" s="1">
        <f t="shared" si="80"/>
        <v>-74.929668516539834</v>
      </c>
      <c r="BJ383" s="1">
        <f t="shared" si="81"/>
        <v>48.861276510705636</v>
      </c>
      <c r="BK383" s="1">
        <f t="shared" si="82"/>
        <v>-15.333886665207123</v>
      </c>
      <c r="BO383" s="1">
        <f t="shared" si="83"/>
        <v>40.839401903848326</v>
      </c>
      <c r="BP383" s="1">
        <f t="shared" si="84"/>
        <v>-20.178809852809948</v>
      </c>
      <c r="BT383" s="1">
        <f t="shared" si="85"/>
        <v>53.075990721965105</v>
      </c>
      <c r="BU383" s="1">
        <f t="shared" si="86"/>
        <v>-39.416971998522762</v>
      </c>
    </row>
    <row r="384" spans="49:73">
      <c r="AW384" s="1">
        <v>374</v>
      </c>
      <c r="AX384" s="1">
        <f t="shared" si="87"/>
        <v>187</v>
      </c>
      <c r="AZ384" s="1">
        <f t="shared" si="88"/>
        <v>-75508.669147188819</v>
      </c>
      <c r="BA384" s="1">
        <f t="shared" si="89"/>
        <v>36746.605556059367</v>
      </c>
      <c r="BC384" s="1">
        <f t="shared" si="90"/>
        <v>546.95901141991476</v>
      </c>
      <c r="BD384" s="1">
        <f t="shared" si="91"/>
        <v>-1631.9717172897617</v>
      </c>
      <c r="BF384" s="1">
        <f t="shared" si="79"/>
        <v>145.35718443576607</v>
      </c>
      <c r="BG384" s="1">
        <f t="shared" si="80"/>
        <v>-74.99917594494535</v>
      </c>
      <c r="BJ384" s="1">
        <f t="shared" si="81"/>
        <v>49.434151631855293</v>
      </c>
      <c r="BK384" s="1">
        <f t="shared" si="82"/>
        <v>-15.137695317973709</v>
      </c>
      <c r="BO384" s="1">
        <f t="shared" si="83"/>
        <v>41.803104477625595</v>
      </c>
      <c r="BP384" s="1">
        <f t="shared" si="84"/>
        <v>-20.142640125581458</v>
      </c>
      <c r="BT384" s="1">
        <f t="shared" si="85"/>
        <v>54.119928326285191</v>
      </c>
      <c r="BU384" s="1">
        <f t="shared" si="86"/>
        <v>-39.718840501390183</v>
      </c>
    </row>
    <row r="385" spans="49:73">
      <c r="AW385" s="1">
        <v>375</v>
      </c>
      <c r="AX385" s="1">
        <f t="shared" si="87"/>
        <v>187.5</v>
      </c>
      <c r="AZ385" s="1">
        <f t="shared" si="88"/>
        <v>-75217.019993424386</v>
      </c>
      <c r="BA385" s="1">
        <f t="shared" si="89"/>
        <v>35921.244800421366</v>
      </c>
      <c r="BC385" s="1">
        <f t="shared" si="90"/>
        <v>619.63760363779784</v>
      </c>
      <c r="BD385" s="1">
        <f t="shared" si="91"/>
        <v>-1669.4713052622344</v>
      </c>
      <c r="BF385" s="1">
        <f t="shared" si="79"/>
        <v>148.12895795003465</v>
      </c>
      <c r="BG385" s="1">
        <f t="shared" si="80"/>
        <v>-75.108561327460649</v>
      </c>
      <c r="BJ385" s="1">
        <f t="shared" si="81"/>
        <v>50.050223738499653</v>
      </c>
      <c r="BK385" s="1">
        <f t="shared" si="82"/>
        <v>-14.939447393816728</v>
      </c>
      <c r="BO385" s="1">
        <f t="shared" si="83"/>
        <v>42.843310168198464</v>
      </c>
      <c r="BP385" s="1">
        <f t="shared" si="84"/>
        <v>-20.112493051282126</v>
      </c>
      <c r="BT385" s="1">
        <f t="shared" si="85"/>
        <v>55.235424043336529</v>
      </c>
      <c r="BU385" s="1">
        <f t="shared" si="86"/>
        <v>-40.056620882361806</v>
      </c>
    </row>
    <row r="386" spans="49:73">
      <c r="AW386" s="1">
        <v>376</v>
      </c>
      <c r="AX386" s="1">
        <f t="shared" si="87"/>
        <v>188</v>
      </c>
      <c r="AZ386" s="1">
        <f t="shared" si="88"/>
        <v>-74888.685071861735</v>
      </c>
      <c r="BA386" s="1">
        <f t="shared" si="89"/>
        <v>35077.120577624315</v>
      </c>
      <c r="BC386" s="1">
        <f t="shared" si="90"/>
        <v>693.70208261281516</v>
      </c>
      <c r="BD386" s="1">
        <f t="shared" si="91"/>
        <v>-1707.0255859259648</v>
      </c>
      <c r="BF386" s="1">
        <f t="shared" si="79"/>
        <v>151.10686486973279</v>
      </c>
      <c r="BG386" s="1">
        <f t="shared" si="80"/>
        <v>-75.257717895175546</v>
      </c>
      <c r="BJ386" s="1">
        <f t="shared" si="81"/>
        <v>50.711875397063288</v>
      </c>
      <c r="BK386" s="1">
        <f t="shared" si="82"/>
        <v>-14.738190348861535</v>
      </c>
      <c r="BO386" s="1">
        <f t="shared" si="83"/>
        <v>43.966799826691158</v>
      </c>
      <c r="BP386" s="1">
        <f t="shared" si="84"/>
        <v>-20.08721358915237</v>
      </c>
      <c r="BT386" s="1">
        <f t="shared" si="85"/>
        <v>56.428189645978343</v>
      </c>
      <c r="BU386" s="1">
        <f t="shared" si="86"/>
        <v>-40.432313957161639</v>
      </c>
    </row>
    <row r="387" spans="49:73">
      <c r="AW387" s="1">
        <v>377</v>
      </c>
      <c r="AX387" s="1">
        <f t="shared" si="87"/>
        <v>188.5</v>
      </c>
      <c r="AZ387" s="1">
        <f t="shared" si="88"/>
        <v>-74522.945672446614</v>
      </c>
      <c r="BA387" s="1">
        <f t="shared" si="89"/>
        <v>34214.20056992444</v>
      </c>
      <c r="BC387" s="1">
        <f t="shared" si="90"/>
        <v>769.25551504768157</v>
      </c>
      <c r="BD387" s="1">
        <f t="shared" si="91"/>
        <v>-1744.6544448735526</v>
      </c>
      <c r="BF387" s="1">
        <f t="shared" si="79"/>
        <v>154.30757583408462</v>
      </c>
      <c r="BG387" s="1">
        <f t="shared" si="80"/>
        <v>-75.446511456057124</v>
      </c>
      <c r="BJ387" s="1">
        <f t="shared" si="81"/>
        <v>51.421747671478485</v>
      </c>
      <c r="BK387" s="1">
        <f t="shared" si="82"/>
        <v>-14.532882689799113</v>
      </c>
      <c r="BO387" s="1">
        <f t="shared" si="83"/>
        <v>45.181222307273131</v>
      </c>
      <c r="BP387" s="1">
        <f t="shared" si="84"/>
        <v>-20.065445207512457</v>
      </c>
      <c r="BT387" s="1">
        <f t="shared" si="85"/>
        <v>57.704605855332986</v>
      </c>
      <c r="BU387" s="1">
        <f t="shared" si="86"/>
        <v>-40.848183558745546</v>
      </c>
    </row>
    <row r="388" spans="49:73">
      <c r="AW388" s="1">
        <v>378</v>
      </c>
      <c r="AX388" s="1">
        <f t="shared" si="87"/>
        <v>189</v>
      </c>
      <c r="AZ388" s="1">
        <f t="shared" si="88"/>
        <v>-74119.029467943517</v>
      </c>
      <c r="BA388" s="1">
        <f t="shared" si="89"/>
        <v>33332.442533555659</v>
      </c>
      <c r="BC388" s="1">
        <f t="shared" si="90"/>
        <v>846.40930296472391</v>
      </c>
      <c r="BD388" s="1">
        <f t="shared" si="91"/>
        <v>-1782.3777006015812</v>
      </c>
      <c r="BF388" s="1">
        <f t="shared" si="79"/>
        <v>157.74981333948458</v>
      </c>
      <c r="BG388" s="1">
        <f t="shared" si="80"/>
        <v>-75.674746425074375</v>
      </c>
      <c r="BJ388" s="1">
        <f t="shared" si="81"/>
        <v>52.182768871622343</v>
      </c>
      <c r="BK388" s="1">
        <f t="shared" si="82"/>
        <v>-14.322378649018331</v>
      </c>
      <c r="BO388" s="1">
        <f t="shared" si="83"/>
        <v>46.495226187487354</v>
      </c>
      <c r="BP388" s="1">
        <f t="shared" si="84"/>
        <v>-20.045577383216223</v>
      </c>
      <c r="BT388" s="1">
        <f t="shared" si="85"/>
        <v>59.071818280374892</v>
      </c>
      <c r="BU388" s="1">
        <f t="shared" si="86"/>
        <v>-41.306790392839829</v>
      </c>
    </row>
    <row r="389" spans="49:73">
      <c r="AW389" s="1">
        <v>379</v>
      </c>
      <c r="AX389" s="1">
        <f t="shared" si="87"/>
        <v>189.5</v>
      </c>
      <c r="AZ389" s="1">
        <f t="shared" si="88"/>
        <v>-73676.106089793728</v>
      </c>
      <c r="BA389" s="1">
        <f t="shared" si="89"/>
        <v>32431.794339951735</v>
      </c>
      <c r="BC389" s="1">
        <f t="shared" si="90"/>
        <v>925.28420963446615</v>
      </c>
      <c r="BD389" s="1">
        <f t="shared" si="91"/>
        <v>-1820.2150738141183</v>
      </c>
      <c r="BF389" s="1">
        <f t="shared" si="79"/>
        <v>161.45465361004645</v>
      </c>
      <c r="BG389" s="1">
        <f t="shared" si="80"/>
        <v>-75.942122418214382</v>
      </c>
      <c r="BJ389" s="1">
        <f t="shared" si="81"/>
        <v>52.998187680383516</v>
      </c>
      <c r="BK389" s="1">
        <f t="shared" si="82"/>
        <v>-14.105410342002346</v>
      </c>
      <c r="BO389" s="1">
        <f t="shared" si="83"/>
        <v>47.918615583924009</v>
      </c>
      <c r="BP389" s="1">
        <f t="shared" si="84"/>
        <v>-20.025680104954134</v>
      </c>
      <c r="BT389" s="1">
        <f t="shared" si="85"/>
        <v>60.537850345738924</v>
      </c>
      <c r="BU389" s="1">
        <f t="shared" si="86"/>
        <v>-41.811031971257904</v>
      </c>
    </row>
    <row r="390" spans="49:73">
      <c r="AW390" s="1">
        <v>380</v>
      </c>
      <c r="AX390" s="1">
        <f t="shared" si="87"/>
        <v>190</v>
      </c>
      <c r="AZ390" s="1">
        <f t="shared" si="88"/>
        <v>-73193.282153275242</v>
      </c>
      <c r="BA390" s="1">
        <f t="shared" si="89"/>
        <v>31512.1940377424</v>
      </c>
      <c r="BC390" s="1">
        <f t="shared" si="90"/>
        <v>1006.0115364394894</v>
      </c>
      <c r="BD390" s="1">
        <f t="shared" si="91"/>
        <v>-1858.1861350232255</v>
      </c>
      <c r="BF390" s="1">
        <f t="shared" si="79"/>
        <v>165.44588329205263</v>
      </c>
      <c r="BG390" s="1">
        <f t="shared" si="80"/>
        <v>-76.2481784225441</v>
      </c>
      <c r="BJ390" s="1">
        <f t="shared" si="81"/>
        <v>53.87161141021366</v>
      </c>
      <c r="BK390" s="1">
        <f t="shared" si="82"/>
        <v>-13.880566886574085</v>
      </c>
      <c r="BO390" s="1">
        <f t="shared" si="83"/>
        <v>49.462535108883344</v>
      </c>
      <c r="BP390" s="1">
        <f t="shared" si="84"/>
        <v>-20.003421668828693</v>
      </c>
      <c r="BT390" s="1">
        <f t="shared" si="85"/>
        <v>62.111736772955631</v>
      </c>
      <c r="BU390" s="1">
        <f t="shared" si="86"/>
        <v>-42.364189867141327</v>
      </c>
    </row>
    <row r="391" spans="49:73">
      <c r="AW391" s="1">
        <v>381</v>
      </c>
      <c r="AX391" s="1">
        <f t="shared" si="87"/>
        <v>190.5</v>
      </c>
      <c r="AZ391" s="1">
        <f t="shared" si="88"/>
        <v>-72669.59564964399</v>
      </c>
      <c r="BA391" s="1">
        <f t="shared" si="89"/>
        <v>30573.569947927968</v>
      </c>
      <c r="BC391" s="1">
        <f t="shared" si="90"/>
        <v>1088.7344780855158</v>
      </c>
      <c r="BD391" s="1">
        <f t="shared" si="91"/>
        <v>-1896.3102242344976</v>
      </c>
      <c r="BF391" s="1">
        <f t="shared" si="79"/>
        <v>169.75042254903633</v>
      </c>
      <c r="BG391" s="1">
        <f t="shared" si="80"/>
        <v>-76.592220576726817</v>
      </c>
      <c r="BJ391" s="1">
        <f t="shared" si="81"/>
        <v>54.807050295418016</v>
      </c>
      <c r="BK391" s="1">
        <f t="shared" si="82"/>
        <v>-13.6462698446639</v>
      </c>
      <c r="BO391" s="1">
        <f t="shared" si="83"/>
        <v>51.139690198611248</v>
      </c>
      <c r="BP391" s="1">
        <f t="shared" si="84"/>
        <v>-19.975964889026191</v>
      </c>
      <c r="BT391" s="1">
        <f t="shared" si="85"/>
        <v>63.803682055007073</v>
      </c>
      <c r="BU391" s="1">
        <f t="shared" si="86"/>
        <v>-42.969985843036717</v>
      </c>
    </row>
    <row r="392" spans="49:73">
      <c r="AW392" s="1">
        <v>382</v>
      </c>
      <c r="AX392" s="1">
        <f t="shared" si="87"/>
        <v>191</v>
      </c>
      <c r="AZ392" s="1">
        <f t="shared" si="88"/>
        <v>-72104.009607782602</v>
      </c>
      <c r="BA392" s="1">
        <f t="shared" si="89"/>
        <v>29615.84080823863</v>
      </c>
      <c r="BC392" s="1">
        <f t="shared" si="90"/>
        <v>1173.6096893600338</v>
      </c>
      <c r="BD392" s="1">
        <f t="shared" si="91"/>
        <v>-1934.6063345228611</v>
      </c>
      <c r="BF392" s="1">
        <f t="shared" si="79"/>
        <v>174.39882893395074</v>
      </c>
      <c r="BG392" s="1">
        <f t="shared" si="80"/>
        <v>-76.973228266157605</v>
      </c>
      <c r="BJ392" s="1">
        <f t="shared" si="81"/>
        <v>55.808968918475365</v>
      </c>
      <c r="BK392" s="1">
        <f t="shared" si="82"/>
        <v>-13.400744197011008</v>
      </c>
      <c r="BO392" s="1">
        <f t="shared" si="83"/>
        <v>52.964610529781453</v>
      </c>
      <c r="BP392" s="1">
        <f t="shared" si="84"/>
        <v>-19.939835272626862</v>
      </c>
      <c r="BT392" s="1">
        <f t="shared" si="85"/>
        <v>65.625249485693928</v>
      </c>
      <c r="BU392" s="1">
        <f t="shared" si="86"/>
        <v>-43.632648796519739</v>
      </c>
    </row>
    <row r="393" spans="49:73">
      <c r="AW393" s="1">
        <v>383</v>
      </c>
      <c r="AX393" s="1">
        <f t="shared" si="87"/>
        <v>191.5</v>
      </c>
      <c r="AZ393" s="1">
        <f t="shared" si="88"/>
        <v>-71495.404909485835</v>
      </c>
      <c r="BA393" s="1">
        <f t="shared" si="89"/>
        <v>28638.915987443928</v>
      </c>
      <c r="BC393" s="1">
        <f t="shared" si="90"/>
        <v>1260.8091038270093</v>
      </c>
      <c r="BD393" s="1">
        <f t="shared" si="91"/>
        <v>-1973.0929486559398</v>
      </c>
      <c r="BF393" s="1">
        <f t="shared" si="79"/>
        <v>179.42589996752787</v>
      </c>
      <c r="BG393" s="1">
        <f t="shared" si="80"/>
        <v>-77.389731415749793</v>
      </c>
      <c r="BJ393" s="1">
        <f t="shared" si="81"/>
        <v>56.882346107331266</v>
      </c>
      <c r="BK393" s="1">
        <f t="shared" si="82"/>
        <v>-13.141983870349767</v>
      </c>
      <c r="BO393" s="1">
        <f t="shared" si="83"/>
        <v>54.953966106980253</v>
      </c>
      <c r="BP393" s="1">
        <f t="shared" si="84"/>
        <v>-19.890752568025064</v>
      </c>
      <c r="BT393" s="1">
        <f t="shared" si="85"/>
        <v>67.58958775321635</v>
      </c>
      <c r="BU393" s="1">
        <f t="shared" si="86"/>
        <v>-44.35699497737496</v>
      </c>
    </row>
    <row r="394" spans="49:73">
      <c r="AW394" s="1">
        <v>384</v>
      </c>
      <c r="AX394" s="1">
        <f t="shared" si="87"/>
        <v>192</v>
      </c>
      <c r="AZ394" s="1">
        <f t="shared" si="88"/>
        <v>-70842.57212007638</v>
      </c>
      <c r="BA394" s="1">
        <f t="shared" si="89"/>
        <v>27642.69579668899</v>
      </c>
      <c r="BC394" s="1">
        <f t="shared" si="90"/>
        <v>1350.5220538107733</v>
      </c>
      <c r="BD394" s="1">
        <f t="shared" si="91"/>
        <v>-2011.7878143638147</v>
      </c>
      <c r="BF394" s="1">
        <f t="shared" si="79"/>
        <v>184.87139687609434</v>
      </c>
      <c r="BG394" s="1">
        <f t="shared" si="80"/>
        <v>-77.839649353518752</v>
      </c>
      <c r="BJ394" s="1">
        <f t="shared" si="81"/>
        <v>58.032744938864539</v>
      </c>
      <c r="BK394" s="1">
        <f t="shared" si="82"/>
        <v>-12.867710592840577</v>
      </c>
      <c r="BO394" s="1">
        <f t="shared" si="83"/>
        <v>57.126947947582238</v>
      </c>
      <c r="BP394" s="1">
        <f t="shared" si="84"/>
        <v>-19.823414166619187</v>
      </c>
      <c r="BT394" s="1">
        <f t="shared" si="85"/>
        <v>69.71170398964756</v>
      </c>
      <c r="BU394" s="1">
        <f t="shared" si="86"/>
        <v>-45.148524594058983</v>
      </c>
    </row>
    <row r="395" spans="49:73">
      <c r="AW395" s="1">
        <v>385</v>
      </c>
      <c r="AX395" s="1">
        <f t="shared" si="87"/>
        <v>192.5</v>
      </c>
      <c r="AZ395" s="1">
        <f t="shared" si="88"/>
        <v>-70144.202168561489</v>
      </c>
      <c r="BA395" s="1">
        <f t="shared" si="89"/>
        <v>26627.071933337891</v>
      </c>
      <c r="BC395" s="1">
        <f t="shared" si="90"/>
        <v>1442.9577522488205</v>
      </c>
      <c r="BD395" s="1">
        <f t="shared" si="91"/>
        <v>-2050.7076390405741</v>
      </c>
      <c r="BF395" s="1">
        <f t="shared" ref="BF395:BF458" si="92">BJ395 + BO395 + BT395</f>
        <v>190.78091772200818</v>
      </c>
      <c r="BG395" s="1">
        <f t="shared" ref="BG395:BG458" si="93">BK395 + BP395 + BU395</f>
        <v>-78.320078134817862</v>
      </c>
      <c r="BJ395" s="1">
        <f t="shared" ref="BJ395:BJ458" si="94">$M$22*($M$18 - AZ395)/ (SQRT(($M$18 - AZ395)^2 + ($N$18 - BA395)^2 )^2 + $M$23^2)^(3/2)</f>
        <v>59.266394858695747</v>
      </c>
      <c r="BK395" s="1">
        <f t="shared" ref="BK395:BK458" si="95">$M$22*($N$18 - BA395)/ (SQRT(($M$18 - AZ395)^2 + ($N$18 - BA395)^2 )^2 + $M$23^2)^(3/2)</f>
        <v>-12.57532454025346</v>
      </c>
      <c r="BO395" s="1">
        <f t="shared" ref="BO395:BO458" si="96">$M$30*($M$26 - AZ395)/ (SQRT(($M$26 - AZ395)^2 + ($N$26 - BA395)^2 )^2 + $M$31^2)^(3/2)</f>
        <v>59.505728230118045</v>
      </c>
      <c r="BP395" s="1">
        <f t="shared" ref="BP395:BP458" si="97">$M$30*($N$26 - BA395)/ (SQRT(($M$26 - AZ395)^2 + ($N$26 - BA395)^2 )^2 + $M$31^2)^(3/2)</f>
        <v>-19.731214795319804</v>
      </c>
      <c r="BT395" s="1">
        <f t="shared" ref="BT395:BT458" si="98">$M$38*($M$34 - AZ395)/ (SQRT(($M$34 - AZ395)^2 + ($N$34 - BA395)^2 )^2 + $M$39^2)^(3/2)</f>
        <v>72.008794633194384</v>
      </c>
      <c r="BU395" s="1">
        <f t="shared" ref="BU395:BU458" si="99">$M$38*($N$34 - BA395)/ (SQRT(($M$34 - AZ395)^2 + ($N$34 - BA395)^2 )^2 + $M$39^2)^(3/2)</f>
        <v>-46.013538799244607</v>
      </c>
    </row>
    <row r="396" spans="49:73">
      <c r="AW396" s="1">
        <v>386</v>
      </c>
      <c r="AX396" s="1">
        <f t="shared" ref="AX396:AX459" si="100">AX395+$M$5</f>
        <v>193</v>
      </c>
      <c r="AZ396" s="1">
        <f t="shared" ref="AZ396:AZ459" si="101">AZ395 + BC395 * $M$5 + 0.5 * BF395 * POWER($M$5, 2)</f>
        <v>-69398.875677721822</v>
      </c>
      <c r="BA396" s="1">
        <f t="shared" ref="BA396:BA459" si="102">BA395+BD395*$M$5+0.5*BG395* POWER($M$5, 2)</f>
        <v>25591.928104050752</v>
      </c>
      <c r="BC396" s="1">
        <f t="shared" ref="BC396:BC459" si="103">BC395 + BF395 * $M$5</f>
        <v>1538.3482111098247</v>
      </c>
      <c r="BD396" s="1">
        <f t="shared" ref="BD396:BD459" si="104">BD395+BG395*$M$5</f>
        <v>-2089.867678107983</v>
      </c>
      <c r="BF396" s="1">
        <f t="shared" si="92"/>
        <v>197.20695556300268</v>
      </c>
      <c r="BG396" s="1">
        <f t="shared" si="93"/>
        <v>-78.827008347408835</v>
      </c>
      <c r="BJ396" s="1">
        <f t="shared" si="94"/>
        <v>60.590288401849364</v>
      </c>
      <c r="BK396" s="1">
        <f t="shared" si="95"/>
        <v>-12.261844830372183</v>
      </c>
      <c r="BO396" s="1">
        <f t="shared" si="96"/>
        <v>62.116018447058003</v>
      </c>
      <c r="BP396" s="1">
        <f t="shared" si="97"/>
        <v>-19.605881317116737</v>
      </c>
      <c r="BT396" s="1">
        <f t="shared" si="98"/>
        <v>74.500648714095306</v>
      </c>
      <c r="BU396" s="1">
        <f t="shared" si="99"/>
        <v>-46.959282199919912</v>
      </c>
    </row>
    <row r="397" spans="49:73">
      <c r="AW397" s="1">
        <v>387</v>
      </c>
      <c r="AX397" s="1">
        <f t="shared" si="100"/>
        <v>193.5</v>
      </c>
      <c r="AZ397" s="1">
        <f t="shared" si="101"/>
        <v>-68605.050702721535</v>
      </c>
      <c r="BA397" s="1">
        <f t="shared" si="102"/>
        <v>24537.140888953334</v>
      </c>
      <c r="BC397" s="1">
        <f t="shared" si="103"/>
        <v>1636.9516888913261</v>
      </c>
      <c r="BD397" s="1">
        <f t="shared" si="104"/>
        <v>-2129.2811822816875</v>
      </c>
      <c r="BF397" s="1">
        <f t="shared" si="92"/>
        <v>204.21018677497617</v>
      </c>
      <c r="BG397" s="1">
        <f t="shared" si="93"/>
        <v>-79.354948558080451</v>
      </c>
      <c r="BJ397" s="1">
        <f t="shared" si="94"/>
        <v>62.012295602739535</v>
      </c>
      <c r="BK397" s="1">
        <f t="shared" si="95"/>
        <v>-11.923837395861268</v>
      </c>
      <c r="BO397" s="1">
        <f t="shared" si="96"/>
        <v>64.987748666452362</v>
      </c>
      <c r="BP397" s="1">
        <f t="shared" si="97"/>
        <v>-19.436993579089275</v>
      </c>
      <c r="BT397" s="1">
        <f t="shared" si="98"/>
        <v>77.210142505784262</v>
      </c>
      <c r="BU397" s="1">
        <f t="shared" si="99"/>
        <v>-47.994117583129906</v>
      </c>
    </row>
    <row r="398" spans="49:73">
      <c r="AW398" s="1">
        <v>388</v>
      </c>
      <c r="AX398" s="1">
        <f t="shared" si="100"/>
        <v>194</v>
      </c>
      <c r="AZ398" s="1">
        <f t="shared" si="101"/>
        <v>-67761.048584928998</v>
      </c>
      <c r="BA398" s="1">
        <f t="shared" si="102"/>
        <v>23462.580929242729</v>
      </c>
      <c r="BC398" s="1">
        <f t="shared" si="103"/>
        <v>1739.0567822788141</v>
      </c>
      <c r="BD398" s="1">
        <f t="shared" si="104"/>
        <v>-2168.9586565607278</v>
      </c>
      <c r="BF398" s="1">
        <f t="shared" si="92"/>
        <v>211.86104686318555</v>
      </c>
      <c r="BG398" s="1">
        <f t="shared" si="93"/>
        <v>-79.896419823545813</v>
      </c>
      <c r="BJ398" s="1">
        <f t="shared" si="94"/>
        <v>63.541299957210889</v>
      </c>
      <c r="BK398" s="1">
        <f t="shared" si="95"/>
        <v>-11.55732707471828</v>
      </c>
      <c r="BO398" s="1">
        <f t="shared" si="96"/>
        <v>68.155896608566721</v>
      </c>
      <c r="BP398" s="1">
        <f t="shared" si="97"/>
        <v>-19.211351113163456</v>
      </c>
      <c r="BT398" s="1">
        <f t="shared" si="98"/>
        <v>80.163850297407947</v>
      </c>
      <c r="BU398" s="1">
        <f t="shared" si="99"/>
        <v>-49.127741635664073</v>
      </c>
    </row>
    <row r="399" spans="49:73">
      <c r="AW399" s="1">
        <v>389</v>
      </c>
      <c r="AX399" s="1">
        <f t="shared" si="100"/>
        <v>194.5</v>
      </c>
      <c r="AZ399" s="1">
        <f t="shared" si="101"/>
        <v>-66865.037562931699</v>
      </c>
      <c r="BA399" s="1">
        <f t="shared" si="102"/>
        <v>22368.11454848442</v>
      </c>
      <c r="BC399" s="1">
        <f t="shared" si="103"/>
        <v>1844.9873057104069</v>
      </c>
      <c r="BD399" s="1">
        <f t="shared" si="104"/>
        <v>-2208.906866472501</v>
      </c>
      <c r="BF399" s="1">
        <f t="shared" si="92"/>
        <v>220.2416667065894</v>
      </c>
      <c r="BG399" s="1">
        <f t="shared" si="93"/>
        <v>-80.441272753395253</v>
      </c>
      <c r="BJ399" s="1">
        <f t="shared" si="94"/>
        <v>65.187360799119745</v>
      </c>
      <c r="BK399" s="1">
        <f t="shared" si="95"/>
        <v>-11.157689844691806</v>
      </c>
      <c r="BO399" s="1">
        <f t="shared" si="96"/>
        <v>71.661501984688428</v>
      </c>
      <c r="BP399" s="1">
        <f t="shared" si="97"/>
        <v>-18.912129624838084</v>
      </c>
      <c r="BT399" s="1">
        <f t="shared" si="98"/>
        <v>83.392803922781241</v>
      </c>
      <c r="BU399" s="1">
        <f t="shared" si="99"/>
        <v>-50.371453283865357</v>
      </c>
    </row>
    <row r="400" spans="49:73">
      <c r="AW400" s="1">
        <v>390</v>
      </c>
      <c r="AX400" s="1">
        <f t="shared" si="100"/>
        <v>195</v>
      </c>
      <c r="AZ400" s="1">
        <f t="shared" si="101"/>
        <v>-65915.013701738164</v>
      </c>
      <c r="BA400" s="1">
        <f t="shared" si="102"/>
        <v>21253.605956153995</v>
      </c>
      <c r="BC400" s="1">
        <f t="shared" si="103"/>
        <v>1955.1081390637016</v>
      </c>
      <c r="BD400" s="1">
        <f t="shared" si="104"/>
        <v>-2249.1275028491987</v>
      </c>
      <c r="BF400" s="1">
        <f t="shared" si="92"/>
        <v>229.44826210039253</v>
      </c>
      <c r="BG400" s="1">
        <f t="shared" si="93"/>
        <v>-80.975758511318986</v>
      </c>
      <c r="BJ400" s="1">
        <f t="shared" si="94"/>
        <v>66.961908254656024</v>
      </c>
      <c r="BK400" s="1">
        <f t="shared" si="95"/>
        <v>-10.719519913060811</v>
      </c>
      <c r="BO400" s="1">
        <f t="shared" si="96"/>
        <v>75.55290938300891</v>
      </c>
      <c r="BP400" s="1">
        <f t="shared" si="97"/>
        <v>-18.517748389677717</v>
      </c>
      <c r="BT400" s="1">
        <f t="shared" si="98"/>
        <v>86.933444462727621</v>
      </c>
      <c r="BU400" s="1">
        <f t="shared" si="99"/>
        <v>-51.738490208580458</v>
      </c>
    </row>
    <row r="401" spans="49:73">
      <c r="AW401" s="1">
        <v>391</v>
      </c>
      <c r="AX401" s="1">
        <f t="shared" si="100"/>
        <v>195.5</v>
      </c>
      <c r="AZ401" s="1">
        <f t="shared" si="101"/>
        <v>-64908.778599443765</v>
      </c>
      <c r="BA401" s="1">
        <f t="shared" si="102"/>
        <v>20118.92023491548</v>
      </c>
      <c r="BC401" s="1">
        <f t="shared" si="103"/>
        <v>2069.8322701138977</v>
      </c>
      <c r="BD401" s="1">
        <f t="shared" si="104"/>
        <v>-2289.6153821048583</v>
      </c>
      <c r="BF401" s="1">
        <f t="shared" si="92"/>
        <v>239.59409462724142</v>
      </c>
      <c r="BG401" s="1">
        <f t="shared" si="93"/>
        <v>-81.48125591174086</v>
      </c>
      <c r="BJ401" s="1">
        <f t="shared" si="94"/>
        <v>68.877978643441651</v>
      </c>
      <c r="BK401" s="1">
        <f t="shared" si="95"/>
        <v>-10.236464742286332</v>
      </c>
      <c r="BO401" s="1">
        <f t="shared" si="96"/>
        <v>79.887291537486419</v>
      </c>
      <c r="BP401" s="1">
        <f t="shared" si="97"/>
        <v>-18.000336594798323</v>
      </c>
      <c r="BT401" s="1">
        <f t="shared" si="98"/>
        <v>90.828824446313334</v>
      </c>
      <c r="BU401" s="1">
        <f t="shared" si="99"/>
        <v>-53.244454574656203</v>
      </c>
    </row>
    <row r="402" spans="49:73">
      <c r="AW402" s="1">
        <v>392</v>
      </c>
      <c r="AX402" s="1">
        <f t="shared" si="100"/>
        <v>196</v>
      </c>
      <c r="AZ402" s="1">
        <f t="shared" si="101"/>
        <v>-63843.913202558411</v>
      </c>
      <c r="BA402" s="1">
        <f t="shared" si="102"/>
        <v>18963.927386874086</v>
      </c>
      <c r="BC402" s="1">
        <f t="shared" si="103"/>
        <v>2189.6293174275183</v>
      </c>
      <c r="BD402" s="1">
        <f t="shared" si="104"/>
        <v>-2330.3560100607287</v>
      </c>
      <c r="BF402" s="1">
        <f t="shared" si="92"/>
        <v>250.8131531320754</v>
      </c>
      <c r="BG402" s="1">
        <f t="shared" si="93"/>
        <v>-81.932513939610374</v>
      </c>
      <c r="BJ402" s="1">
        <f t="shared" si="94"/>
        <v>70.950500451352696</v>
      </c>
      <c r="BK402" s="1">
        <f t="shared" si="95"/>
        <v>-9.7010188834061388</v>
      </c>
      <c r="BO402" s="1">
        <f t="shared" si="96"/>
        <v>84.732512960469876</v>
      </c>
      <c r="BP402" s="1">
        <f t="shared" si="97"/>
        <v>-17.323638288762471</v>
      </c>
      <c r="BT402" s="1">
        <f t="shared" si="98"/>
        <v>95.130139720252814</v>
      </c>
      <c r="BU402" s="1">
        <f t="shared" si="99"/>
        <v>-54.907856767441764</v>
      </c>
    </row>
    <row r="403" spans="49:73">
      <c r="AW403" s="1">
        <v>393</v>
      </c>
      <c r="AX403" s="1">
        <f t="shared" si="100"/>
        <v>196.5</v>
      </c>
      <c r="AZ403" s="1">
        <f t="shared" si="101"/>
        <v>-62717.746899703139</v>
      </c>
      <c r="BA403" s="1">
        <f t="shared" si="102"/>
        <v>17788.507817601268</v>
      </c>
      <c r="BC403" s="1">
        <f t="shared" si="103"/>
        <v>2315.0358939935559</v>
      </c>
      <c r="BD403" s="1">
        <f t="shared" si="104"/>
        <v>-2371.322267030534</v>
      </c>
      <c r="BF403" s="1">
        <f t="shared" si="92"/>
        <v>263.26474267157511</v>
      </c>
      <c r="BG403" s="1">
        <f t="shared" si="93"/>
        <v>-82.295205815961523</v>
      </c>
      <c r="BJ403" s="1">
        <f t="shared" si="94"/>
        <v>73.1966440098238</v>
      </c>
      <c r="BK403" s="1">
        <f t="shared" si="95"/>
        <v>-9.104264469756151</v>
      </c>
      <c r="BO403" s="1">
        <f t="shared" si="96"/>
        <v>90.16939901961976</v>
      </c>
      <c r="BP403" s="1">
        <f t="shared" si="97"/>
        <v>-16.440124307623471</v>
      </c>
      <c r="BT403" s="1">
        <f t="shared" si="98"/>
        <v>99.898699642131518</v>
      </c>
      <c r="BU403" s="1">
        <f t="shared" si="99"/>
        <v>-56.7508170385819</v>
      </c>
    </row>
    <row r="404" spans="49:73">
      <c r="AW404" s="1">
        <v>394</v>
      </c>
      <c r="AX404" s="1">
        <f t="shared" si="100"/>
        <v>197</v>
      </c>
      <c r="AZ404" s="1">
        <f t="shared" si="101"/>
        <v>-61527.320859872416</v>
      </c>
      <c r="BA404" s="1">
        <f t="shared" si="102"/>
        <v>16592.559783359007</v>
      </c>
      <c r="BC404" s="1">
        <f t="shared" si="103"/>
        <v>2446.6682653293433</v>
      </c>
      <c r="BD404" s="1">
        <f t="shared" si="104"/>
        <v>-2412.4698699385149</v>
      </c>
      <c r="BF404" s="1">
        <f t="shared" si="92"/>
        <v>277.13921045075546</v>
      </c>
      <c r="BG404" s="1">
        <f t="shared" si="93"/>
        <v>-82.522496894267448</v>
      </c>
      <c r="BJ404" s="1">
        <f t="shared" si="94"/>
        <v>75.636252069129029</v>
      </c>
      <c r="BK404" s="1">
        <f t="shared" si="95"/>
        <v>-8.4355420547894511</v>
      </c>
      <c r="BO404" s="1">
        <f t="shared" si="96"/>
        <v>96.294471891656826</v>
      </c>
      <c r="BP404" s="1">
        <f t="shared" si="97"/>
        <v>-15.286973722549016</v>
      </c>
      <c r="BT404" s="1">
        <f t="shared" si="98"/>
        <v>105.20848648996962</v>
      </c>
      <c r="BU404" s="1">
        <f t="shared" si="99"/>
        <v>-58.799981116928983</v>
      </c>
    </row>
    <row r="405" spans="49:73">
      <c r="AW405" s="1">
        <v>395</v>
      </c>
      <c r="AX405" s="1">
        <f t="shared" si="100"/>
        <v>197.5</v>
      </c>
      <c r="AZ405" s="1">
        <f t="shared" si="101"/>
        <v>-60269.344325901402</v>
      </c>
      <c r="BA405" s="1">
        <f t="shared" si="102"/>
        <v>15376.009536277967</v>
      </c>
      <c r="BC405" s="1">
        <f t="shared" si="103"/>
        <v>2585.2378705547212</v>
      </c>
      <c r="BD405" s="1">
        <f t="shared" si="104"/>
        <v>-2453.7311183856486</v>
      </c>
      <c r="BF405" s="1">
        <f t="shared" si="92"/>
        <v>292.66508087836746</v>
      </c>
      <c r="BG405" s="1">
        <f t="shared" si="93"/>
        <v>-82.550188776707955</v>
      </c>
      <c r="BJ405" s="1">
        <f t="shared" si="94"/>
        <v>78.292373962618029</v>
      </c>
      <c r="BK405" s="1">
        <f t="shared" si="95"/>
        <v>-7.6820296605866867</v>
      </c>
      <c r="BO405" s="1">
        <f t="shared" si="96"/>
        <v>103.22319062457041</v>
      </c>
      <c r="BP405" s="1">
        <f t="shared" si="97"/>
        <v>-13.780429417267579</v>
      </c>
      <c r="BT405" s="1">
        <f t="shared" si="98"/>
        <v>111.14951629117903</v>
      </c>
      <c r="BU405" s="1">
        <f t="shared" si="99"/>
        <v>-61.087729698853686</v>
      </c>
    </row>
    <row r="406" spans="49:73">
      <c r="AW406" s="1">
        <v>396</v>
      </c>
      <c r="AX406" s="1">
        <f t="shared" si="100"/>
        <v>198</v>
      </c>
      <c r="AZ406" s="1">
        <f t="shared" si="101"/>
        <v>-58940.142255514249</v>
      </c>
      <c r="BA406" s="1">
        <f t="shared" si="102"/>
        <v>14138.825203488055</v>
      </c>
      <c r="BC406" s="1">
        <f t="shared" si="103"/>
        <v>2731.5704109939052</v>
      </c>
      <c r="BD406" s="1">
        <f t="shared" si="104"/>
        <v>-2495.0062127740025</v>
      </c>
      <c r="BF406" s="1">
        <f t="shared" si="92"/>
        <v>310.11790105509834</v>
      </c>
      <c r="BG406" s="1">
        <f t="shared" si="93"/>
        <v>-82.289793269493615</v>
      </c>
      <c r="BJ406" s="1">
        <f t="shared" si="94"/>
        <v>81.191933622986582</v>
      </c>
      <c r="BK406" s="1">
        <f t="shared" si="95"/>
        <v>-6.82819969479546</v>
      </c>
      <c r="BO406" s="1">
        <f t="shared" si="96"/>
        <v>111.09366389350333</v>
      </c>
      <c r="BP406" s="1">
        <f t="shared" si="97"/>
        <v>-11.807796002726503</v>
      </c>
      <c r="BT406" s="1">
        <f t="shared" si="98"/>
        <v>117.83230353860841</v>
      </c>
      <c r="BU406" s="1">
        <f t="shared" si="99"/>
        <v>-63.653797571971651</v>
      </c>
    </row>
    <row r="407" spans="49:73">
      <c r="AW407" s="1">
        <v>397</v>
      </c>
      <c r="AX407" s="1">
        <f t="shared" si="100"/>
        <v>198.5</v>
      </c>
      <c r="AZ407" s="1">
        <f t="shared" si="101"/>
        <v>-57535.592312385408</v>
      </c>
      <c r="BA407" s="1">
        <f t="shared" si="102"/>
        <v>12881.035872942368</v>
      </c>
      <c r="BC407" s="1">
        <f t="shared" si="103"/>
        <v>2886.6293615214545</v>
      </c>
      <c r="BD407" s="1">
        <f t="shared" si="104"/>
        <v>-2536.1511094087491</v>
      </c>
      <c r="BF407" s="1">
        <f t="shared" si="92"/>
        <v>329.83108251989051</v>
      </c>
      <c r="BG407" s="1">
        <f t="shared" si="93"/>
        <v>-81.618579605129696</v>
      </c>
      <c r="BJ407" s="1">
        <f t="shared" si="94"/>
        <v>84.366572200755215</v>
      </c>
      <c r="BK407" s="1">
        <f t="shared" si="95"/>
        <v>-5.8551116713005138</v>
      </c>
      <c r="BO407" s="1">
        <f t="shared" si="96"/>
        <v>120.07064315419358</v>
      </c>
      <c r="BP407" s="1">
        <f t="shared" si="97"/>
        <v>-9.2159949771286751</v>
      </c>
      <c r="BT407" s="1">
        <f t="shared" si="98"/>
        <v>125.39386716494174</v>
      </c>
      <c r="BU407" s="1">
        <f t="shared" si="99"/>
        <v>-66.547472956700503</v>
      </c>
    </row>
    <row r="408" spans="49:73">
      <c r="AW408" s="1">
        <v>398</v>
      </c>
      <c r="AX408" s="1">
        <f t="shared" si="100"/>
        <v>199</v>
      </c>
      <c r="AZ408" s="1">
        <f t="shared" si="101"/>
        <v>-56051.048746309694</v>
      </c>
      <c r="BA408" s="1">
        <f t="shared" si="102"/>
        <v>11602.757995787353</v>
      </c>
      <c r="BC408" s="1">
        <f t="shared" si="103"/>
        <v>3051.5449027813997</v>
      </c>
      <c r="BD408" s="1">
        <f t="shared" si="104"/>
        <v>-2576.9603992113139</v>
      </c>
      <c r="BF408" s="1">
        <f t="shared" si="92"/>
        <v>352.20889651896954</v>
      </c>
      <c r="BG408" s="1">
        <f t="shared" si="93"/>
        <v>-80.365183840046953</v>
      </c>
      <c r="BJ408" s="1">
        <f t="shared" si="94"/>
        <v>87.853720724788275</v>
      </c>
      <c r="BK408" s="1">
        <f t="shared" si="95"/>
        <v>-4.7394817179399418</v>
      </c>
      <c r="BO408" s="1">
        <f t="shared" si="96"/>
        <v>130.34925579246348</v>
      </c>
      <c r="BP408" s="1">
        <f t="shared" si="97"/>
        <v>-5.7950689156494333</v>
      </c>
      <c r="BT408" s="1">
        <f t="shared" si="98"/>
        <v>134.00592000171778</v>
      </c>
      <c r="BU408" s="1">
        <f t="shared" si="99"/>
        <v>-69.830633206457577</v>
      </c>
    </row>
    <row r="409" spans="49:73">
      <c r="AW409" s="1">
        <v>399</v>
      </c>
      <c r="AX409" s="1">
        <f t="shared" si="100"/>
        <v>199.5</v>
      </c>
      <c r="AZ409" s="1">
        <f t="shared" si="101"/>
        <v>-54481.250182854121</v>
      </c>
      <c r="BA409" s="1">
        <f t="shared" si="102"/>
        <v>10304.232148201691</v>
      </c>
      <c r="BC409" s="1">
        <f t="shared" si="103"/>
        <v>3227.6493510408845</v>
      </c>
      <c r="BD409" s="1">
        <f t="shared" si="104"/>
        <v>-2617.1429911313376</v>
      </c>
      <c r="BF409" s="1">
        <f t="shared" si="92"/>
        <v>377.74139386081072</v>
      </c>
      <c r="BG409" s="1">
        <f t="shared" si="93"/>
        <v>-78.288724316335177</v>
      </c>
      <c r="BJ409" s="1">
        <f t="shared" si="94"/>
        <v>91.697979009839756</v>
      </c>
      <c r="BK409" s="1">
        <f t="shared" si="95"/>
        <v>-3.4524450117744085</v>
      </c>
      <c r="BO409" s="1">
        <f t="shared" si="96"/>
        <v>142.15721454268191</v>
      </c>
      <c r="BP409" s="1">
        <f t="shared" si="97"/>
        <v>-1.2542699157756836</v>
      </c>
      <c r="BT409" s="1">
        <f t="shared" si="98"/>
        <v>143.88620030828903</v>
      </c>
      <c r="BU409" s="1">
        <f t="shared" si="99"/>
        <v>-73.582009388785082</v>
      </c>
    </row>
    <row r="410" spans="49:73">
      <c r="AW410" s="1">
        <v>400</v>
      </c>
      <c r="AX410" s="1">
        <f t="shared" si="100"/>
        <v>200</v>
      </c>
      <c r="AZ410" s="1">
        <f t="shared" si="101"/>
        <v>-52820.207833101071</v>
      </c>
      <c r="BA410" s="1">
        <f t="shared" si="102"/>
        <v>8985.8745620964783</v>
      </c>
      <c r="BC410" s="1">
        <f t="shared" si="103"/>
        <v>3416.5200479712898</v>
      </c>
      <c r="BD410" s="1">
        <f t="shared" si="104"/>
        <v>-2656.2873532895051</v>
      </c>
      <c r="BF410" s="1">
        <f t="shared" si="92"/>
        <v>407.02007884919277</v>
      </c>
      <c r="BG410" s="1">
        <f t="shared" si="93"/>
        <v>-75.048514574489218</v>
      </c>
      <c r="BJ410" s="1">
        <f t="shared" si="94"/>
        <v>95.952906607678941</v>
      </c>
      <c r="BK410" s="1">
        <f t="shared" si="95"/>
        <v>-1.9578903621689605</v>
      </c>
      <c r="BO410" s="1">
        <f t="shared" si="96"/>
        <v>155.75277101200098</v>
      </c>
      <c r="BP410" s="1">
        <f t="shared" si="97"/>
        <v>4.8126705324494594</v>
      </c>
      <c r="BT410" s="1">
        <f t="shared" si="98"/>
        <v>155.31440122951284</v>
      </c>
      <c r="BU410" s="1">
        <f t="shared" si="99"/>
        <v>-77.90329474476971</v>
      </c>
    </row>
    <row r="411" spans="49:73">
      <c r="AW411" s="1">
        <v>401</v>
      </c>
      <c r="AX411" s="1">
        <f t="shared" si="100"/>
        <v>200.5</v>
      </c>
      <c r="AZ411" s="1">
        <f t="shared" si="101"/>
        <v>-51061.070299259278</v>
      </c>
      <c r="BA411" s="1">
        <f t="shared" si="102"/>
        <v>7648.3498211299147</v>
      </c>
      <c r="BC411" s="1">
        <f t="shared" si="103"/>
        <v>3620.0300873958863</v>
      </c>
      <c r="BD411" s="1">
        <f t="shared" si="104"/>
        <v>-2693.8116105767494</v>
      </c>
      <c r="BF411" s="1">
        <f t="shared" si="92"/>
        <v>440.75107285504566</v>
      </c>
      <c r="BG411" s="1">
        <f t="shared" si="93"/>
        <v>-70.160524066988017</v>
      </c>
      <c r="BJ411" s="1">
        <f t="shared" si="94"/>
        <v>100.68337400410236</v>
      </c>
      <c r="BK411" s="1">
        <f t="shared" si="95"/>
        <v>-0.21019048068602741</v>
      </c>
      <c r="BO411" s="1">
        <f t="shared" si="96"/>
        <v>171.41274863914614</v>
      </c>
      <c r="BP411" s="1">
        <f t="shared" si="97"/>
        <v>12.977750512591768</v>
      </c>
      <c r="BT411" s="1">
        <f t="shared" si="98"/>
        <v>168.65495021179717</v>
      </c>
      <c r="BU411" s="1">
        <f t="shared" si="99"/>
        <v>-82.928084098893763</v>
      </c>
    </row>
    <row r="412" spans="49:73">
      <c r="AW412" s="1">
        <v>402</v>
      </c>
      <c r="AX412" s="1">
        <f t="shared" si="100"/>
        <v>201</v>
      </c>
      <c r="AZ412" s="1">
        <f t="shared" si="101"/>
        <v>-49195.961371454454</v>
      </c>
      <c r="BA412" s="1">
        <f t="shared" si="102"/>
        <v>6292.6739503331664</v>
      </c>
      <c r="BC412" s="1">
        <f t="shared" si="103"/>
        <v>3840.4056238234093</v>
      </c>
      <c r="BD412" s="1">
        <f t="shared" si="104"/>
        <v>-2728.8918726102434</v>
      </c>
      <c r="BF412" s="1">
        <f t="shared" si="92"/>
        <v>479.75810575739786</v>
      </c>
      <c r="BG412" s="1">
        <f t="shared" si="93"/>
        <v>-62.936273663425254</v>
      </c>
      <c r="BJ412" s="1">
        <f t="shared" si="94"/>
        <v>105.96868309126361</v>
      </c>
      <c r="BK412" s="1">
        <f t="shared" si="95"/>
        <v>1.8489337962685017</v>
      </c>
      <c r="BO412" s="1">
        <f t="shared" si="96"/>
        <v>189.39923324546493</v>
      </c>
      <c r="BP412" s="1">
        <f t="shared" si="97"/>
        <v>24.050063029757222</v>
      </c>
      <c r="BT412" s="1">
        <f t="shared" si="98"/>
        <v>184.39018942066932</v>
      </c>
      <c r="BU412" s="1">
        <f t="shared" si="99"/>
        <v>-88.835270489450977</v>
      </c>
    </row>
    <row r="413" spans="49:73">
      <c r="AW413" s="1">
        <v>403</v>
      </c>
      <c r="AX413" s="1">
        <f t="shared" si="100"/>
        <v>201.5</v>
      </c>
      <c r="AZ413" s="1">
        <f t="shared" si="101"/>
        <v>-47215.788796323075</v>
      </c>
      <c r="BA413" s="1">
        <f t="shared" si="102"/>
        <v>4920.360979820116</v>
      </c>
      <c r="BC413" s="1">
        <f t="shared" si="103"/>
        <v>4080.2846767021083</v>
      </c>
      <c r="BD413" s="1">
        <f t="shared" si="104"/>
        <v>-2760.3600094419562</v>
      </c>
      <c r="BF413" s="1">
        <f t="shared" si="92"/>
        <v>524.95891084051198</v>
      </c>
      <c r="BG413" s="1">
        <f t="shared" si="93"/>
        <v>-52.401728366996807</v>
      </c>
      <c r="BJ413" s="1">
        <f t="shared" si="94"/>
        <v>111.90675253131064</v>
      </c>
      <c r="BK413" s="1">
        <f t="shared" si="95"/>
        <v>4.2948097555789539</v>
      </c>
      <c r="BO413" s="1">
        <f t="shared" si="96"/>
        <v>209.88249033236477</v>
      </c>
      <c r="BP413" s="1">
        <f t="shared" si="97"/>
        <v>39.173117322575777</v>
      </c>
      <c r="BT413" s="1">
        <f t="shared" si="98"/>
        <v>203.16966797683651</v>
      </c>
      <c r="BU413" s="1">
        <f t="shared" si="99"/>
        <v>-95.869655445151537</v>
      </c>
    </row>
    <row r="414" spans="49:73">
      <c r="AW414" s="1">
        <v>404</v>
      </c>
      <c r="AX414" s="1">
        <f t="shared" si="100"/>
        <v>202</v>
      </c>
      <c r="AZ414" s="1">
        <f t="shared" si="101"/>
        <v>-45110.026594116956</v>
      </c>
      <c r="BA414" s="1">
        <f t="shared" si="102"/>
        <v>3533.6307590532633</v>
      </c>
      <c r="BC414" s="1">
        <f t="shared" si="103"/>
        <v>4342.7641321223646</v>
      </c>
      <c r="BD414" s="1">
        <f t="shared" si="104"/>
        <v>-2786.5608736254544</v>
      </c>
      <c r="BF414" s="1">
        <f t="shared" si="92"/>
        <v>577.2823583033794</v>
      </c>
      <c r="BG414" s="1">
        <f t="shared" si="93"/>
        <v>-37.203286178787252</v>
      </c>
      <c r="BJ414" s="1">
        <f t="shared" si="94"/>
        <v>118.61978393826398</v>
      </c>
      <c r="BK414" s="1">
        <f t="shared" si="95"/>
        <v>7.2260738781972691</v>
      </c>
      <c r="BO414" s="1">
        <f t="shared" si="96"/>
        <v>232.7776615285095</v>
      </c>
      <c r="BP414" s="1">
        <f t="shared" si="97"/>
        <v>59.945229641458241</v>
      </c>
      <c r="BT414" s="1">
        <f t="shared" si="98"/>
        <v>225.88491283660596</v>
      </c>
      <c r="BU414" s="1">
        <f t="shared" si="99"/>
        <v>-104.37458969844276</v>
      </c>
    </row>
    <row r="415" spans="49:73">
      <c r="AW415" s="1">
        <v>405</v>
      </c>
      <c r="AX415" s="1">
        <f t="shared" si="100"/>
        <v>202.5</v>
      </c>
      <c r="AZ415" s="1">
        <f t="shared" si="101"/>
        <v>-42866.484233267853</v>
      </c>
      <c r="BA415" s="1">
        <f t="shared" si="102"/>
        <v>2135.6999114681876</v>
      </c>
      <c r="BC415" s="1">
        <f t="shared" si="103"/>
        <v>4631.4053112740539</v>
      </c>
      <c r="BD415" s="1">
        <f t="shared" si="104"/>
        <v>-2805.1625167148482</v>
      </c>
      <c r="BF415" s="1">
        <f t="shared" si="92"/>
        <v>637.46750449541321</v>
      </c>
      <c r="BG415" s="1">
        <f t="shared" si="93"/>
        <v>-15.538985947070302</v>
      </c>
      <c r="BJ415" s="1">
        <f t="shared" si="94"/>
        <v>126.26198239876419</v>
      </c>
      <c r="BK415" s="1">
        <f t="shared" si="95"/>
        <v>10.773740119563959</v>
      </c>
      <c r="BO415" s="1">
        <f t="shared" si="96"/>
        <v>257.4201910757115</v>
      </c>
      <c r="BP415" s="1">
        <f t="shared" si="97"/>
        <v>88.532614406953911</v>
      </c>
      <c r="BT415" s="1">
        <f t="shared" si="98"/>
        <v>253.78533102093755</v>
      </c>
      <c r="BU415" s="1">
        <f t="shared" si="99"/>
        <v>-114.84534047358817</v>
      </c>
    </row>
    <row r="416" spans="49:73">
      <c r="AW416" s="1">
        <v>406</v>
      </c>
      <c r="AX416" s="1">
        <f t="shared" si="100"/>
        <v>203</v>
      </c>
      <c r="AZ416" s="1">
        <f t="shared" si="101"/>
        <v>-40471.098139568901</v>
      </c>
      <c r="BA416" s="1">
        <f t="shared" si="102"/>
        <v>731.17627986737966</v>
      </c>
      <c r="BC416" s="1">
        <f t="shared" si="103"/>
        <v>4950.1390635217604</v>
      </c>
      <c r="BD416" s="1">
        <f t="shared" si="104"/>
        <v>-2812.9320096883835</v>
      </c>
      <c r="BF416" s="1">
        <f t="shared" si="92"/>
        <v>705.65763555778835</v>
      </c>
      <c r="BG416" s="1">
        <f t="shared" si="93"/>
        <v>14.762481815269552</v>
      </c>
      <c r="BJ416" s="1">
        <f t="shared" si="94"/>
        <v>135.03008281794476</v>
      </c>
      <c r="BK416" s="1">
        <f t="shared" si="95"/>
        <v>15.114573004777458</v>
      </c>
      <c r="BO416" s="1">
        <f t="shared" si="96"/>
        <v>281.96573663906719</v>
      </c>
      <c r="BP416" s="1">
        <f t="shared" si="97"/>
        <v>127.66734301240037</v>
      </c>
      <c r="BT416" s="1">
        <f t="shared" si="98"/>
        <v>288.66181610077632</v>
      </c>
      <c r="BU416" s="1">
        <f t="shared" si="99"/>
        <v>-128.01943420190827</v>
      </c>
    </row>
    <row r="417" spans="49:73">
      <c r="AW417" s="1">
        <v>407</v>
      </c>
      <c r="AX417" s="1">
        <f t="shared" si="100"/>
        <v>203.5</v>
      </c>
      <c r="AZ417" s="1">
        <f t="shared" si="101"/>
        <v>-37907.821403363298</v>
      </c>
      <c r="BA417" s="1">
        <f t="shared" si="102"/>
        <v>-673.44441474990333</v>
      </c>
      <c r="BC417" s="1">
        <f t="shared" si="103"/>
        <v>5302.9678813006549</v>
      </c>
      <c r="BD417" s="1">
        <f t="shared" si="104"/>
        <v>-2805.5507687807485</v>
      </c>
      <c r="BF417" s="1">
        <f t="shared" si="92"/>
        <v>780.72633972296853</v>
      </c>
      <c r="BG417" s="1">
        <f t="shared" si="93"/>
        <v>55.695720685748171</v>
      </c>
      <c r="BJ417" s="1">
        <f t="shared" si="94"/>
        <v>145.1775507982621</v>
      </c>
      <c r="BK417" s="1">
        <f t="shared" si="95"/>
        <v>20.491198131142401</v>
      </c>
      <c r="BO417" s="1">
        <f t="shared" si="96"/>
        <v>302.40519192385813</v>
      </c>
      <c r="BP417" s="1">
        <f t="shared" si="97"/>
        <v>180.23995962595848</v>
      </c>
      <c r="BT417" s="1">
        <f t="shared" si="98"/>
        <v>333.14359700084833</v>
      </c>
      <c r="BU417" s="1">
        <f t="shared" si="99"/>
        <v>-145.0354370713527</v>
      </c>
    </row>
    <row r="418" spans="49:73">
      <c r="AW418" s="1">
        <v>408</v>
      </c>
      <c r="AX418" s="1">
        <f t="shared" si="100"/>
        <v>204</v>
      </c>
      <c r="AZ418" s="1">
        <f t="shared" si="101"/>
        <v>-35158.746670247594</v>
      </c>
      <c r="BA418" s="1">
        <f t="shared" si="102"/>
        <v>-2069.2578340545592</v>
      </c>
      <c r="BC418" s="1">
        <f t="shared" si="103"/>
        <v>5693.3310511621394</v>
      </c>
      <c r="BD418" s="1">
        <f t="shared" si="104"/>
        <v>-2777.7029084378746</v>
      </c>
      <c r="BF418" s="1">
        <f t="shared" si="92"/>
        <v>859.54071916609928</v>
      </c>
      <c r="BG418" s="1">
        <f t="shared" si="93"/>
        <v>107.39110137797033</v>
      </c>
      <c r="BJ418" s="1">
        <f t="shared" si="94"/>
        <v>157.03313438456485</v>
      </c>
      <c r="BK418" s="1">
        <f t="shared" si="95"/>
        <v>27.243014791454364</v>
      </c>
      <c r="BO418" s="1">
        <f t="shared" si="96"/>
        <v>311.32155660911542</v>
      </c>
      <c r="BP418" s="1">
        <f t="shared" si="97"/>
        <v>247.87142484473321</v>
      </c>
      <c r="BT418" s="1">
        <f t="shared" si="98"/>
        <v>391.18602817241901</v>
      </c>
      <c r="BU418" s="1">
        <f t="shared" si="99"/>
        <v>-167.72333825821724</v>
      </c>
    </row>
    <row r="419" spans="49:73">
      <c r="AW419" s="1">
        <v>409</v>
      </c>
      <c r="AX419" s="1">
        <f t="shared" si="100"/>
        <v>204.5</v>
      </c>
      <c r="AZ419" s="1">
        <f t="shared" si="101"/>
        <v>-32204.638554770761</v>
      </c>
      <c r="BA419" s="1">
        <f t="shared" si="102"/>
        <v>-3444.6854006012504</v>
      </c>
      <c r="BC419" s="1">
        <f t="shared" si="103"/>
        <v>6123.1014107451892</v>
      </c>
      <c r="BD419" s="1">
        <f t="shared" si="104"/>
        <v>-2724.0073577488893</v>
      </c>
      <c r="BF419" s="1">
        <f t="shared" si="92"/>
        <v>937.30838179455918</v>
      </c>
      <c r="BG419" s="1">
        <f t="shared" si="93"/>
        <v>164.323073678946</v>
      </c>
      <c r="BJ419" s="1">
        <f t="shared" si="94"/>
        <v>171.02332315884303</v>
      </c>
      <c r="BK419" s="1">
        <f t="shared" si="95"/>
        <v>35.85498377074471</v>
      </c>
      <c r="BO419" s="1">
        <f t="shared" si="96"/>
        <v>297.40806678785657</v>
      </c>
      <c r="BP419" s="1">
        <f t="shared" si="97"/>
        <v>327.62608049549419</v>
      </c>
      <c r="BT419" s="1">
        <f t="shared" si="98"/>
        <v>468.87699184785959</v>
      </c>
      <c r="BU419" s="1">
        <f t="shared" si="99"/>
        <v>-199.15799058729289</v>
      </c>
    </row>
    <row r="420" spans="49:73">
      <c r="AW420" s="1">
        <v>410</v>
      </c>
      <c r="AX420" s="1">
        <f t="shared" si="100"/>
        <v>205</v>
      </c>
      <c r="AZ420" s="1">
        <f t="shared" si="101"/>
        <v>-29025.924301673844</v>
      </c>
      <c r="BA420" s="1">
        <f t="shared" si="102"/>
        <v>-4786.1486952658261</v>
      </c>
      <c r="BC420" s="1">
        <f t="shared" si="103"/>
        <v>6591.7556016424687</v>
      </c>
      <c r="BD420" s="1">
        <f t="shared" si="104"/>
        <v>-2641.845820909416</v>
      </c>
      <c r="BF420" s="1">
        <f t="shared" si="92"/>
        <v>1011.9597547421554</v>
      </c>
      <c r="BG420" s="1">
        <f t="shared" si="93"/>
        <v>209.40353521511517</v>
      </c>
      <c r="BJ420" s="1">
        <f t="shared" si="94"/>
        <v>187.69495504089574</v>
      </c>
      <c r="BK420" s="1">
        <f t="shared" si="95"/>
        <v>47.037320761027367</v>
      </c>
      <c r="BO420" s="1">
        <f t="shared" si="96"/>
        <v>248.52170019613541</v>
      </c>
      <c r="BP420" s="1">
        <f t="shared" si="97"/>
        <v>407.12493150633543</v>
      </c>
      <c r="BT420" s="1">
        <f t="shared" si="98"/>
        <v>575.74309950512418</v>
      </c>
      <c r="BU420" s="1">
        <f t="shared" si="99"/>
        <v>-244.75871705224765</v>
      </c>
    </row>
    <row r="421" spans="49:73">
      <c r="AW421" s="1">
        <v>411</v>
      </c>
      <c r="AX421" s="1">
        <f t="shared" si="100"/>
        <v>205.5</v>
      </c>
      <c r="AZ421" s="1">
        <f t="shared" si="101"/>
        <v>-25603.551531509838</v>
      </c>
      <c r="BA421" s="1">
        <f t="shared" si="102"/>
        <v>-6080.8961638186438</v>
      </c>
      <c r="BC421" s="1">
        <f t="shared" si="103"/>
        <v>7097.7354790135469</v>
      </c>
      <c r="BD421" s="1">
        <f t="shared" si="104"/>
        <v>-2537.1440533018585</v>
      </c>
      <c r="BF421" s="1">
        <f t="shared" si="92"/>
        <v>1095.6119807318005</v>
      </c>
      <c r="BG421" s="1">
        <f t="shared" si="93"/>
        <v>210.01625644608339</v>
      </c>
      <c r="BJ421" s="1">
        <f t="shared" si="94"/>
        <v>207.72641727135769</v>
      </c>
      <c r="BK421" s="1">
        <f t="shared" si="95"/>
        <v>61.861649119479701</v>
      </c>
      <c r="BO421" s="1">
        <f t="shared" si="96"/>
        <v>161.23753574494134</v>
      </c>
      <c r="BP421" s="1">
        <f t="shared" si="97"/>
        <v>462.71441521405535</v>
      </c>
      <c r="BT421" s="1">
        <f t="shared" si="98"/>
        <v>726.64802771550148</v>
      </c>
      <c r="BU421" s="1">
        <f t="shared" si="99"/>
        <v>-314.55980788745171</v>
      </c>
    </row>
    <row r="422" spans="49:73">
      <c r="AW422" s="1">
        <v>412</v>
      </c>
      <c r="AX422" s="1">
        <f t="shared" si="100"/>
        <v>206</v>
      </c>
      <c r="AZ422" s="1">
        <f t="shared" si="101"/>
        <v>-21917.732294411591</v>
      </c>
      <c r="BA422" s="1">
        <f t="shared" si="102"/>
        <v>-7323.216158413813</v>
      </c>
      <c r="BC422" s="1">
        <f t="shared" si="103"/>
        <v>7645.5414693794473</v>
      </c>
      <c r="BD422" s="1">
        <f t="shared" si="104"/>
        <v>-2432.1359250788169</v>
      </c>
      <c r="BF422" s="1">
        <f t="shared" si="92"/>
        <v>1227.0526431360167</v>
      </c>
      <c r="BG422" s="1">
        <f t="shared" si="93"/>
        <v>123.56878154299903</v>
      </c>
      <c r="BJ422" s="1">
        <f t="shared" si="94"/>
        <v>231.89792121796242</v>
      </c>
      <c r="BK422" s="1">
        <f t="shared" si="95"/>
        <v>82.005223678546969</v>
      </c>
      <c r="BO422" s="1">
        <f t="shared" si="96"/>
        <v>51.980500690510411</v>
      </c>
      <c r="BP422" s="1">
        <f t="shared" si="97"/>
        <v>469.54908779933601</v>
      </c>
      <c r="BT422" s="1">
        <f t="shared" si="98"/>
        <v>943.17422122754385</v>
      </c>
      <c r="BU422" s="1">
        <f t="shared" si="99"/>
        <v>-427.98552993488391</v>
      </c>
    </row>
    <row r="423" spans="49:73">
      <c r="AW423" s="1">
        <v>413</v>
      </c>
      <c r="AX423" s="1">
        <f t="shared" si="100"/>
        <v>206.5</v>
      </c>
      <c r="AZ423" s="1">
        <f t="shared" si="101"/>
        <v>-17941.579979329868</v>
      </c>
      <c r="BA423" s="1">
        <f t="shared" si="102"/>
        <v>-8523.8380232603467</v>
      </c>
      <c r="BC423" s="1">
        <f t="shared" si="103"/>
        <v>8259.0677909474562</v>
      </c>
      <c r="BD423" s="1">
        <f t="shared" si="104"/>
        <v>-2370.3515343073173</v>
      </c>
      <c r="BF423" s="1">
        <f t="shared" si="92"/>
        <v>1459.0424182123356</v>
      </c>
      <c r="BG423" s="1">
        <f t="shared" si="93"/>
        <v>-91.217880047051267</v>
      </c>
      <c r="BJ423" s="1">
        <f t="shared" si="94"/>
        <v>260.93719086074168</v>
      </c>
      <c r="BK423" s="1">
        <f t="shared" si="95"/>
        <v>110.20140128257634</v>
      </c>
      <c r="BO423" s="1">
        <f t="shared" si="96"/>
        <v>-46.846388974221327</v>
      </c>
      <c r="BP423" s="1">
        <f t="shared" si="97"/>
        <v>421.57330021042821</v>
      </c>
      <c r="BT423" s="1">
        <f t="shared" si="98"/>
        <v>1244.9516163258154</v>
      </c>
      <c r="BU423" s="1">
        <f t="shared" si="99"/>
        <v>-622.99258154005588</v>
      </c>
    </row>
    <row r="424" spans="49:73">
      <c r="AW424" s="1">
        <v>414</v>
      </c>
      <c r="AX424" s="1">
        <f t="shared" si="100"/>
        <v>207</v>
      </c>
      <c r="AZ424" s="1">
        <f t="shared" si="101"/>
        <v>-13629.665781579599</v>
      </c>
      <c r="BA424" s="1">
        <f t="shared" si="102"/>
        <v>-9720.4160254198869</v>
      </c>
      <c r="BC424" s="1">
        <f t="shared" si="103"/>
        <v>8988.5890000536237</v>
      </c>
      <c r="BD424" s="1">
        <f t="shared" si="104"/>
        <v>-2415.9604743308428</v>
      </c>
      <c r="BF424" s="1">
        <f t="shared" si="92"/>
        <v>1755.4731775920495</v>
      </c>
      <c r="BG424" s="1">
        <f t="shared" si="93"/>
        <v>-470.99171516332677</v>
      </c>
      <c r="BJ424" s="1">
        <f t="shared" si="94"/>
        <v>294.95146742923288</v>
      </c>
      <c r="BK424" s="1">
        <f t="shared" si="95"/>
        <v>151.03293055090546</v>
      </c>
      <c r="BO424" s="1">
        <f t="shared" si="96"/>
        <v>-109.31122675369244</v>
      </c>
      <c r="BP424" s="1">
        <f t="shared" si="97"/>
        <v>338.39085892833185</v>
      </c>
      <c r="BT424" s="1">
        <f t="shared" si="98"/>
        <v>1569.8329369165092</v>
      </c>
      <c r="BU424" s="1">
        <f t="shared" si="99"/>
        <v>-960.41550464256409</v>
      </c>
    </row>
    <row r="425" spans="49:73">
      <c r="AW425" s="1">
        <v>415</v>
      </c>
      <c r="AX425" s="1">
        <f t="shared" si="100"/>
        <v>207.5</v>
      </c>
      <c r="AZ425" s="1">
        <f t="shared" si="101"/>
        <v>-8915.9371343537805</v>
      </c>
      <c r="BA425" s="1">
        <f t="shared" si="102"/>
        <v>-10987.270226980725</v>
      </c>
      <c r="BC425" s="1">
        <f t="shared" si="103"/>
        <v>9866.3255888496478</v>
      </c>
      <c r="BD425" s="1">
        <f t="shared" si="104"/>
        <v>-2651.4563319125064</v>
      </c>
      <c r="BF425" s="1">
        <f t="shared" si="92"/>
        <v>1560.739799250277</v>
      </c>
      <c r="BG425" s="1">
        <f t="shared" si="93"/>
        <v>-933.67164648183348</v>
      </c>
      <c r="BJ425" s="1">
        <f t="shared" si="94"/>
        <v>331.42494675079416</v>
      </c>
      <c r="BK425" s="1">
        <f t="shared" si="95"/>
        <v>211.89500177966687</v>
      </c>
      <c r="BO425" s="1">
        <f t="shared" si="96"/>
        <v>-131.37779509458306</v>
      </c>
      <c r="BP425" s="1">
        <f t="shared" si="97"/>
        <v>248.75908057330966</v>
      </c>
      <c r="BT425" s="1">
        <f t="shared" si="98"/>
        <v>1360.6926475940659</v>
      </c>
      <c r="BU425" s="1">
        <f t="shared" si="99"/>
        <v>-1394.32572883481</v>
      </c>
    </row>
    <row r="426" spans="49:73">
      <c r="AW426" s="1">
        <v>416</v>
      </c>
      <c r="AX426" s="1">
        <f t="shared" si="100"/>
        <v>208</v>
      </c>
      <c r="AZ426" s="1">
        <f t="shared" si="101"/>
        <v>-3787.6818650226719</v>
      </c>
      <c r="BA426" s="1">
        <f t="shared" si="102"/>
        <v>-12429.707348747206</v>
      </c>
      <c r="BC426" s="1">
        <f t="shared" si="103"/>
        <v>10646.695488474787</v>
      </c>
      <c r="BD426" s="1">
        <f t="shared" si="104"/>
        <v>-3118.2921551534232</v>
      </c>
      <c r="BF426" s="1">
        <f t="shared" si="92"/>
        <v>-330.76758231452709</v>
      </c>
      <c r="BG426" s="1">
        <f t="shared" si="93"/>
        <v>-723.57894602137139</v>
      </c>
      <c r="BJ426" s="1">
        <f t="shared" si="94"/>
        <v>359.3536148935919</v>
      </c>
      <c r="BK426" s="1">
        <f t="shared" si="95"/>
        <v>301.07231213960353</v>
      </c>
      <c r="BO426" s="1">
        <f t="shared" si="96"/>
        <v>-125.15741274137945</v>
      </c>
      <c r="BP426" s="1">
        <f t="shared" si="97"/>
        <v>173.15501194483755</v>
      </c>
      <c r="BT426" s="1">
        <f t="shared" si="98"/>
        <v>-564.96378446673953</v>
      </c>
      <c r="BU426" s="1">
        <f t="shared" si="99"/>
        <v>-1197.8062701058125</v>
      </c>
    </row>
    <row r="427" spans="49:73">
      <c r="AW427" s="1">
        <v>417</v>
      </c>
      <c r="AX427" s="1">
        <f t="shared" si="100"/>
        <v>208.5</v>
      </c>
      <c r="AZ427" s="1">
        <f t="shared" si="101"/>
        <v>1494.3199314254055</v>
      </c>
      <c r="BA427" s="1">
        <f t="shared" si="102"/>
        <v>-14079.300794576589</v>
      </c>
      <c r="BC427" s="1">
        <f t="shared" si="103"/>
        <v>10481.311697317524</v>
      </c>
      <c r="BD427" s="1">
        <f t="shared" si="104"/>
        <v>-3480.0816281641091</v>
      </c>
      <c r="BF427" s="1">
        <f t="shared" si="92"/>
        <v>-1741.097080706789</v>
      </c>
      <c r="BG427" s="1">
        <f t="shared" si="93"/>
        <v>251.06742562078159</v>
      </c>
      <c r="BJ427" s="1">
        <f t="shared" si="94"/>
        <v>354.06598614197338</v>
      </c>
      <c r="BK427" s="1">
        <f t="shared" si="95"/>
        <v>412.8730415620193</v>
      </c>
      <c r="BO427" s="1">
        <f t="shared" si="96"/>
        <v>-107.1488956598829</v>
      </c>
      <c r="BP427" s="1">
        <f t="shared" si="97"/>
        <v>120.03499048271233</v>
      </c>
      <c r="BT427" s="1">
        <f t="shared" si="98"/>
        <v>-1988.0141711888796</v>
      </c>
      <c r="BU427" s="1">
        <f t="shared" si="99"/>
        <v>-281.84060642395002</v>
      </c>
    </row>
    <row r="428" spans="49:73">
      <c r="AW428" s="1">
        <v>418</v>
      </c>
      <c r="AX428" s="1">
        <f t="shared" si="100"/>
        <v>209</v>
      </c>
      <c r="AZ428" s="1">
        <f t="shared" si="101"/>
        <v>6517.3386449958189</v>
      </c>
      <c r="BA428" s="1">
        <f t="shared" si="102"/>
        <v>-15787.958180456046</v>
      </c>
      <c r="BC428" s="1">
        <f t="shared" si="103"/>
        <v>9610.7631569641289</v>
      </c>
      <c r="BD428" s="1">
        <f t="shared" si="104"/>
        <v>-3354.5479153537185</v>
      </c>
      <c r="BF428" s="1">
        <f t="shared" si="92"/>
        <v>-1483.4991667523877</v>
      </c>
      <c r="BG428" s="1">
        <f t="shared" si="93"/>
        <v>718.01930328598394</v>
      </c>
      <c r="BJ428" s="1">
        <f t="shared" si="94"/>
        <v>298.39776156852594</v>
      </c>
      <c r="BK428" s="1">
        <f t="shared" si="95"/>
        <v>515.40822761748973</v>
      </c>
      <c r="BO428" s="1">
        <f t="shared" si="96"/>
        <v>-89.265051789011125</v>
      </c>
      <c r="BP428" s="1">
        <f t="shared" si="97"/>
        <v>86.809745628288141</v>
      </c>
      <c r="BT428" s="1">
        <f t="shared" si="98"/>
        <v>-1692.6318765319027</v>
      </c>
      <c r="BU428" s="1">
        <f t="shared" si="99"/>
        <v>115.80133004020604</v>
      </c>
    </row>
    <row r="429" spans="49:73">
      <c r="AW429" s="1">
        <v>419</v>
      </c>
      <c r="AX429" s="1">
        <f t="shared" si="100"/>
        <v>209.5</v>
      </c>
      <c r="AZ429" s="1">
        <f t="shared" si="101"/>
        <v>11137.282827633835</v>
      </c>
      <c r="BA429" s="1">
        <f t="shared" si="102"/>
        <v>-17375.479725222158</v>
      </c>
      <c r="BC429" s="1">
        <f t="shared" si="103"/>
        <v>8869.0135735879358</v>
      </c>
      <c r="BD429" s="1">
        <f t="shared" si="104"/>
        <v>-2995.5382637107264</v>
      </c>
      <c r="BF429" s="1">
        <f t="shared" si="92"/>
        <v>-1075.5661762507521</v>
      </c>
      <c r="BG429" s="1">
        <f t="shared" si="93"/>
        <v>822.23779604432661</v>
      </c>
      <c r="BJ429" s="1">
        <f t="shared" si="94"/>
        <v>206.11159967303146</v>
      </c>
      <c r="BK429" s="1">
        <f t="shared" si="95"/>
        <v>578.50485568758836</v>
      </c>
      <c r="BO429" s="1">
        <f t="shared" si="96"/>
        <v>-75.226263587119405</v>
      </c>
      <c r="BP429" s="1">
        <f t="shared" si="97"/>
        <v>66.137917847017818</v>
      </c>
      <c r="BT429" s="1">
        <f t="shared" si="98"/>
        <v>-1206.4515123366641</v>
      </c>
      <c r="BU429" s="1">
        <f t="shared" si="99"/>
        <v>177.59502250972042</v>
      </c>
    </row>
    <row r="430" spans="49:73">
      <c r="AW430" s="1">
        <v>420</v>
      </c>
      <c r="AX430" s="1">
        <f t="shared" si="100"/>
        <v>210</v>
      </c>
      <c r="AZ430" s="1">
        <f t="shared" si="101"/>
        <v>15437.343842396458</v>
      </c>
      <c r="BA430" s="1">
        <f t="shared" si="102"/>
        <v>-18770.46913257198</v>
      </c>
      <c r="BC430" s="1">
        <f t="shared" si="103"/>
        <v>8331.23048546256</v>
      </c>
      <c r="BD430" s="1">
        <f t="shared" si="104"/>
        <v>-2584.4193656885632</v>
      </c>
      <c r="BF430" s="1">
        <f t="shared" si="92"/>
        <v>-833.49911125073766</v>
      </c>
      <c r="BG430" s="1">
        <f t="shared" si="93"/>
        <v>809.02390943399871</v>
      </c>
      <c r="BJ430" s="1">
        <f t="shared" si="94"/>
        <v>103.44772045414167</v>
      </c>
      <c r="BK430" s="1">
        <f t="shared" si="95"/>
        <v>595.62238598598401</v>
      </c>
      <c r="BO430" s="1">
        <f t="shared" si="96"/>
        <v>-64.6258885652597</v>
      </c>
      <c r="BP430" s="1">
        <f t="shared" si="97"/>
        <v>52.467734049169756</v>
      </c>
      <c r="BT430" s="1">
        <f t="shared" si="98"/>
        <v>-872.32094313961966</v>
      </c>
      <c r="BU430" s="1">
        <f t="shared" si="99"/>
        <v>160.93378939884497</v>
      </c>
    </row>
    <row r="431" spans="49:73">
      <c r="AW431" s="1">
        <v>421</v>
      </c>
      <c r="AX431" s="1">
        <f t="shared" si="100"/>
        <v>210.5</v>
      </c>
      <c r="AZ431" s="1">
        <f t="shared" si="101"/>
        <v>19498.771696221396</v>
      </c>
      <c r="BA431" s="1">
        <f t="shared" si="102"/>
        <v>-19961.55082673701</v>
      </c>
      <c r="BC431" s="1">
        <f t="shared" si="103"/>
        <v>7914.4809298371911</v>
      </c>
      <c r="BD431" s="1">
        <f t="shared" si="104"/>
        <v>-2179.9074109715639</v>
      </c>
      <c r="BF431" s="1">
        <f t="shared" si="92"/>
        <v>-703.37842614752913</v>
      </c>
      <c r="BG431" s="1">
        <f t="shared" si="93"/>
        <v>751.76252993271282</v>
      </c>
      <c r="BJ431" s="1">
        <f t="shared" si="94"/>
        <v>10.508760555874339</v>
      </c>
      <c r="BK431" s="1">
        <f t="shared" si="95"/>
        <v>575.75930959123014</v>
      </c>
      <c r="BO431" s="1">
        <f t="shared" si="96"/>
        <v>-56.517697650940754</v>
      </c>
      <c r="BP431" s="1">
        <f t="shared" si="97"/>
        <v>42.871152647534345</v>
      </c>
      <c r="BT431" s="1">
        <f t="shared" si="98"/>
        <v>-657.36948905246265</v>
      </c>
      <c r="BU431" s="1">
        <f t="shared" si="99"/>
        <v>133.1320676939483</v>
      </c>
    </row>
    <row r="432" spans="49:73">
      <c r="AW432" s="1">
        <v>422</v>
      </c>
      <c r="AX432" s="1">
        <f t="shared" si="100"/>
        <v>211</v>
      </c>
      <c r="AZ432" s="1">
        <f t="shared" si="101"/>
        <v>23368.08985787155</v>
      </c>
      <c r="BA432" s="1">
        <f t="shared" si="102"/>
        <v>-20957.534215981203</v>
      </c>
      <c r="BC432" s="1">
        <f t="shared" si="103"/>
        <v>7562.7917167634268</v>
      </c>
      <c r="BD432" s="1">
        <f t="shared" si="104"/>
        <v>-1804.0261460052075</v>
      </c>
      <c r="BF432" s="1">
        <f t="shared" si="92"/>
        <v>-628.44994135491584</v>
      </c>
      <c r="BG432" s="1">
        <f t="shared" si="93"/>
        <v>676.96008029786981</v>
      </c>
      <c r="BJ432" s="1">
        <f t="shared" si="94"/>
        <v>-63.076687382539951</v>
      </c>
      <c r="BK432" s="1">
        <f t="shared" si="95"/>
        <v>532.94510098187448</v>
      </c>
      <c r="BO432" s="1">
        <f t="shared" si="96"/>
        <v>-50.18005477016191</v>
      </c>
      <c r="BP432" s="1">
        <f t="shared" si="97"/>
        <v>35.820133365295959</v>
      </c>
      <c r="BT432" s="1">
        <f t="shared" si="98"/>
        <v>-515.19319920221392</v>
      </c>
      <c r="BU432" s="1">
        <f t="shared" si="99"/>
        <v>108.19484595069936</v>
      </c>
    </row>
    <row r="433" spans="49:73">
      <c r="AW433" s="1">
        <v>423</v>
      </c>
      <c r="AX433" s="1">
        <f t="shared" si="100"/>
        <v>211.5</v>
      </c>
      <c r="AZ433" s="1">
        <f t="shared" si="101"/>
        <v>27070.929473583899</v>
      </c>
      <c r="BA433" s="1">
        <f t="shared" si="102"/>
        <v>-21774.927278946572</v>
      </c>
      <c r="BC433" s="1">
        <f t="shared" si="103"/>
        <v>7248.5667460859686</v>
      </c>
      <c r="BD433" s="1">
        <f t="shared" si="104"/>
        <v>-1465.5461058562726</v>
      </c>
      <c r="BF433" s="1">
        <f t="shared" si="92"/>
        <v>-578.19207377455143</v>
      </c>
      <c r="BG433" s="1">
        <f t="shared" si="93"/>
        <v>598.25851398738473</v>
      </c>
      <c r="BJ433" s="1">
        <f t="shared" si="94"/>
        <v>-115.85595595850504</v>
      </c>
      <c r="BK433" s="1">
        <f t="shared" si="95"/>
        <v>479.66461809426056</v>
      </c>
      <c r="BO433" s="1">
        <f t="shared" si="96"/>
        <v>-45.119486929081241</v>
      </c>
      <c r="BP433" s="1">
        <f t="shared" si="97"/>
        <v>30.457618578352239</v>
      </c>
      <c r="BT433" s="1">
        <f t="shared" si="98"/>
        <v>-417.21663088696516</v>
      </c>
      <c r="BU433" s="1">
        <f t="shared" si="99"/>
        <v>88.136277314771931</v>
      </c>
    </row>
    <row r="434" spans="49:73">
      <c r="AW434" s="1">
        <v>424</v>
      </c>
      <c r="AX434" s="1">
        <f t="shared" si="100"/>
        <v>212</v>
      </c>
      <c r="AZ434" s="1">
        <f t="shared" si="101"/>
        <v>30622.938837405065</v>
      </c>
      <c r="BA434" s="1">
        <f t="shared" si="102"/>
        <v>-22432.918017626285</v>
      </c>
      <c r="BC434" s="1">
        <f t="shared" si="103"/>
        <v>6959.4707091986929</v>
      </c>
      <c r="BD434" s="1">
        <f t="shared" si="104"/>
        <v>-1166.4168488625801</v>
      </c>
      <c r="BF434" s="1">
        <f t="shared" si="92"/>
        <v>-538.66103471837232</v>
      </c>
      <c r="BG434" s="1">
        <f t="shared" si="93"/>
        <v>523.15013200609098</v>
      </c>
      <c r="BJ434" s="1">
        <f t="shared" si="94"/>
        <v>-150.64265484407161</v>
      </c>
      <c r="BK434" s="1">
        <f t="shared" si="95"/>
        <v>424.47521410248982</v>
      </c>
      <c r="BO434" s="1">
        <f t="shared" si="96"/>
        <v>-40.999850120419993</v>
      </c>
      <c r="BP434" s="1">
        <f t="shared" si="97"/>
        <v>26.267632978826679</v>
      </c>
      <c r="BT434" s="1">
        <f t="shared" si="98"/>
        <v>-347.01852975388067</v>
      </c>
      <c r="BU434" s="1">
        <f t="shared" si="99"/>
        <v>72.407284924774487</v>
      </c>
    </row>
    <row r="435" spans="49:73">
      <c r="AW435" s="1">
        <v>425</v>
      </c>
      <c r="AX435" s="1">
        <f t="shared" si="100"/>
        <v>212.5</v>
      </c>
      <c r="AZ435" s="1">
        <f t="shared" si="101"/>
        <v>34035.341562664617</v>
      </c>
      <c r="BA435" s="1">
        <f t="shared" si="102"/>
        <v>-22950.732675556814</v>
      </c>
      <c r="BC435" s="1">
        <f t="shared" si="103"/>
        <v>6690.1401918395068</v>
      </c>
      <c r="BD435" s="1">
        <f t="shared" si="104"/>
        <v>-904.84178285953453</v>
      </c>
      <c r="BF435" s="1">
        <f t="shared" si="92"/>
        <v>-504.13257493643886</v>
      </c>
      <c r="BG435" s="1">
        <f t="shared" si="93"/>
        <v>455.22153522914363</v>
      </c>
      <c r="BJ435" s="1">
        <f t="shared" si="94"/>
        <v>-171.56269519429171</v>
      </c>
      <c r="BK435" s="1">
        <f t="shared" si="95"/>
        <v>372.21821393761604</v>
      </c>
      <c r="BO435" s="1">
        <f t="shared" si="96"/>
        <v>-37.588380338184983</v>
      </c>
      <c r="BP435" s="1">
        <f t="shared" si="97"/>
        <v>22.921381385076092</v>
      </c>
      <c r="BT435" s="1">
        <f t="shared" si="98"/>
        <v>-294.98149940396218</v>
      </c>
      <c r="BU435" s="1">
        <f t="shared" si="99"/>
        <v>60.08193990645151</v>
      </c>
    </row>
    <row r="436" spans="49:73">
      <c r="AW436" s="1">
        <v>426</v>
      </c>
      <c r="AX436" s="1">
        <f t="shared" si="100"/>
        <v>213</v>
      </c>
      <c r="AZ436" s="1">
        <f t="shared" si="101"/>
        <v>37317.395086717319</v>
      </c>
      <c r="BA436" s="1">
        <f t="shared" si="102"/>
        <v>-23346.250875082937</v>
      </c>
      <c r="BC436" s="1">
        <f t="shared" si="103"/>
        <v>6438.0739043712874</v>
      </c>
      <c r="BD436" s="1">
        <f t="shared" si="104"/>
        <v>-677.23101524496269</v>
      </c>
      <c r="BF436" s="1">
        <f t="shared" si="92"/>
        <v>-472.50799160410662</v>
      </c>
      <c r="BG436" s="1">
        <f t="shared" si="93"/>
        <v>395.65805270839223</v>
      </c>
      <c r="BJ436" s="1">
        <f t="shared" si="94"/>
        <v>-182.52120794198021</v>
      </c>
      <c r="BK436" s="1">
        <f t="shared" si="95"/>
        <v>325.11211657461473</v>
      </c>
      <c r="BO436" s="1">
        <f t="shared" si="96"/>
        <v>-34.720618860592133</v>
      </c>
      <c r="BP436" s="1">
        <f t="shared" si="97"/>
        <v>20.199844485461437</v>
      </c>
      <c r="BT436" s="1">
        <f t="shared" si="98"/>
        <v>-255.26616480153427</v>
      </c>
      <c r="BU436" s="1">
        <f t="shared" si="99"/>
        <v>50.346091648316076</v>
      </c>
    </row>
    <row r="437" spans="49:73">
      <c r="AW437" s="1">
        <v>427</v>
      </c>
      <c r="AX437" s="1">
        <f t="shared" si="100"/>
        <v>213.5</v>
      </c>
      <c r="AZ437" s="1">
        <f t="shared" si="101"/>
        <v>40477.368539952447</v>
      </c>
      <c r="BA437" s="1">
        <f t="shared" si="102"/>
        <v>-23635.409126116869</v>
      </c>
      <c r="BC437" s="1">
        <f t="shared" si="103"/>
        <v>6201.819908569234</v>
      </c>
      <c r="BD437" s="1">
        <f t="shared" si="104"/>
        <v>-479.40198889076657</v>
      </c>
      <c r="BF437" s="1">
        <f t="shared" si="92"/>
        <v>-443.12739100353286</v>
      </c>
      <c r="BG437" s="1">
        <f t="shared" si="93"/>
        <v>344.33145975808327</v>
      </c>
      <c r="BJ437" s="1">
        <f t="shared" si="94"/>
        <v>-186.65777796365515</v>
      </c>
      <c r="BK437" s="1">
        <f t="shared" si="95"/>
        <v>283.80923418609234</v>
      </c>
      <c r="BO437" s="1">
        <f t="shared" si="96"/>
        <v>-32.27800215663428</v>
      </c>
      <c r="BP437" s="1">
        <f t="shared" si="97"/>
        <v>17.951902249100904</v>
      </c>
      <c r="BT437" s="1">
        <f t="shared" si="98"/>
        <v>-224.19161088324344</v>
      </c>
      <c r="BU437" s="1">
        <f t="shared" si="99"/>
        <v>42.570323322890019</v>
      </c>
    </row>
    <row r="438" spans="49:73">
      <c r="AW438" s="1">
        <v>428</v>
      </c>
      <c r="AX438" s="1">
        <f t="shared" si="100"/>
        <v>214</v>
      </c>
      <c r="AZ438" s="1">
        <f t="shared" si="101"/>
        <v>43522.887570361621</v>
      </c>
      <c r="BA438" s="1">
        <f t="shared" si="102"/>
        <v>-23832.068688092491</v>
      </c>
      <c r="BC438" s="1">
        <f t="shared" si="103"/>
        <v>5980.2562130674678</v>
      </c>
      <c r="BD438" s="1">
        <f t="shared" si="104"/>
        <v>-307.23625901172494</v>
      </c>
      <c r="BF438" s="1">
        <f t="shared" si="92"/>
        <v>-415.82410737750104</v>
      </c>
      <c r="BG438" s="1">
        <f t="shared" si="93"/>
        <v>300.49909346230731</v>
      </c>
      <c r="BJ438" s="1">
        <f t="shared" si="94"/>
        <v>-186.29566589851214</v>
      </c>
      <c r="BK438" s="1">
        <f t="shared" si="95"/>
        <v>248.14252003570576</v>
      </c>
      <c r="BO438" s="1">
        <f t="shared" si="96"/>
        <v>-30.173393019625109</v>
      </c>
      <c r="BP438" s="1">
        <f t="shared" si="97"/>
        <v>16.070244037033721</v>
      </c>
      <c r="BT438" s="1">
        <f t="shared" si="98"/>
        <v>-199.35504845936379</v>
      </c>
      <c r="BU438" s="1">
        <f t="shared" si="99"/>
        <v>36.286329389567825</v>
      </c>
    </row>
    <row r="439" spans="49:73">
      <c r="AW439" s="1">
        <v>429</v>
      </c>
      <c r="AX439" s="1">
        <f t="shared" si="100"/>
        <v>214.5</v>
      </c>
      <c r="AZ439" s="1">
        <f t="shared" si="101"/>
        <v>46461.037663473166</v>
      </c>
      <c r="BA439" s="1">
        <f t="shared" si="102"/>
        <v>-23948.124430915566</v>
      </c>
      <c r="BC439" s="1">
        <f t="shared" si="103"/>
        <v>5772.3441593787174</v>
      </c>
      <c r="BD439" s="1">
        <f t="shared" si="104"/>
        <v>-156.98671228057128</v>
      </c>
      <c r="BF439" s="1">
        <f t="shared" si="92"/>
        <v>-390.55382863083719</v>
      </c>
      <c r="BG439" s="1">
        <f t="shared" si="93"/>
        <v>263.20386518895111</v>
      </c>
      <c r="BJ439" s="1">
        <f t="shared" si="94"/>
        <v>-183.07443466489826</v>
      </c>
      <c r="BK439" s="1">
        <f t="shared" si="95"/>
        <v>217.57830039328687</v>
      </c>
      <c r="BO439" s="1">
        <f t="shared" si="96"/>
        <v>-28.341582870739558</v>
      </c>
      <c r="BP439" s="1">
        <f t="shared" si="97"/>
        <v>14.4768064973166</v>
      </c>
      <c r="BT439" s="1">
        <f t="shared" si="98"/>
        <v>-179.13781109519937</v>
      </c>
      <c r="BU439" s="1">
        <f t="shared" si="99"/>
        <v>31.148758298347655</v>
      </c>
    </row>
    <row r="440" spans="49:73">
      <c r="AW440" s="1">
        <v>430</v>
      </c>
      <c r="AX440" s="1">
        <f t="shared" si="100"/>
        <v>215</v>
      </c>
      <c r="AZ440" s="1">
        <f t="shared" si="101"/>
        <v>49298.390514583669</v>
      </c>
      <c r="BA440" s="1">
        <f t="shared" si="102"/>
        <v>-23993.717303907233</v>
      </c>
      <c r="BC440" s="1">
        <f t="shared" si="103"/>
        <v>5577.0672450632992</v>
      </c>
      <c r="BD440" s="1">
        <f t="shared" si="104"/>
        <v>-25.384779686095726</v>
      </c>
      <c r="BF440" s="1">
        <f t="shared" si="92"/>
        <v>-367.26897663124464</v>
      </c>
      <c r="BG440" s="1">
        <f t="shared" si="93"/>
        <v>231.4797965209635</v>
      </c>
      <c r="BJ440" s="1">
        <f t="shared" si="94"/>
        <v>-178.11766112669378</v>
      </c>
      <c r="BK440" s="1">
        <f t="shared" si="95"/>
        <v>191.46400767526777</v>
      </c>
      <c r="BO440" s="1">
        <f t="shared" si="96"/>
        <v>-26.732946054421344</v>
      </c>
      <c r="BP440" s="1">
        <f t="shared" si="97"/>
        <v>13.113612078528099</v>
      </c>
      <c r="BT440" s="1">
        <f t="shared" si="98"/>
        <v>-162.41836945012955</v>
      </c>
      <c r="BU440" s="1">
        <f t="shared" si="99"/>
        <v>26.902176767167635</v>
      </c>
    </row>
    <row r="441" spans="49:73">
      <c r="AW441" s="1">
        <v>431</v>
      </c>
      <c r="AX441" s="1">
        <f t="shared" si="100"/>
        <v>215.5</v>
      </c>
      <c r="AZ441" s="1">
        <f t="shared" si="101"/>
        <v>52041.015515036415</v>
      </c>
      <c r="BA441" s="1">
        <f t="shared" si="102"/>
        <v>-23977.47471918516</v>
      </c>
      <c r="BC441" s="1">
        <f t="shared" si="103"/>
        <v>5393.4327567476766</v>
      </c>
      <c r="BD441" s="1">
        <f t="shared" si="104"/>
        <v>90.355118574386026</v>
      </c>
      <c r="BF441" s="1">
        <f t="shared" si="92"/>
        <v>-345.88905312857491</v>
      </c>
      <c r="BG441" s="1">
        <f t="shared" si="93"/>
        <v>204.44459524228387</v>
      </c>
      <c r="BJ441" s="1">
        <f t="shared" si="94"/>
        <v>-172.17998263462655</v>
      </c>
      <c r="BK441" s="1">
        <f t="shared" si="95"/>
        <v>169.15166274888392</v>
      </c>
      <c r="BO441" s="1">
        <f t="shared" si="96"/>
        <v>-25.309124784561575</v>
      </c>
      <c r="BP441" s="1">
        <f t="shared" si="97"/>
        <v>11.936813235963571</v>
      </c>
      <c r="BT441" s="1">
        <f t="shared" si="98"/>
        <v>-148.39994570938674</v>
      </c>
      <c r="BU441" s="1">
        <f t="shared" si="99"/>
        <v>23.356119257436387</v>
      </c>
    </row>
    <row r="442" spans="49:73">
      <c r="AW442" s="1">
        <v>432</v>
      </c>
      <c r="AX442" s="1">
        <f t="shared" si="100"/>
        <v>216</v>
      </c>
      <c r="AZ442" s="1">
        <f t="shared" si="101"/>
        <v>54694.495761769176</v>
      </c>
      <c r="BA442" s="1">
        <f t="shared" si="102"/>
        <v>-23906.74158549268</v>
      </c>
      <c r="BC442" s="1">
        <f t="shared" si="103"/>
        <v>5220.4882301833895</v>
      </c>
      <c r="BD442" s="1">
        <f t="shared" si="104"/>
        <v>192.57741619552797</v>
      </c>
      <c r="BF442" s="1">
        <f t="shared" si="92"/>
        <v>-326.30383589678246</v>
      </c>
      <c r="BG442" s="1">
        <f t="shared" si="93"/>
        <v>181.33196819206853</v>
      </c>
      <c r="BJ442" s="1">
        <f t="shared" si="94"/>
        <v>-165.76008600430885</v>
      </c>
      <c r="BK442" s="1">
        <f t="shared" si="95"/>
        <v>150.05216452988455</v>
      </c>
      <c r="BO442" s="1">
        <f t="shared" si="96"/>
        <v>-24.040044087455101</v>
      </c>
      <c r="BP442" s="1">
        <f t="shared" si="97"/>
        <v>10.912712566892958</v>
      </c>
      <c r="BT442" s="1">
        <f t="shared" si="98"/>
        <v>-136.50370580501851</v>
      </c>
      <c r="BU442" s="1">
        <f t="shared" si="99"/>
        <v>20.367091095291027</v>
      </c>
    </row>
    <row r="443" spans="49:73">
      <c r="AW443" s="1">
        <v>433</v>
      </c>
      <c r="AX443" s="1">
        <f t="shared" si="100"/>
        <v>216.5</v>
      </c>
      <c r="AZ443" s="1">
        <f t="shared" si="101"/>
        <v>57263.951897373772</v>
      </c>
      <c r="BA443" s="1">
        <f t="shared" si="102"/>
        <v>-23787.786381370908</v>
      </c>
      <c r="BC443" s="1">
        <f t="shared" si="103"/>
        <v>5057.3363122349983</v>
      </c>
      <c r="BD443" s="1">
        <f t="shared" si="104"/>
        <v>283.24340029156224</v>
      </c>
      <c r="BF443" s="1">
        <f t="shared" si="92"/>
        <v>-308.38468394914065</v>
      </c>
      <c r="BG443" s="1">
        <f t="shared" si="93"/>
        <v>161.49433998050452</v>
      </c>
      <c r="BJ443" s="1">
        <f t="shared" si="94"/>
        <v>-159.18219211783855</v>
      </c>
      <c r="BK443" s="1">
        <f t="shared" si="95"/>
        <v>133.65352221411283</v>
      </c>
      <c r="BO443" s="1">
        <f t="shared" si="96"/>
        <v>-22.901812281169935</v>
      </c>
      <c r="BP443" s="1">
        <f t="shared" si="97"/>
        <v>10.015039641387128</v>
      </c>
      <c r="BT443" s="1">
        <f t="shared" si="98"/>
        <v>-126.30067955013217</v>
      </c>
      <c r="BU443" s="1">
        <f t="shared" si="99"/>
        <v>17.825778125004579</v>
      </c>
    </row>
    <row r="444" spans="49:73">
      <c r="AW444" s="1">
        <v>434</v>
      </c>
      <c r="AX444" s="1">
        <f t="shared" si="100"/>
        <v>217</v>
      </c>
      <c r="AZ444" s="1">
        <f t="shared" si="101"/>
        <v>59754.071967997632</v>
      </c>
      <c r="BA444" s="1">
        <f t="shared" si="102"/>
        <v>-23625.977888727564</v>
      </c>
      <c r="BC444" s="1">
        <f t="shared" si="103"/>
        <v>4903.1439702604284</v>
      </c>
      <c r="BD444" s="1">
        <f t="shared" si="104"/>
        <v>363.99057028181448</v>
      </c>
      <c r="BF444" s="1">
        <f t="shared" si="92"/>
        <v>-291.99532798922587</v>
      </c>
      <c r="BG444" s="1">
        <f t="shared" si="93"/>
        <v>144.3926117856106</v>
      </c>
      <c r="BJ444" s="1">
        <f t="shared" si="94"/>
        <v>-152.65287575245475</v>
      </c>
      <c r="BK444" s="1">
        <f t="shared" si="95"/>
        <v>119.52159364068559</v>
      </c>
      <c r="BO444" s="1">
        <f t="shared" si="96"/>
        <v>-21.875220673324069</v>
      </c>
      <c r="BP444" s="1">
        <f t="shared" si="97"/>
        <v>9.2230486609811049</v>
      </c>
      <c r="BT444" s="1">
        <f t="shared" si="98"/>
        <v>-117.46723156344709</v>
      </c>
      <c r="BU444" s="1">
        <f t="shared" si="99"/>
        <v>15.647969483943916</v>
      </c>
    </row>
    <row r="445" spans="49:73">
      <c r="AW445" s="1">
        <v>435</v>
      </c>
      <c r="AX445" s="1">
        <f t="shared" si="100"/>
        <v>217.5</v>
      </c>
      <c r="AZ445" s="1">
        <f t="shared" si="101"/>
        <v>62169.144537129192</v>
      </c>
      <c r="BA445" s="1">
        <f t="shared" si="102"/>
        <v>-23425.933527113455</v>
      </c>
      <c r="BC445" s="1">
        <f t="shared" si="103"/>
        <v>4757.1463062658158</v>
      </c>
      <c r="BD445" s="1">
        <f t="shared" si="104"/>
        <v>436.18687617461978</v>
      </c>
      <c r="BF445" s="1">
        <f t="shared" si="92"/>
        <v>-276.99986437801124</v>
      </c>
      <c r="BG445" s="1">
        <f t="shared" si="93"/>
        <v>129.581460835239</v>
      </c>
      <c r="BJ445" s="1">
        <f t="shared" si="94"/>
        <v>-146.29996478645577</v>
      </c>
      <c r="BK445" s="1">
        <f t="shared" si="95"/>
        <v>107.2932125056808</v>
      </c>
      <c r="BO445" s="1">
        <f t="shared" si="96"/>
        <v>-20.944655172656887</v>
      </c>
      <c r="BP445" s="1">
        <f t="shared" si="97"/>
        <v>8.5201647831832457</v>
      </c>
      <c r="BT445" s="1">
        <f t="shared" si="98"/>
        <v>-109.7552444188986</v>
      </c>
      <c r="BU445" s="1">
        <f t="shared" si="99"/>
        <v>13.768083546374955</v>
      </c>
    </row>
    <row r="446" spans="49:73">
      <c r="AW446" s="1">
        <v>436</v>
      </c>
      <c r="AX446" s="1">
        <f t="shared" si="100"/>
        <v>218</v>
      </c>
      <c r="AZ446" s="1">
        <f t="shared" si="101"/>
        <v>64513.092707214848</v>
      </c>
      <c r="BA446" s="1">
        <f t="shared" si="102"/>
        <v>-23191.642406421739</v>
      </c>
      <c r="BC446" s="1">
        <f t="shared" si="103"/>
        <v>4618.6463740768104</v>
      </c>
      <c r="BD446" s="1">
        <f t="shared" si="104"/>
        <v>500.97760659223928</v>
      </c>
      <c r="BF446" s="1">
        <f t="shared" si="92"/>
        <v>-263.26792524513991</v>
      </c>
      <c r="BG446" s="1">
        <f t="shared" si="93"/>
        <v>116.69423935028846</v>
      </c>
      <c r="BJ446" s="1">
        <f t="shared" si="94"/>
        <v>-140.19890770821939</v>
      </c>
      <c r="BK446" s="1">
        <f t="shared" si="95"/>
        <v>96.66672161950585</v>
      </c>
      <c r="BO446" s="1">
        <f t="shared" si="96"/>
        <v>-20.097295400365685</v>
      </c>
      <c r="BP446" s="1">
        <f t="shared" si="97"/>
        <v>7.8930047510640371</v>
      </c>
      <c r="BT446" s="1">
        <f t="shared" si="98"/>
        <v>-102.97172213655482</v>
      </c>
      <c r="BU446" s="1">
        <f t="shared" si="99"/>
        <v>12.134512979718567</v>
      </c>
    </row>
    <row r="447" spans="49:73">
      <c r="AW447" s="1">
        <v>437</v>
      </c>
      <c r="AX447" s="1">
        <f t="shared" si="100"/>
        <v>218.5</v>
      </c>
      <c r="AZ447" s="1">
        <f t="shared" si="101"/>
        <v>66789.507403597614</v>
      </c>
      <c r="BA447" s="1">
        <f t="shared" si="102"/>
        <v>-22926.566823206831</v>
      </c>
      <c r="BC447" s="1">
        <f t="shared" si="103"/>
        <v>4487.0124114542405</v>
      </c>
      <c r="BD447" s="1">
        <f t="shared" si="104"/>
        <v>559.32472626738354</v>
      </c>
      <c r="BF447" s="1">
        <f t="shared" si="92"/>
        <v>-250.67763539074471</v>
      </c>
      <c r="BG447" s="1">
        <f t="shared" si="93"/>
        <v>105.42921420606795</v>
      </c>
      <c r="BJ447" s="1">
        <f t="shared" si="94"/>
        <v>-134.39055451651996</v>
      </c>
      <c r="BK447" s="1">
        <f t="shared" si="95"/>
        <v>87.392311103713638</v>
      </c>
      <c r="BO447" s="1">
        <f t="shared" si="96"/>
        <v>-19.322517414918096</v>
      </c>
      <c r="BP447" s="1">
        <f t="shared" si="97"/>
        <v>7.3306575862476375</v>
      </c>
      <c r="BT447" s="1">
        <f t="shared" si="98"/>
        <v>-96.964563459306675</v>
      </c>
      <c r="BU447" s="1">
        <f t="shared" si="99"/>
        <v>10.706245516106671</v>
      </c>
    </row>
    <row r="448" spans="49:73">
      <c r="AW448" s="1">
        <v>438</v>
      </c>
      <c r="AX448" s="1">
        <f t="shared" si="100"/>
        <v>219</v>
      </c>
      <c r="AZ448" s="1">
        <f t="shared" si="101"/>
        <v>69001.67890490088</v>
      </c>
      <c r="BA448" s="1">
        <f t="shared" si="102"/>
        <v>-22633.725808297382</v>
      </c>
      <c r="BC448" s="1">
        <f t="shared" si="103"/>
        <v>4361.6735937588683</v>
      </c>
      <c r="BD448" s="1">
        <f t="shared" si="104"/>
        <v>612.03933337041747</v>
      </c>
      <c r="BF448" s="1">
        <f t="shared" si="92"/>
        <v>-239.11701917186747</v>
      </c>
      <c r="BG448" s="1">
        <f t="shared" si="93"/>
        <v>95.537733389302119</v>
      </c>
      <c r="BJ448" s="1">
        <f t="shared" si="94"/>
        <v>-128.89311593704306</v>
      </c>
      <c r="BK448" s="1">
        <f t="shared" si="95"/>
        <v>79.263198752063204</v>
      </c>
      <c r="BO448" s="1">
        <f t="shared" si="96"/>
        <v>-18.611442659744757</v>
      </c>
      <c r="BP448" s="1">
        <f t="shared" si="97"/>
        <v>6.8241489837953484</v>
      </c>
      <c r="BT448" s="1">
        <f t="shared" si="98"/>
        <v>-91.612460575079652</v>
      </c>
      <c r="BU448" s="1">
        <f t="shared" si="99"/>
        <v>9.4503856534435577</v>
      </c>
    </row>
    <row r="449" spans="49:73">
      <c r="AW449" s="1">
        <v>439</v>
      </c>
      <c r="AX449" s="1">
        <f t="shared" si="100"/>
        <v>219.5</v>
      </c>
      <c r="AZ449" s="1">
        <f t="shared" si="101"/>
        <v>71152.626074383836</v>
      </c>
      <c r="BA449" s="1">
        <f t="shared" si="102"/>
        <v>-22315.76392493851</v>
      </c>
      <c r="BC449" s="1">
        <f t="shared" si="103"/>
        <v>4242.1150841729341</v>
      </c>
      <c r="BD449" s="1">
        <f t="shared" si="104"/>
        <v>659.80820006506849</v>
      </c>
      <c r="BF449" s="1">
        <f t="shared" si="92"/>
        <v>-228.48439744756325</v>
      </c>
      <c r="BG449" s="1">
        <f t="shared" si="93"/>
        <v>86.814363540805886</v>
      </c>
      <c r="BJ449" s="1">
        <f t="shared" si="94"/>
        <v>-123.71019484066068</v>
      </c>
      <c r="BK449" s="1">
        <f t="shared" si="95"/>
        <v>72.108007888267835</v>
      </c>
      <c r="BO449" s="1">
        <f t="shared" si="96"/>
        <v>-17.956593313657322</v>
      </c>
      <c r="BP449" s="1">
        <f t="shared" si="97"/>
        <v>6.3660374408385012</v>
      </c>
      <c r="BT449" s="1">
        <f t="shared" si="98"/>
        <v>-86.817609293245269</v>
      </c>
      <c r="BU449" s="1">
        <f t="shared" si="99"/>
        <v>8.3403182116995573</v>
      </c>
    </row>
    <row r="450" spans="49:73">
      <c r="AW450" s="1">
        <v>440</v>
      </c>
      <c r="AX450" s="1">
        <f t="shared" si="100"/>
        <v>220</v>
      </c>
      <c r="AZ450" s="1">
        <f t="shared" si="101"/>
        <v>73245.123066789354</v>
      </c>
      <c r="BA450" s="1">
        <f t="shared" si="102"/>
        <v>-21975.008029463374</v>
      </c>
      <c r="BC450" s="1">
        <f t="shared" si="103"/>
        <v>4127.8728854491528</v>
      </c>
      <c r="BD450" s="1">
        <f t="shared" si="104"/>
        <v>703.21538183547148</v>
      </c>
      <c r="BF450" s="1">
        <f t="shared" si="92"/>
        <v>-218.68816691655121</v>
      </c>
      <c r="BG450" s="1">
        <f t="shared" si="93"/>
        <v>79.088814325929917</v>
      </c>
      <c r="BJ450" s="1">
        <f t="shared" si="94"/>
        <v>-118.83617187193924</v>
      </c>
      <c r="BK450" s="1">
        <f t="shared" si="95"/>
        <v>65.784374574970983</v>
      </c>
      <c r="BO450" s="1">
        <f t="shared" si="96"/>
        <v>-17.351626039175621</v>
      </c>
      <c r="BP450" s="1">
        <f t="shared" si="97"/>
        <v>5.950106168335286</v>
      </c>
      <c r="BT450" s="1">
        <f t="shared" si="98"/>
        <v>-82.50036900543634</v>
      </c>
      <c r="BU450" s="1">
        <f t="shared" si="99"/>
        <v>7.3543335826236556</v>
      </c>
    </row>
    <row r="451" spans="49:73">
      <c r="AW451" s="1">
        <v>441</v>
      </c>
      <c r="AX451" s="1">
        <f t="shared" si="100"/>
        <v>220.5</v>
      </c>
      <c r="AZ451" s="1">
        <f t="shared" si="101"/>
        <v>75281.723488649353</v>
      </c>
      <c r="BA451" s="1">
        <f t="shared" si="102"/>
        <v>-21613.514236754898</v>
      </c>
      <c r="BC451" s="1">
        <f t="shared" si="103"/>
        <v>4018.5288019908771</v>
      </c>
      <c r="BD451" s="1">
        <f t="shared" si="104"/>
        <v>742.75978899843642</v>
      </c>
      <c r="BF451" s="1">
        <f t="shared" si="92"/>
        <v>-209.64622942276313</v>
      </c>
      <c r="BG451" s="1">
        <f t="shared" si="93"/>
        <v>72.219390674791967</v>
      </c>
      <c r="BJ451" s="1">
        <f t="shared" si="94"/>
        <v>-114.25980842794149</v>
      </c>
      <c r="BK451" s="1">
        <f t="shared" si="95"/>
        <v>60.173676749401125</v>
      </c>
      <c r="BO451" s="1">
        <f t="shared" si="96"/>
        <v>-16.791124177695075</v>
      </c>
      <c r="BP451" s="1">
        <f t="shared" si="97"/>
        <v>5.5711255402083335</v>
      </c>
      <c r="BT451" s="1">
        <f t="shared" si="98"/>
        <v>-78.595296817126552</v>
      </c>
      <c r="BU451" s="1">
        <f t="shared" si="99"/>
        <v>6.4745883851825141</v>
      </c>
    </row>
    <row r="452" spans="49:73">
      <c r="AW452" s="1">
        <v>442</v>
      </c>
      <c r="AX452" s="1">
        <f t="shared" si="100"/>
        <v>221</v>
      </c>
      <c r="AZ452" s="1">
        <f t="shared" si="101"/>
        <v>77264.782110966946</v>
      </c>
      <c r="BA452" s="1">
        <f t="shared" si="102"/>
        <v>-21233.10691842133</v>
      </c>
      <c r="BC452" s="1">
        <f t="shared" si="103"/>
        <v>3913.7056872794956</v>
      </c>
      <c r="BD452" s="1">
        <f t="shared" si="104"/>
        <v>778.86948433583245</v>
      </c>
      <c r="BF452" s="1">
        <f t="shared" si="92"/>
        <v>-201.28524589187279</v>
      </c>
      <c r="BG452" s="1">
        <f t="shared" si="93"/>
        <v>66.087710492795452</v>
      </c>
      <c r="BJ452" s="1">
        <f t="shared" si="94"/>
        <v>-109.96664720346962</v>
      </c>
      <c r="BK452" s="1">
        <f t="shared" si="95"/>
        <v>55.176730183567578</v>
      </c>
      <c r="BO452" s="1">
        <f t="shared" si="96"/>
        <v>-16.270434002449676</v>
      </c>
      <c r="BP452" s="1">
        <f t="shared" si="97"/>
        <v>5.2246681047191696</v>
      </c>
      <c r="BT452" s="1">
        <f t="shared" si="98"/>
        <v>-75.048164685953495</v>
      </c>
      <c r="BU452" s="1">
        <f t="shared" si="99"/>
        <v>5.686312204508698</v>
      </c>
    </row>
    <row r="453" spans="49:73">
      <c r="AW453" s="1">
        <v>443</v>
      </c>
      <c r="AX453" s="1">
        <f t="shared" si="100"/>
        <v>221.5</v>
      </c>
      <c r="AZ453" s="1">
        <f t="shared" si="101"/>
        <v>79196.474298870206</v>
      </c>
      <c r="BA453" s="1">
        <f t="shared" si="102"/>
        <v>-20835.411212441813</v>
      </c>
      <c r="BC453" s="1">
        <f t="shared" si="103"/>
        <v>3813.0630643335594</v>
      </c>
      <c r="BD453" s="1">
        <f t="shared" si="104"/>
        <v>811.91333958223015</v>
      </c>
      <c r="BF453" s="1">
        <f t="shared" si="92"/>
        <v>-193.53982464095466</v>
      </c>
      <c r="BG453" s="1">
        <f t="shared" si="93"/>
        <v>60.594451587862686</v>
      </c>
      <c r="BJ453" s="1">
        <f t="shared" si="94"/>
        <v>-105.94060061456939</v>
      </c>
      <c r="BK453" s="1">
        <f t="shared" si="95"/>
        <v>50.710291754050999</v>
      </c>
      <c r="BO453" s="1">
        <f t="shared" si="96"/>
        <v>-15.785534530050294</v>
      </c>
      <c r="BP453" s="1">
        <f t="shared" si="97"/>
        <v>4.90696319483851</v>
      </c>
      <c r="BT453" s="1">
        <f t="shared" si="98"/>
        <v>-71.813689496334973</v>
      </c>
      <c r="BU453" s="1">
        <f t="shared" si="99"/>
        <v>4.9771966389731741</v>
      </c>
    </row>
    <row r="454" spans="49:73">
      <c r="AW454" s="1">
        <v>444</v>
      </c>
      <c r="AX454" s="1">
        <f t="shared" si="100"/>
        <v>222</v>
      </c>
      <c r="AZ454" s="1">
        <f t="shared" si="101"/>
        <v>81078.813352956859</v>
      </c>
      <c r="BA454" s="1">
        <f t="shared" si="102"/>
        <v>-20421.880236202218</v>
      </c>
      <c r="BC454" s="1">
        <f t="shared" si="103"/>
        <v>3716.2931520130819</v>
      </c>
      <c r="BD454" s="1">
        <f t="shared" si="104"/>
        <v>842.21056537616153</v>
      </c>
      <c r="BF454" s="1">
        <f t="shared" si="92"/>
        <v>-186.35171018239399</v>
      </c>
      <c r="BG454" s="1">
        <f t="shared" si="93"/>
        <v>55.65592701786106</v>
      </c>
      <c r="BJ454" s="1">
        <f t="shared" si="94"/>
        <v>-102.16499019759081</v>
      </c>
      <c r="BK454" s="1">
        <f t="shared" si="95"/>
        <v>46.704224657170855</v>
      </c>
      <c r="BO454" s="1">
        <f t="shared" si="96"/>
        <v>-15.332933144642386</v>
      </c>
      <c r="BP454" s="1">
        <f t="shared" si="97"/>
        <v>4.6147816770185779</v>
      </c>
      <c r="BT454" s="1">
        <f t="shared" si="98"/>
        <v>-68.853786840160794</v>
      </c>
      <c r="BU454" s="1">
        <f t="shared" si="99"/>
        <v>4.3369206836716288</v>
      </c>
    </row>
    <row r="455" spans="49:73">
      <c r="AW455" s="1">
        <v>445</v>
      </c>
      <c r="AX455" s="1">
        <f t="shared" si="100"/>
        <v>222.5</v>
      </c>
      <c r="AZ455" s="1">
        <f t="shared" si="101"/>
        <v>82913.665965190608</v>
      </c>
      <c r="BA455" s="1">
        <f t="shared" si="102"/>
        <v>-19993.817962636906</v>
      </c>
      <c r="BC455" s="1">
        <f t="shared" si="103"/>
        <v>3623.1172969218851</v>
      </c>
      <c r="BD455" s="1">
        <f t="shared" si="104"/>
        <v>870.03852888509209</v>
      </c>
      <c r="BF455" s="1">
        <f t="shared" si="92"/>
        <v>-179.66901015443631</v>
      </c>
      <c r="BG455" s="1">
        <f t="shared" si="93"/>
        <v>51.201323531948489</v>
      </c>
      <c r="BJ455" s="1">
        <f t="shared" si="94"/>
        <v>-98.623214806526832</v>
      </c>
      <c r="BK455" s="1">
        <f t="shared" si="95"/>
        <v>43.099200677336817</v>
      </c>
      <c r="BO455" s="1">
        <f t="shared" si="96"/>
        <v>-14.909581260043865</v>
      </c>
      <c r="BP455" s="1">
        <f t="shared" si="97"/>
        <v>4.3453438570943241</v>
      </c>
      <c r="BT455" s="1">
        <f t="shared" si="98"/>
        <v>-66.136214087865625</v>
      </c>
      <c r="BU455" s="1">
        <f t="shared" si="99"/>
        <v>3.7567789975173431</v>
      </c>
    </row>
    <row r="456" spans="49:73">
      <c r="AW456" s="1">
        <v>446</v>
      </c>
      <c r="AX456" s="1">
        <f t="shared" si="100"/>
        <v>223</v>
      </c>
      <c r="AZ456" s="1">
        <f t="shared" si="101"/>
        <v>84702.765987382241</v>
      </c>
      <c r="BA456" s="1">
        <f t="shared" si="102"/>
        <v>-19552.398532752868</v>
      </c>
      <c r="BC456" s="1">
        <f t="shared" si="103"/>
        <v>3533.2827918446669</v>
      </c>
      <c r="BD456" s="1">
        <f t="shared" si="104"/>
        <v>895.63919065106631</v>
      </c>
      <c r="BF456" s="1">
        <f t="shared" si="92"/>
        <v>-173.44547985819196</v>
      </c>
      <c r="BG456" s="1">
        <f t="shared" si="93"/>
        <v>47.170469465640906</v>
      </c>
      <c r="BJ456" s="1">
        <f t="shared" si="94"/>
        <v>-95.299168141015912</v>
      </c>
      <c r="BK456" s="1">
        <f t="shared" si="95"/>
        <v>39.844835642626784</v>
      </c>
      <c r="BO456" s="1">
        <f t="shared" si="96"/>
        <v>-14.512805672152604</v>
      </c>
      <c r="BP456" s="1">
        <f t="shared" si="97"/>
        <v>4.0962453380031576</v>
      </c>
      <c r="BT456" s="1">
        <f t="shared" si="98"/>
        <v>-63.633506045023431</v>
      </c>
      <c r="BU456" s="1">
        <f t="shared" si="99"/>
        <v>3.2293884850109649</v>
      </c>
    </row>
    <row r="457" spans="49:73">
      <c r="AW457" s="1">
        <v>447</v>
      </c>
      <c r="AX457" s="1">
        <f t="shared" si="100"/>
        <v>223.5</v>
      </c>
      <c r="AZ457" s="1">
        <f t="shared" si="101"/>
        <v>86447.726698322294</v>
      </c>
      <c r="BA457" s="1">
        <f t="shared" si="102"/>
        <v>-19098.682628744129</v>
      </c>
      <c r="BC457" s="1">
        <f t="shared" si="103"/>
        <v>3446.560051915571</v>
      </c>
      <c r="BD457" s="1">
        <f t="shared" si="104"/>
        <v>919.2244253838868</v>
      </c>
      <c r="BF457" s="1">
        <f t="shared" si="92"/>
        <v>-167.63987261019506</v>
      </c>
      <c r="BG457" s="1">
        <f t="shared" si="93"/>
        <v>43.512025212891928</v>
      </c>
      <c r="BJ457" s="1">
        <f t="shared" si="94"/>
        <v>-92.177487525046132</v>
      </c>
      <c r="BK457" s="1">
        <f t="shared" si="95"/>
        <v>36.898173316373629</v>
      </c>
      <c r="BO457" s="1">
        <f t="shared" si="96"/>
        <v>-14.140252297590754</v>
      </c>
      <c r="BP457" s="1">
        <f t="shared" si="97"/>
        <v>3.8653969103921533</v>
      </c>
      <c r="BT457" s="1">
        <f t="shared" si="98"/>
        <v>-61.322132787558182</v>
      </c>
      <c r="BU457" s="1">
        <f t="shared" si="99"/>
        <v>2.7484549861261516</v>
      </c>
    </row>
    <row r="458" spans="49:73">
      <c r="AW458" s="1">
        <v>448</v>
      </c>
      <c r="AX458" s="1">
        <f t="shared" si="100"/>
        <v>224</v>
      </c>
      <c r="AZ458" s="1">
        <f t="shared" si="101"/>
        <v>88150.051740203809</v>
      </c>
      <c r="BA458" s="1">
        <f t="shared" si="102"/>
        <v>-18633.631412900573</v>
      </c>
      <c r="BC458" s="1">
        <f t="shared" si="103"/>
        <v>3362.7401156104734</v>
      </c>
      <c r="BD458" s="1">
        <f t="shared" si="104"/>
        <v>940.9804379903328</v>
      </c>
      <c r="BF458" s="1">
        <f t="shared" si="92"/>
        <v>-162.21535734440138</v>
      </c>
      <c r="BG458" s="1">
        <f t="shared" si="93"/>
        <v>40.182011309055767</v>
      </c>
      <c r="BJ458" s="1">
        <f t="shared" si="94"/>
        <v>-89.243689737242079</v>
      </c>
      <c r="BK458" s="1">
        <f t="shared" si="95"/>
        <v>34.222449344737171</v>
      </c>
      <c r="BO458" s="1">
        <f t="shared" si="96"/>
        <v>-13.789839765468885</v>
      </c>
      <c r="BP458" s="1">
        <f t="shared" si="97"/>
        <v>3.6509754987071554</v>
      </c>
      <c r="BT458" s="1">
        <f t="shared" si="98"/>
        <v>-59.181827841690421</v>
      </c>
      <c r="BU458" s="1">
        <f t="shared" si="99"/>
        <v>2.3085864656114419</v>
      </c>
    </row>
    <row r="459" spans="49:73">
      <c r="AW459" s="1">
        <v>449</v>
      </c>
      <c r="AX459" s="1">
        <f t="shared" si="100"/>
        <v>224.5</v>
      </c>
      <c r="AZ459" s="1">
        <f t="shared" si="101"/>
        <v>89811.144878341001</v>
      </c>
      <c r="BA459" s="1">
        <f t="shared" si="102"/>
        <v>-18158.118442491774</v>
      </c>
      <c r="BC459" s="1">
        <f t="shared" si="103"/>
        <v>3281.6324369382728</v>
      </c>
      <c r="BD459" s="1">
        <f t="shared" si="104"/>
        <v>961.07144364486066</v>
      </c>
      <c r="BF459" s="1">
        <f t="shared" ref="BF459:BF522" si="105">BJ459 + BO459 + BT459</f>
        <v>-157.13900101077292</v>
      </c>
      <c r="BG459" s="1">
        <f t="shared" ref="BG459:BG522" si="106">BK459 + BP459 + BU459</f>
        <v>37.142606770376396</v>
      </c>
      <c r="BJ459" s="1">
        <f t="shared" ref="BJ459:BJ522" si="107">$M$22*($M$18 - AZ459)/ (SQRT(($M$18 - AZ459)^2 + ($N$18 - BA459)^2 )^2 + $M$23^2)^(3/2)</f>
        <v>-86.484231958161104</v>
      </c>
      <c r="BK459" s="1">
        <f t="shared" ref="BK459:BK522" si="108">$M$22*($N$18 - BA459)/ (SQRT(($M$18 - AZ459)^2 + ($N$18 - BA459)^2 )^2 + $M$23^2)^(3/2)</f>
        <v>31.786080443996333</v>
      </c>
      <c r="BO459" s="1">
        <f t="shared" ref="BO459:BO522" si="109">$M$30*($M$26 - AZ459)/ (SQRT(($M$26 - AZ459)^2 + ($N$26 - BA459)^2 )^2 + $M$31^2)^(3/2)</f>
        <v>-13.45972090396112</v>
      </c>
      <c r="BP459" s="1">
        <f t="shared" ref="BP459:BP522" si="110">$M$30*($N$26 - BA459)/ (SQRT(($M$26 - AZ459)^2 + ($N$26 - BA459)^2 )^2 + $M$31^2)^(3/2)</f>
        <v>3.4513838812673479</v>
      </c>
      <c r="BT459" s="1">
        <f t="shared" ref="BT459:BT522" si="111">$M$38*($M$34 - AZ459)/ (SQRT(($M$34 - AZ459)^2 + ($N$34 - BA459)^2 )^2 + $M$39^2)^(3/2)</f>
        <v>-57.195048148650685</v>
      </c>
      <c r="BU459" s="1">
        <f t="shared" ref="BU459:BU522" si="112">$M$38*($N$34 - BA459)/ (SQRT(($M$34 - AZ459)^2 + ($N$34 - BA459)^2 )^2 + $M$39^2)^(3/2)</f>
        <v>1.9051424451127177</v>
      </c>
    </row>
    <row r="460" spans="49:73">
      <c r="AW460" s="1">
        <v>450</v>
      </c>
      <c r="AX460" s="1">
        <f t="shared" ref="AX460:AX523" si="113">AX459+$M$5</f>
        <v>225</v>
      </c>
      <c r="AZ460" s="1">
        <f t="shared" ref="AZ460:AZ523" si="114">AZ459 + BC459 * $M$5 + 0.5 * BF459 * POWER($M$5, 2)</f>
        <v>91432.318721683783</v>
      </c>
      <c r="BA460" s="1">
        <f t="shared" ref="BA460:BA523" si="115">BA459+BD459*$M$5+0.5*BG459* POWER($M$5, 2)</f>
        <v>-17672.939894823045</v>
      </c>
      <c r="BC460" s="1">
        <f t="shared" ref="BC460:BC523" si="116">BC459 + BF459 * $M$5</f>
        <v>3203.0629364328865</v>
      </c>
      <c r="BD460" s="1">
        <f t="shared" ref="BD460:BD523" si="117">BD459+BG459*$M$5</f>
        <v>979.64274703004889</v>
      </c>
      <c r="BF460" s="1">
        <f t="shared" si="105"/>
        <v>-152.38131125581828</v>
      </c>
      <c r="BG460" s="1">
        <f t="shared" si="106"/>
        <v>34.361164339228957</v>
      </c>
      <c r="BJ460" s="1">
        <f t="shared" si="107"/>
        <v>-83.88652381285759</v>
      </c>
      <c r="BK460" s="1">
        <f t="shared" si="108"/>
        <v>29.561835030922687</v>
      </c>
      <c r="BO460" s="1">
        <f t="shared" si="109"/>
        <v>-13.148250595782232</v>
      </c>
      <c r="BP460" s="1">
        <f t="shared" si="110"/>
        <v>3.2652174219574124</v>
      </c>
      <c r="BT460" s="1">
        <f t="shared" si="111"/>
        <v>-55.346536847178442</v>
      </c>
      <c r="BU460" s="1">
        <f t="shared" si="112"/>
        <v>1.5341118863488612</v>
      </c>
    </row>
    <row r="461" spans="49:73">
      <c r="AW461" s="1">
        <v>451</v>
      </c>
      <c r="AX461" s="1">
        <f t="shared" si="113"/>
        <v>225.5</v>
      </c>
      <c r="AZ461" s="1">
        <f t="shared" si="114"/>
        <v>93014.802525993247</v>
      </c>
      <c r="BA461" s="1">
        <f t="shared" si="115"/>
        <v>-17178.823375765616</v>
      </c>
      <c r="BC461" s="1">
        <f t="shared" si="116"/>
        <v>3126.8722808049774</v>
      </c>
      <c r="BD461" s="1">
        <f t="shared" si="117"/>
        <v>996.82332919966336</v>
      </c>
      <c r="BF461" s="1">
        <f t="shared" si="105"/>
        <v>-147.91583393850755</v>
      </c>
      <c r="BG461" s="1">
        <f t="shared" si="106"/>
        <v>31.809400350049778</v>
      </c>
      <c r="BJ461" s="1">
        <f t="shared" si="107"/>
        <v>-81.438908221213609</v>
      </c>
      <c r="BK461" s="1">
        <f t="shared" si="108"/>
        <v>27.52615034726723</v>
      </c>
      <c r="BO461" s="1">
        <f t="shared" si="109"/>
        <v>-12.85395880469844</v>
      </c>
      <c r="BP461" s="1">
        <f t="shared" si="110"/>
        <v>3.0912364418096026</v>
      </c>
      <c r="BT461" s="1">
        <f t="shared" si="111"/>
        <v>-53.622966912595516</v>
      </c>
      <c r="BU461" s="1">
        <f t="shared" si="112"/>
        <v>1.1920135609729459</v>
      </c>
    </row>
    <row r="462" spans="49:73">
      <c r="AW462" s="1">
        <v>452</v>
      </c>
      <c r="AX462" s="1">
        <f t="shared" si="113"/>
        <v>226</v>
      </c>
      <c r="AZ462" s="1">
        <f t="shared" si="114"/>
        <v>94559.749187153415</v>
      </c>
      <c r="BA462" s="1">
        <f t="shared" si="115"/>
        <v>-16676.435536122026</v>
      </c>
      <c r="BC462" s="1">
        <f t="shared" si="116"/>
        <v>3052.9143638357236</v>
      </c>
      <c r="BD462" s="1">
        <f t="shared" si="117"/>
        <v>1012.7280293746883</v>
      </c>
      <c r="BF462" s="1">
        <f t="shared" si="105"/>
        <v>-143.71879978400779</v>
      </c>
      <c r="BG462" s="1">
        <f t="shared" si="106"/>
        <v>29.462725647529712</v>
      </c>
      <c r="BJ462" s="1">
        <f t="shared" si="107"/>
        <v>-79.130623099780877</v>
      </c>
      <c r="BK462" s="1">
        <f t="shared" si="108"/>
        <v>25.658568184060439</v>
      </c>
      <c r="BO462" s="1">
        <f t="shared" si="109"/>
        <v>-12.575527826059538</v>
      </c>
      <c r="BP462" s="1">
        <f t="shared" si="110"/>
        <v>2.928343155121059</v>
      </c>
      <c r="BT462" s="1">
        <f t="shared" si="111"/>
        <v>-52.012648858167353</v>
      </c>
      <c r="BU462" s="1">
        <f t="shared" si="112"/>
        <v>0.8758143083482145</v>
      </c>
    </row>
    <row r="463" spans="49:73">
      <c r="AW463" s="1">
        <v>453</v>
      </c>
      <c r="AX463" s="1">
        <f t="shared" si="113"/>
        <v>226.5</v>
      </c>
      <c r="AZ463" s="1">
        <f t="shared" si="114"/>
        <v>96068.241519098287</v>
      </c>
      <c r="BA463" s="1">
        <f t="shared" si="115"/>
        <v>-16166.38868072874</v>
      </c>
      <c r="BC463" s="1">
        <f t="shared" si="116"/>
        <v>2981.0549639437199</v>
      </c>
      <c r="BD463" s="1">
        <f t="shared" si="117"/>
        <v>1027.4593921984531</v>
      </c>
      <c r="BF463" s="1">
        <f t="shared" si="105"/>
        <v>-139.76881462077381</v>
      </c>
      <c r="BG463" s="1">
        <f t="shared" si="106"/>
        <v>27.299690847211725</v>
      </c>
      <c r="BJ463" s="1">
        <f t="shared" si="107"/>
        <v>-76.951752062323635</v>
      </c>
      <c r="BK463" s="1">
        <f t="shared" si="108"/>
        <v>23.94126691508681</v>
      </c>
      <c r="BO463" s="1">
        <f t="shared" si="109"/>
        <v>-12.311773007644678</v>
      </c>
      <c r="BP463" s="1">
        <f t="shared" si="110"/>
        <v>2.7755623213601193</v>
      </c>
      <c r="BT463" s="1">
        <f t="shared" si="111"/>
        <v>-50.505289550805514</v>
      </c>
      <c r="BU463" s="1">
        <f t="shared" si="112"/>
        <v>0.58286161076479592</v>
      </c>
    </row>
    <row r="464" spans="49:73">
      <c r="AW464" s="1">
        <v>454</v>
      </c>
      <c r="AX464" s="1">
        <f t="shared" si="113"/>
        <v>227</v>
      </c>
      <c r="AZ464" s="1">
        <f t="shared" si="114"/>
        <v>97541.297899242549</v>
      </c>
      <c r="BA464" s="1">
        <f t="shared" si="115"/>
        <v>-15649.246523273612</v>
      </c>
      <c r="BC464" s="1">
        <f t="shared" si="116"/>
        <v>2911.170556633333</v>
      </c>
      <c r="BD464" s="1">
        <f t="shared" si="117"/>
        <v>1041.109237622059</v>
      </c>
      <c r="BF464" s="1">
        <f t="shared" si="105"/>
        <v>-136.04658800288399</v>
      </c>
      <c r="BG464" s="1">
        <f t="shared" si="106"/>
        <v>25.301524626900267</v>
      </c>
      <c r="BJ464" s="1">
        <f t="shared" si="107"/>
        <v>-74.893169584138491</v>
      </c>
      <c r="BK464" s="1">
        <f t="shared" si="108"/>
        <v>22.358671992637547</v>
      </c>
      <c r="BO464" s="1">
        <f t="shared" si="109"/>
        <v>-12.061626337148809</v>
      </c>
      <c r="BP464" s="1">
        <f t="shared" si="110"/>
        <v>2.6320249386588852</v>
      </c>
      <c r="BT464" s="1">
        <f t="shared" si="111"/>
        <v>-49.091792081596708</v>
      </c>
      <c r="BU464" s="1">
        <f t="shared" si="112"/>
        <v>0.31082769560383283</v>
      </c>
    </row>
    <row r="465" spans="49:73">
      <c r="AW465" s="1">
        <v>455</v>
      </c>
      <c r="AX465" s="1">
        <f t="shared" si="113"/>
        <v>227.5</v>
      </c>
      <c r="AZ465" s="1">
        <f t="shared" si="114"/>
        <v>98979.877354058845</v>
      </c>
      <c r="BA465" s="1">
        <f t="shared" si="115"/>
        <v>-15125.52921388422</v>
      </c>
      <c r="BC465" s="1">
        <f t="shared" si="116"/>
        <v>2843.147262631891</v>
      </c>
      <c r="BD465" s="1">
        <f t="shared" si="117"/>
        <v>1053.7599999355091</v>
      </c>
      <c r="BF465" s="1">
        <f t="shared" si="105"/>
        <v>-132.53469547701042</v>
      </c>
      <c r="BG465" s="1">
        <f t="shared" si="106"/>
        <v>23.451747991719458</v>
      </c>
      <c r="BJ465" s="1">
        <f t="shared" si="107"/>
        <v>-72.946484248346422</v>
      </c>
      <c r="BK465" s="1">
        <f t="shared" si="108"/>
        <v>20.897130581911302</v>
      </c>
      <c r="BO465" s="1">
        <f t="shared" si="109"/>
        <v>-11.824122409885355</v>
      </c>
      <c r="BP465" s="1">
        <f t="shared" si="110"/>
        <v>2.4969544400692967</v>
      </c>
      <c r="BT465" s="1">
        <f t="shared" si="111"/>
        <v>-47.76408881877866</v>
      </c>
      <c r="BU465" s="1">
        <f t="shared" si="112"/>
        <v>5.7662969738858663E-2</v>
      </c>
    </row>
    <row r="466" spans="49:73">
      <c r="AW466" s="1">
        <v>456</v>
      </c>
      <c r="AX466" s="1">
        <f t="shared" si="113"/>
        <v>228</v>
      </c>
      <c r="AZ466" s="1">
        <f t="shared" si="114"/>
        <v>100384.88414844016</v>
      </c>
      <c r="BA466" s="1">
        <f t="shared" si="115"/>
        <v>-14595.7177454175</v>
      </c>
      <c r="BC466" s="1">
        <f t="shared" si="116"/>
        <v>2776.8799148933858</v>
      </c>
      <c r="BD466" s="1">
        <f t="shared" si="117"/>
        <v>1065.4858739313688</v>
      </c>
      <c r="BF466" s="1">
        <f t="shared" si="105"/>
        <v>-129.21737024422615</v>
      </c>
      <c r="BG466" s="1">
        <f t="shared" si="106"/>
        <v>21.73585081536163</v>
      </c>
      <c r="BJ466" s="1">
        <f t="shared" si="107"/>
        <v>-71.103982421781097</v>
      </c>
      <c r="BK466" s="1">
        <f t="shared" si="108"/>
        <v>19.544638806290909</v>
      </c>
      <c r="BO466" s="1">
        <f t="shared" si="109"/>
        <v>-11.598386382511901</v>
      </c>
      <c r="BP466" s="1">
        <f t="shared" si="110"/>
        <v>2.3696549594615606</v>
      </c>
      <c r="BT466" s="1">
        <f t="shared" si="111"/>
        <v>-46.515001439933137</v>
      </c>
      <c r="BU466" s="1">
        <f t="shared" si="112"/>
        <v>-0.17844295039083888</v>
      </c>
    </row>
    <row r="467" spans="49:73">
      <c r="AW467" s="1">
        <v>457</v>
      </c>
      <c r="AX467" s="1">
        <f t="shared" si="113"/>
        <v>228.5</v>
      </c>
      <c r="AZ467" s="1">
        <f t="shared" si="114"/>
        <v>101757.17193460633</v>
      </c>
      <c r="BA467" s="1">
        <f t="shared" si="115"/>
        <v>-14060.257827099897</v>
      </c>
      <c r="BC467" s="1">
        <f t="shared" si="116"/>
        <v>2712.2712297712728</v>
      </c>
      <c r="BD467" s="1">
        <f t="shared" si="117"/>
        <v>1076.3537993390496</v>
      </c>
      <c r="BF467" s="1">
        <f t="shared" si="105"/>
        <v>-126.08032045132099</v>
      </c>
      <c r="BG467" s="1">
        <f t="shared" si="106"/>
        <v>20.141019619876623</v>
      </c>
      <c r="BJ467" s="1">
        <f t="shared" si="107"/>
        <v>-69.358573836251836</v>
      </c>
      <c r="BK467" s="1">
        <f t="shared" si="108"/>
        <v>18.290612297910997</v>
      </c>
      <c r="BO467" s="1">
        <f t="shared" si="109"/>
        <v>-11.383623591591219</v>
      </c>
      <c r="BP467" s="1">
        <f t="shared" si="110"/>
        <v>2.2495013169938343</v>
      </c>
      <c r="BT467" s="1">
        <f t="shared" si="111"/>
        <v>-45.338123023477934</v>
      </c>
      <c r="BU467" s="1">
        <f t="shared" si="112"/>
        <v>-0.3990939950282083</v>
      </c>
    </row>
    <row r="468" spans="49:73">
      <c r="AW468" s="1">
        <v>458</v>
      </c>
      <c r="AX468" s="1">
        <f t="shared" si="113"/>
        <v>229</v>
      </c>
      <c r="AZ468" s="1">
        <f t="shared" si="114"/>
        <v>103097.54750943556</v>
      </c>
      <c r="BA468" s="1">
        <f t="shared" si="115"/>
        <v>-13519.563299977888</v>
      </c>
      <c r="BC468" s="1">
        <f t="shared" si="116"/>
        <v>2649.2310695456122</v>
      </c>
      <c r="BD468" s="1">
        <f t="shared" si="117"/>
        <v>1086.424309148988</v>
      </c>
      <c r="BF468" s="1">
        <f t="shared" si="105"/>
        <v>-123.11056880268862</v>
      </c>
      <c r="BG468" s="1">
        <f t="shared" si="106"/>
        <v>18.655907668106124</v>
      </c>
      <c r="BJ468" s="1">
        <f t="shared" si="107"/>
        <v>-67.703739955563506</v>
      </c>
      <c r="BK468" s="1">
        <f t="shared" si="108"/>
        <v>17.12569251793645</v>
      </c>
      <c r="BO468" s="1">
        <f t="shared" si="109"/>
        <v>-11.179110573924996</v>
      </c>
      <c r="BP468" s="1">
        <f t="shared" si="110"/>
        <v>2.1359304397248646</v>
      </c>
      <c r="BT468" s="1">
        <f t="shared" si="111"/>
        <v>-44.227718273200111</v>
      </c>
      <c r="BU468" s="1">
        <f t="shared" si="112"/>
        <v>-0.60571528955519327</v>
      </c>
    </row>
    <row r="469" spans="49:73">
      <c r="AW469" s="1">
        <v>459</v>
      </c>
      <c r="AX469" s="1">
        <f t="shared" si="113"/>
        <v>229.5</v>
      </c>
      <c r="AZ469" s="1">
        <f t="shared" si="114"/>
        <v>104406.77422310803</v>
      </c>
      <c r="BA469" s="1">
        <f t="shared" si="115"/>
        <v>-12974.019156944882</v>
      </c>
      <c r="BC469" s="1">
        <f t="shared" si="116"/>
        <v>2587.675785144268</v>
      </c>
      <c r="BD469" s="1">
        <f t="shared" si="117"/>
        <v>1095.752262983041</v>
      </c>
      <c r="BF469" s="1">
        <f t="shared" si="105"/>
        <v>-120.29631160134224</v>
      </c>
      <c r="BG469" s="1">
        <f t="shared" si="106"/>
        <v>17.270440124683592</v>
      </c>
      <c r="BJ469" s="1">
        <f t="shared" si="107"/>
        <v>-66.133485605086506</v>
      </c>
      <c r="BK469" s="1">
        <f t="shared" si="108"/>
        <v>16.041582724332926</v>
      </c>
      <c r="BO469" s="1">
        <f t="shared" si="109"/>
        <v>-10.984187272141819</v>
      </c>
      <c r="BP469" s="1">
        <f t="shared" si="110"/>
        <v>2.0284339851228386</v>
      </c>
      <c r="BT469" s="1">
        <f t="shared" si="111"/>
        <v>-43.17863872411391</v>
      </c>
      <c r="BU469" s="1">
        <f t="shared" si="112"/>
        <v>-0.79957658477217064</v>
      </c>
    </row>
    <row r="470" spans="49:73">
      <c r="AW470" s="1">
        <v>460</v>
      </c>
      <c r="AX470" s="1">
        <f t="shared" si="113"/>
        <v>230</v>
      </c>
      <c r="AZ470" s="1">
        <f t="shared" si="114"/>
        <v>105685.57507673001</v>
      </c>
      <c r="BA470" s="1">
        <f t="shared" si="115"/>
        <v>-12423.984220437775</v>
      </c>
      <c r="BC470" s="1">
        <f t="shared" si="116"/>
        <v>2527.5276293435968</v>
      </c>
      <c r="BD470" s="1">
        <f t="shared" si="117"/>
        <v>1104.3874830453829</v>
      </c>
      <c r="BF470" s="1">
        <f t="shared" si="105"/>
        <v>-117.6267947023388</v>
      </c>
      <c r="BG470" s="1">
        <f t="shared" si="106"/>
        <v>15.975648385338099</v>
      </c>
      <c r="BJ470" s="1">
        <f t="shared" si="107"/>
        <v>-64.64229407033578</v>
      </c>
      <c r="BK470" s="1">
        <f t="shared" si="108"/>
        <v>15.030908596656401</v>
      </c>
      <c r="BO470" s="1">
        <f t="shared" si="109"/>
        <v>-10.798250246492833</v>
      </c>
      <c r="BP470" s="1">
        <f t="shared" si="110"/>
        <v>1.9265519769302821</v>
      </c>
      <c r="BT470" s="1">
        <f t="shared" si="111"/>
        <v>-42.186250385510199</v>
      </c>
      <c r="BU470" s="1">
        <f t="shared" si="112"/>
        <v>-0.98181218824858474</v>
      </c>
    </row>
    <row r="471" spans="49:73">
      <c r="AW471" s="1">
        <v>461</v>
      </c>
      <c r="AX471" s="1">
        <f t="shared" si="113"/>
        <v>230.5</v>
      </c>
      <c r="AZ471" s="1">
        <f t="shared" si="114"/>
        <v>106934.635542064</v>
      </c>
      <c r="BA471" s="1">
        <f t="shared" si="115"/>
        <v>-11869.793522866916</v>
      </c>
      <c r="BC471" s="1">
        <f t="shared" si="116"/>
        <v>2468.7142319924274</v>
      </c>
      <c r="BD471" s="1">
        <f t="shared" si="117"/>
        <v>1112.3753072380518</v>
      </c>
      <c r="BF471" s="1">
        <f t="shared" si="105"/>
        <v>-115.09220419371647</v>
      </c>
      <c r="BG471" s="1">
        <f t="shared" si="106"/>
        <v>14.763528751579191</v>
      </c>
      <c r="BJ471" s="1">
        <f t="shared" si="107"/>
        <v>-63.225085692989843</v>
      </c>
      <c r="BK471" s="1">
        <f t="shared" si="108"/>
        <v>14.08709943629108</v>
      </c>
      <c r="BO471" s="1">
        <f t="shared" si="109"/>
        <v>-10.620746744128951</v>
      </c>
      <c r="BP471" s="1">
        <f t="shared" si="110"/>
        <v>1.8298672963518274</v>
      </c>
      <c r="BT471" s="1">
        <f t="shared" si="111"/>
        <v>-41.246371756597689</v>
      </c>
      <c r="BU471" s="1">
        <f t="shared" si="112"/>
        <v>-1.1534379810637161</v>
      </c>
    </row>
    <row r="472" spans="49:73">
      <c r="AW472" s="1">
        <v>462</v>
      </c>
      <c r="AX472" s="1">
        <f t="shared" si="113"/>
        <v>231</v>
      </c>
      <c r="AZ472" s="1">
        <f t="shared" si="114"/>
        <v>108154.60613253601</v>
      </c>
      <c r="BA472" s="1">
        <f t="shared" si="115"/>
        <v>-11311.760428153942</v>
      </c>
      <c r="BC472" s="1">
        <f t="shared" si="116"/>
        <v>2411.1681298955691</v>
      </c>
      <c r="BD472" s="1">
        <f t="shared" si="117"/>
        <v>1119.7570716138414</v>
      </c>
      <c r="BF472" s="1">
        <f t="shared" si="105"/>
        <v>-112.6835699112664</v>
      </c>
      <c r="BG472" s="1">
        <f t="shared" si="106"/>
        <v>13.626921494533478</v>
      </c>
      <c r="BJ472" s="1">
        <f t="shared" si="107"/>
        <v>-61.877179878708588</v>
      </c>
      <c r="BK472" s="1">
        <f t="shared" si="108"/>
        <v>13.204286592784616</v>
      </c>
      <c r="BO472" s="1">
        <f t="shared" si="109"/>
        <v>-10.451169501790362</v>
      </c>
      <c r="BP472" s="1">
        <f t="shared" si="110"/>
        <v>1.7380008985852409</v>
      </c>
      <c r="BT472" s="1">
        <f t="shared" si="111"/>
        <v>-40.355220530767461</v>
      </c>
      <c r="BU472" s="1">
        <f t="shared" si="112"/>
        <v>-1.3153659968363784</v>
      </c>
    </row>
    <row r="473" spans="49:73">
      <c r="AW473" s="1">
        <v>463</v>
      </c>
      <c r="AX473" s="1">
        <f t="shared" si="113"/>
        <v>231.5</v>
      </c>
      <c r="AZ473" s="1">
        <f t="shared" si="114"/>
        <v>109346.10475124489</v>
      </c>
      <c r="BA473" s="1">
        <f t="shared" si="115"/>
        <v>-10750.178527160206</v>
      </c>
      <c r="BC473" s="1">
        <f t="shared" si="116"/>
        <v>2354.826344939936</v>
      </c>
      <c r="BD473" s="1">
        <f t="shared" si="117"/>
        <v>1126.5705323611082</v>
      </c>
      <c r="BF473" s="1">
        <f t="shared" si="105"/>
        <v>-110.39268014736655</v>
      </c>
      <c r="BG473" s="1">
        <f t="shared" si="106"/>
        <v>12.559407051330581</v>
      </c>
      <c r="BJ473" s="1">
        <f t="shared" si="107"/>
        <v>-60.594260361033712</v>
      </c>
      <c r="BK473" s="1">
        <f t="shared" si="108"/>
        <v>12.37721635866486</v>
      </c>
      <c r="BO473" s="1">
        <f t="shared" si="109"/>
        <v>-10.289052177985933</v>
      </c>
      <c r="BP473" s="1">
        <f t="shared" si="110"/>
        <v>1.6506076466629727</v>
      </c>
      <c r="BT473" s="1">
        <f t="shared" si="111"/>
        <v>-39.509367608346899</v>
      </c>
      <c r="BU473" s="1">
        <f t="shared" si="112"/>
        <v>-1.4684169539972518</v>
      </c>
    </row>
    <row r="474" spans="49:73">
      <c r="AW474" s="1">
        <v>464</v>
      </c>
      <c r="AX474" s="1">
        <f t="shared" si="113"/>
        <v>232</v>
      </c>
      <c r="AZ474" s="1">
        <f t="shared" si="114"/>
        <v>110509.71883869644</v>
      </c>
      <c r="BA474" s="1">
        <f t="shared" si="115"/>
        <v>-10185.323335098235</v>
      </c>
      <c r="BC474" s="1">
        <f t="shared" si="116"/>
        <v>2299.6300048662529</v>
      </c>
      <c r="BD474" s="1">
        <f t="shared" si="117"/>
        <v>1132.8502358867736</v>
      </c>
      <c r="BF474" s="1">
        <f t="shared" si="105"/>
        <v>-108.21200613439785</v>
      </c>
      <c r="BG474" s="1">
        <f t="shared" si="106"/>
        <v>11.555216664151658</v>
      </c>
      <c r="BJ474" s="1">
        <f t="shared" si="107"/>
        <v>-59.372343525664569</v>
      </c>
      <c r="BK474" s="1">
        <f t="shared" si="108"/>
        <v>11.601175054860295</v>
      </c>
      <c r="BO474" s="1">
        <f t="shared" si="109"/>
        <v>-10.133965327269642</v>
      </c>
      <c r="BP474" s="1">
        <f t="shared" si="110"/>
        <v>1.5673726724554138</v>
      </c>
      <c r="BT474" s="1">
        <f t="shared" si="111"/>
        <v>-38.705697281463635</v>
      </c>
      <c r="BU474" s="1">
        <f t="shared" si="112"/>
        <v>-1.6133310631640503</v>
      </c>
    </row>
    <row r="475" spans="49:73">
      <c r="AW475" s="1">
        <v>465</v>
      </c>
      <c r="AX475" s="1">
        <f t="shared" si="113"/>
        <v>232.5</v>
      </c>
      <c r="AZ475" s="1">
        <f t="shared" si="114"/>
        <v>111646.00734036276</v>
      </c>
      <c r="BA475" s="1">
        <f t="shared" si="115"/>
        <v>-9617.453815071829</v>
      </c>
      <c r="BC475" s="1">
        <f t="shared" si="116"/>
        <v>2245.5240017990541</v>
      </c>
      <c r="BD475" s="1">
        <f t="shared" si="117"/>
        <v>1138.6278442188495</v>
      </c>
      <c r="BF475" s="1">
        <f t="shared" si="105"/>
        <v>-106.13463507394547</v>
      </c>
      <c r="BG475" s="1">
        <f t="shared" si="106"/>
        <v>10.609155232697686</v>
      </c>
      <c r="BJ475" s="1">
        <f t="shared" si="107"/>
        <v>-58.207749579845732</v>
      </c>
      <c r="BK475" s="1">
        <f t="shared" si="108"/>
        <v>10.871924419051643</v>
      </c>
      <c r="BO475" s="1">
        <f t="shared" si="109"/>
        <v>-9.9855128428551811</v>
      </c>
      <c r="BP475" s="1">
        <f t="shared" si="110"/>
        <v>1.4880081893259061</v>
      </c>
      <c r="BT475" s="1">
        <f t="shared" si="111"/>
        <v>-37.941372651244556</v>
      </c>
      <c r="BU475" s="1">
        <f t="shared" si="112"/>
        <v>-1.7507773756798639</v>
      </c>
    </row>
    <row r="476" spans="49:73">
      <c r="AW476" s="1">
        <v>466</v>
      </c>
      <c r="AX476" s="1">
        <f t="shared" si="113"/>
        <v>233</v>
      </c>
      <c r="AZ476" s="1">
        <f t="shared" si="114"/>
        <v>112755.50251187805</v>
      </c>
      <c r="BA476" s="1">
        <f t="shared" si="115"/>
        <v>-9046.8137485583175</v>
      </c>
      <c r="BC476" s="1">
        <f t="shared" si="116"/>
        <v>2192.4566842620811</v>
      </c>
      <c r="BD476" s="1">
        <f t="shared" si="117"/>
        <v>1143.9324218351983</v>
      </c>
      <c r="BF476" s="1">
        <f t="shared" si="105"/>
        <v>-104.15421064751052</v>
      </c>
      <c r="BG476" s="1">
        <f t="shared" si="106"/>
        <v>9.7165345265095606</v>
      </c>
      <c r="BJ476" s="1">
        <f t="shared" si="107"/>
        <v>-57.097076345574187</v>
      </c>
      <c r="BK476" s="1">
        <f t="shared" si="108"/>
        <v>10.185645727663921</v>
      </c>
      <c r="BO476" s="1">
        <f t="shared" si="109"/>
        <v>-9.8433288050798282</v>
      </c>
      <c r="BP476" s="1">
        <f t="shared" si="110"/>
        <v>1.412250692956398</v>
      </c>
      <c r="BT476" s="1">
        <f t="shared" si="111"/>
        <v>-37.213805496856516</v>
      </c>
      <c r="BU476" s="1">
        <f t="shared" si="112"/>
        <v>-1.881361894110759</v>
      </c>
    </row>
    <row r="477" spans="49:73">
      <c r="AW477" s="1">
        <v>467</v>
      </c>
      <c r="AX477" s="1">
        <f t="shared" si="113"/>
        <v>233.5</v>
      </c>
      <c r="AZ477" s="1">
        <f t="shared" si="114"/>
        <v>113838.71157767814</v>
      </c>
      <c r="BA477" s="1">
        <f t="shared" si="115"/>
        <v>-8473.632970824905</v>
      </c>
      <c r="BC477" s="1">
        <f t="shared" si="116"/>
        <v>2140.3795789383257</v>
      </c>
      <c r="BD477" s="1">
        <f t="shared" si="117"/>
        <v>1148.790689098453</v>
      </c>
      <c r="BF477" s="1">
        <f t="shared" si="105"/>
        <v>-102.26488008638898</v>
      </c>
      <c r="BG477" s="1">
        <f t="shared" si="106"/>
        <v>8.8731152110000924</v>
      </c>
      <c r="BJ477" s="1">
        <f t="shared" si="107"/>
        <v>-56.037175458207344</v>
      </c>
      <c r="BK477" s="1">
        <f t="shared" si="108"/>
        <v>9.5388913428351767</v>
      </c>
      <c r="BO477" s="1">
        <f t="shared" si="109"/>
        <v>-9.707074682608873</v>
      </c>
      <c r="BP477" s="1">
        <f t="shared" si="110"/>
        <v>1.3398584967909319</v>
      </c>
      <c r="BT477" s="1">
        <f t="shared" si="111"/>
        <v>-36.520629945572757</v>
      </c>
      <c r="BU477" s="1">
        <f t="shared" si="112"/>
        <v>-2.0056346286260158</v>
      </c>
    </row>
    <row r="478" spans="49:73">
      <c r="AW478" s="1">
        <v>468</v>
      </c>
      <c r="AX478" s="1">
        <f t="shared" si="113"/>
        <v>234</v>
      </c>
      <c r="AZ478" s="1">
        <f t="shared" si="114"/>
        <v>114896.11825713651</v>
      </c>
      <c r="BA478" s="1">
        <f t="shared" si="115"/>
        <v>-7898.1284868743041</v>
      </c>
      <c r="BC478" s="1">
        <f t="shared" si="116"/>
        <v>2089.2471388951312</v>
      </c>
      <c r="BD478" s="1">
        <f t="shared" si="117"/>
        <v>1153.2272467039529</v>
      </c>
      <c r="BF478" s="1">
        <f t="shared" si="105"/>
        <v>-100.46124700060608</v>
      </c>
      <c r="BG478" s="1">
        <f t="shared" si="106"/>
        <v>8.0750563934469888</v>
      </c>
      <c r="BJ478" s="1">
        <f t="shared" si="107"/>
        <v>-55.025130760455482</v>
      </c>
      <c r="BK478" s="1">
        <f t="shared" si="108"/>
        <v>8.928542589705291</v>
      </c>
      <c r="BO478" s="1">
        <f t="shared" si="109"/>
        <v>-9.5764368410824705</v>
      </c>
      <c r="BP478" s="1">
        <f t="shared" si="110"/>
        <v>1.2706095567658264</v>
      </c>
      <c r="BT478" s="1">
        <f t="shared" si="111"/>
        <v>-35.859679399068135</v>
      </c>
      <c r="BU478" s="1">
        <f t="shared" si="112"/>
        <v>-2.1240957530241285</v>
      </c>
    </row>
    <row r="479" spans="49:73">
      <c r="AW479" s="1">
        <v>469</v>
      </c>
      <c r="AX479" s="1">
        <f t="shared" si="113"/>
        <v>234.5</v>
      </c>
      <c r="AZ479" s="1">
        <f t="shared" si="114"/>
        <v>115928.18417070899</v>
      </c>
      <c r="BA479" s="1">
        <f t="shared" si="115"/>
        <v>-7320.5054814731466</v>
      </c>
      <c r="BC479" s="1">
        <f t="shared" si="116"/>
        <v>2039.0165153948283</v>
      </c>
      <c r="BD479" s="1">
        <f t="shared" si="117"/>
        <v>1157.2647749006765</v>
      </c>
      <c r="BF479" s="1">
        <f t="shared" si="105"/>
        <v>-98.738329272139879</v>
      </c>
      <c r="BG479" s="1">
        <f t="shared" si="106"/>
        <v>7.3188716030849532</v>
      </c>
      <c r="BJ479" s="1">
        <f t="shared" si="107"/>
        <v>-54.058238693479161</v>
      </c>
      <c r="BK479" s="1">
        <f t="shared" si="108"/>
        <v>8.3517730456543298</v>
      </c>
      <c r="BO479" s="1">
        <f t="shared" si="109"/>
        <v>-9.4511243204548858</v>
      </c>
      <c r="BP479" s="1">
        <f t="shared" si="110"/>
        <v>1.2042995468323059</v>
      </c>
      <c r="BT479" s="1">
        <f t="shared" si="111"/>
        <v>-35.228966258205823</v>
      </c>
      <c r="BU479" s="1">
        <f t="shared" si="112"/>
        <v>-2.2372009894016829</v>
      </c>
    </row>
    <row r="480" spans="49:73">
      <c r="AW480" s="1">
        <v>470</v>
      </c>
      <c r="AX480" s="1">
        <f t="shared" si="113"/>
        <v>235</v>
      </c>
      <c r="AZ480" s="1">
        <f t="shared" si="114"/>
        <v>116935.35013724738</v>
      </c>
      <c r="BA480" s="1">
        <f t="shared" si="115"/>
        <v>-6740.9582350724231</v>
      </c>
      <c r="BC480" s="1">
        <f t="shared" si="116"/>
        <v>1989.6473507587584</v>
      </c>
      <c r="BD480" s="1">
        <f t="shared" si="117"/>
        <v>1160.9242107022189</v>
      </c>
      <c r="BF480" s="1">
        <f t="shared" si="105"/>
        <v>-97.091521408389383</v>
      </c>
      <c r="BG480" s="1">
        <f t="shared" si="106"/>
        <v>6.6013902911993547</v>
      </c>
      <c r="BJ480" s="1">
        <f t="shared" si="107"/>
        <v>-53.133990500267942</v>
      </c>
      <c r="BK480" s="1">
        <f t="shared" si="108"/>
        <v>7.8060164687670213</v>
      </c>
      <c r="BO480" s="1">
        <f t="shared" si="109"/>
        <v>-9.3308668477708849</v>
      </c>
      <c r="BP480" s="1">
        <f t="shared" si="110"/>
        <v>1.1407401524806462</v>
      </c>
      <c r="BT480" s="1">
        <f t="shared" si="111"/>
        <v>-34.626664060350549</v>
      </c>
      <c r="BU480" s="1">
        <f t="shared" si="112"/>
        <v>-2.3453663300483121</v>
      </c>
    </row>
    <row r="481" spans="49:73">
      <c r="AW481" s="1">
        <v>471</v>
      </c>
      <c r="AX481" s="1">
        <f t="shared" si="113"/>
        <v>235.5</v>
      </c>
      <c r="AZ481" s="1">
        <f t="shared" si="114"/>
        <v>117918.03737245071</v>
      </c>
      <c r="BA481" s="1">
        <f t="shared" si="115"/>
        <v>-6159.6709559349138</v>
      </c>
      <c r="BC481" s="1">
        <f t="shared" si="116"/>
        <v>1941.1015900545638</v>
      </c>
      <c r="BD481" s="1">
        <f t="shared" si="117"/>
        <v>1164.2249058478187</v>
      </c>
      <c r="BF481" s="1">
        <f t="shared" si="105"/>
        <v>-95.516560830068244</v>
      </c>
      <c r="BG481" s="1">
        <f t="shared" si="106"/>
        <v>5.919724079492334</v>
      </c>
      <c r="BJ481" s="1">
        <f t="shared" si="107"/>
        <v>-52.250056070669125</v>
      </c>
      <c r="BK481" s="1">
        <f t="shared" si="108"/>
        <v>7.2889387135050443</v>
      </c>
      <c r="BO481" s="1">
        <f t="shared" si="109"/>
        <v>-9.2154130567586563</v>
      </c>
      <c r="BP481" s="1">
        <f t="shared" si="110"/>
        <v>1.0797575542500637</v>
      </c>
      <c r="BT481" s="1">
        <f t="shared" si="111"/>
        <v>-34.051091702640463</v>
      </c>
      <c r="BU481" s="1">
        <f t="shared" si="112"/>
        <v>-2.4489721882627746</v>
      </c>
    </row>
    <row r="482" spans="49:73">
      <c r="AW482" s="1">
        <v>472</v>
      </c>
      <c r="AX482" s="1">
        <f t="shared" si="113"/>
        <v>236</v>
      </c>
      <c r="AZ482" s="1">
        <f t="shared" si="114"/>
        <v>118876.64859737424</v>
      </c>
      <c r="BA482" s="1">
        <f t="shared" si="115"/>
        <v>-5576.818537501068</v>
      </c>
      <c r="BC482" s="1">
        <f t="shared" si="116"/>
        <v>1893.3433096395297</v>
      </c>
      <c r="BD482" s="1">
        <f t="shared" si="117"/>
        <v>1167.1847678875649</v>
      </c>
      <c r="BF482" s="1">
        <f t="shared" si="105"/>
        <v>-94.009497635178093</v>
      </c>
      <c r="BG482" s="1">
        <f t="shared" si="106"/>
        <v>5.2712371033448315</v>
      </c>
      <c r="BJ482" s="1">
        <f t="shared" si="107"/>
        <v>-51.404269271630589</v>
      </c>
      <c r="BK482" s="1">
        <f t="shared" si="108"/>
        <v>6.7984130818912734</v>
      </c>
      <c r="BO482" s="1">
        <f t="shared" si="109"/>
        <v>-9.1045288895382726</v>
      </c>
      <c r="BP482" s="1">
        <f t="shared" si="110"/>
        <v>1.0211910772194082</v>
      </c>
      <c r="BT482" s="1">
        <f t="shared" si="111"/>
        <v>-33.500699474009231</v>
      </c>
      <c r="BU482" s="1">
        <f t="shared" si="112"/>
        <v>-2.5483670557658504</v>
      </c>
    </row>
    <row r="483" spans="49:73">
      <c r="AW483" s="1">
        <v>473</v>
      </c>
      <c r="AX483" s="1">
        <f t="shared" si="113"/>
        <v>236.5</v>
      </c>
      <c r="AZ483" s="1">
        <f t="shared" si="114"/>
        <v>119811.5690649896</v>
      </c>
      <c r="BA483" s="1">
        <f t="shared" si="115"/>
        <v>-4992.5672489193676</v>
      </c>
      <c r="BC483" s="1">
        <f t="shared" si="116"/>
        <v>1846.3385608219407</v>
      </c>
      <c r="BD483" s="1">
        <f t="shared" si="117"/>
        <v>1169.8203864392374</v>
      </c>
      <c r="BF483" s="1">
        <f t="shared" si="105"/>
        <v>-92.566667438955875</v>
      </c>
      <c r="BG483" s="1">
        <f t="shared" si="106"/>
        <v>4.6535198952825452</v>
      </c>
      <c r="BJ483" s="1">
        <f t="shared" si="107"/>
        <v>-50.594614620002723</v>
      </c>
      <c r="BK483" s="1">
        <f t="shared" si="108"/>
        <v>6.3324986421363292</v>
      </c>
      <c r="BO483" s="1">
        <f t="shared" si="109"/>
        <v>-8.9979961590672524</v>
      </c>
      <c r="BP483" s="1">
        <f t="shared" si="110"/>
        <v>0.96489198585294489</v>
      </c>
      <c r="BT483" s="1">
        <f t="shared" si="111"/>
        <v>-32.974056659885896</v>
      </c>
      <c r="BU483" s="1">
        <f t="shared" si="112"/>
        <v>-2.6438707327067288</v>
      </c>
    </row>
    <row r="484" spans="49:73">
      <c r="AW484" s="1">
        <v>474</v>
      </c>
      <c r="AX484" s="1">
        <f t="shared" si="113"/>
        <v>237</v>
      </c>
      <c r="AZ484" s="1">
        <f t="shared" si="114"/>
        <v>120723.16751197071</v>
      </c>
      <c r="BA484" s="1">
        <f t="shared" si="115"/>
        <v>-4407.075365712838</v>
      </c>
      <c r="BC484" s="1">
        <f t="shared" si="116"/>
        <v>1800.0552271024628</v>
      </c>
      <c r="BD484" s="1">
        <f t="shared" si="117"/>
        <v>1172.1471463868786</v>
      </c>
      <c r="BF484" s="1">
        <f t="shared" si="105"/>
        <v>-91.184666940039534</v>
      </c>
      <c r="BG484" s="1">
        <f t="shared" si="106"/>
        <v>4.06436633647336</v>
      </c>
      <c r="BJ484" s="1">
        <f t="shared" si="107"/>
        <v>-49.819215168331283</v>
      </c>
      <c r="BK484" s="1">
        <f t="shared" si="108"/>
        <v>5.8894211165418744</v>
      </c>
      <c r="BO484" s="1">
        <f t="shared" si="109"/>
        <v>-8.895611253773831</v>
      </c>
      <c r="BP484" s="1">
        <f t="shared" si="110"/>
        <v>0.91072240643176861</v>
      </c>
      <c r="BT484" s="1">
        <f t="shared" si="111"/>
        <v>-32.469840517934422</v>
      </c>
      <c r="BU484" s="1">
        <f t="shared" si="112"/>
        <v>-2.7357771865002833</v>
      </c>
    </row>
    <row r="485" spans="49:73">
      <c r="AW485" s="1">
        <v>475</v>
      </c>
      <c r="AX485" s="1">
        <f t="shared" si="113"/>
        <v>237.5</v>
      </c>
      <c r="AZ485" s="1">
        <f t="shared" si="114"/>
        <v>121611.79704215443</v>
      </c>
      <c r="BA485" s="1">
        <f t="shared" si="115"/>
        <v>-3820.4937467273398</v>
      </c>
      <c r="BC485" s="1">
        <f t="shared" si="116"/>
        <v>1754.462893632443</v>
      </c>
      <c r="BD485" s="1">
        <f t="shared" si="117"/>
        <v>1174.1793295551154</v>
      </c>
      <c r="BF485" s="1">
        <f t="shared" si="105"/>
        <v>-89.860331906632297</v>
      </c>
      <c r="BG485" s="1">
        <f t="shared" si="106"/>
        <v>3.5017532732813752</v>
      </c>
      <c r="BJ485" s="1">
        <f t="shared" si="107"/>
        <v>-49.076321486301723</v>
      </c>
      <c r="BK485" s="1">
        <f t="shared" si="108"/>
        <v>5.4675559991088187</v>
      </c>
      <c r="BO485" s="1">
        <f t="shared" si="109"/>
        <v>-8.797183968243349</v>
      </c>
      <c r="BP485" s="1">
        <f t="shared" si="110"/>
        <v>0.85855436172259969</v>
      </c>
      <c r="BT485" s="1">
        <f t="shared" si="111"/>
        <v>-31.986826452087222</v>
      </c>
      <c r="BU485" s="1">
        <f t="shared" si="112"/>
        <v>-2.8243570875500428</v>
      </c>
    </row>
    <row r="486" spans="49:73">
      <c r="AW486" s="1">
        <v>476</v>
      </c>
      <c r="AX486" s="1">
        <f t="shared" si="113"/>
        <v>238</v>
      </c>
      <c r="AZ486" s="1">
        <f t="shared" si="114"/>
        <v>122477.79594748233</v>
      </c>
      <c r="BA486" s="1">
        <f t="shared" si="115"/>
        <v>-3232.966362790622</v>
      </c>
      <c r="BC486" s="1">
        <f t="shared" si="116"/>
        <v>1709.5327276791268</v>
      </c>
      <c r="BD486" s="1">
        <f t="shared" si="117"/>
        <v>1175.930206191756</v>
      </c>
      <c r="BF486" s="1">
        <f t="shared" si="105"/>
        <v>-88.590717314202067</v>
      </c>
      <c r="BG486" s="1">
        <f t="shared" si="106"/>
        <v>2.9638224540921008</v>
      </c>
      <c r="BJ486" s="1">
        <f t="shared" si="107"/>
        <v>-48.364301631846054</v>
      </c>
      <c r="BK486" s="1">
        <f t="shared" si="108"/>
        <v>5.0654136125301434</v>
      </c>
      <c r="BO486" s="1">
        <f t="shared" si="109"/>
        <v>-8.7025364458862047</v>
      </c>
      <c r="BP486" s="1">
        <f t="shared" si="110"/>
        <v>0.80826890459352696</v>
      </c>
      <c r="BT486" s="1">
        <f t="shared" si="111"/>
        <v>-31.52387923646981</v>
      </c>
      <c r="BU486" s="1">
        <f t="shared" si="112"/>
        <v>-2.9098600630315699</v>
      </c>
    </row>
    <row r="487" spans="49:73">
      <c r="AW487" s="1">
        <v>477</v>
      </c>
      <c r="AX487" s="1">
        <f t="shared" si="113"/>
        <v>238.5</v>
      </c>
      <c r="AZ487" s="1">
        <f t="shared" si="114"/>
        <v>123321.48847165762</v>
      </c>
      <c r="BA487" s="1">
        <f t="shared" si="115"/>
        <v>-2644.6307818879827</v>
      </c>
      <c r="BC487" s="1">
        <f t="shared" si="116"/>
        <v>1665.2373690220256</v>
      </c>
      <c r="BD487" s="1">
        <f t="shared" si="117"/>
        <v>1177.4121174188022</v>
      </c>
      <c r="BF487" s="1">
        <f t="shared" si="105"/>
        <v>-87.373079398950381</v>
      </c>
      <c r="BG487" s="1">
        <f t="shared" si="106"/>
        <v>2.448864490679751</v>
      </c>
      <c r="BJ487" s="1">
        <f t="shared" si="107"/>
        <v>-47.681632016290976</v>
      </c>
      <c r="BK487" s="1">
        <f t="shared" si="108"/>
        <v>4.6816258557464492</v>
      </c>
      <c r="BO487" s="1">
        <f t="shared" si="109"/>
        <v>-8.6115022212906904</v>
      </c>
      <c r="BP487" s="1">
        <f t="shared" si="110"/>
        <v>0.75975533904088832</v>
      </c>
      <c r="BT487" s="1">
        <f t="shared" si="111"/>
        <v>-31.079945161368713</v>
      </c>
      <c r="BU487" s="1">
        <f t="shared" si="112"/>
        <v>-2.9925167041075862</v>
      </c>
    </row>
    <row r="488" spans="49:73">
      <c r="AW488" s="1">
        <v>478</v>
      </c>
      <c r="AX488" s="1">
        <f t="shared" si="113"/>
        <v>239</v>
      </c>
      <c r="AZ488" s="1">
        <f t="shared" si="114"/>
        <v>124143.18552124375</v>
      </c>
      <c r="BA488" s="1">
        <f t="shared" si="115"/>
        <v>-2055.6186151172465</v>
      </c>
      <c r="BC488" s="1">
        <f t="shared" si="116"/>
        <v>1621.5508293225505</v>
      </c>
      <c r="BD488" s="1">
        <f t="shared" si="117"/>
        <v>1178.636549664142</v>
      </c>
      <c r="BF488" s="1">
        <f t="shared" si="105"/>
        <v>-86.204859419730312</v>
      </c>
      <c r="BG488" s="1">
        <f t="shared" si="106"/>
        <v>1.9553045898594674</v>
      </c>
      <c r="BJ488" s="1">
        <f t="shared" si="107"/>
        <v>-47.026889077420094</v>
      </c>
      <c r="BK488" s="1">
        <f t="shared" si="108"/>
        <v>4.3149344283076871</v>
      </c>
      <c r="BO488" s="1">
        <f t="shared" si="109"/>
        <v>-8.5239253514866995</v>
      </c>
      <c r="BP488" s="1">
        <f t="shared" si="110"/>
        <v>0.71291051859061338</v>
      </c>
      <c r="BT488" s="1">
        <f t="shared" si="111"/>
        <v>-30.654044990823525</v>
      </c>
      <c r="BU488" s="1">
        <f t="shared" si="112"/>
        <v>-3.0725403570388328</v>
      </c>
    </row>
    <row r="489" spans="49:73">
      <c r="AW489" s="1">
        <v>479</v>
      </c>
      <c r="AX489" s="1">
        <f t="shared" si="113"/>
        <v>239.5</v>
      </c>
      <c r="AZ489" s="1">
        <f t="shared" si="114"/>
        <v>124943.18532847756</v>
      </c>
      <c r="BA489" s="1">
        <f t="shared" si="115"/>
        <v>-1466.0559272114431</v>
      </c>
      <c r="BC489" s="1">
        <f t="shared" si="116"/>
        <v>1578.4483996126853</v>
      </c>
      <c r="BD489" s="1">
        <f t="shared" si="117"/>
        <v>1179.6142019590718</v>
      </c>
      <c r="BF489" s="1">
        <f t="shared" si="105"/>
        <v>-85.083668945800937</v>
      </c>
      <c r="BG489" s="1">
        <f t="shared" si="106"/>
        <v>1.4816898363122202</v>
      </c>
      <c r="BJ489" s="1">
        <f t="shared" si="107"/>
        <v>-46.398741682915777</v>
      </c>
      <c r="BK489" s="1">
        <f t="shared" si="108"/>
        <v>3.9641803474814994</v>
      </c>
      <c r="BO489" s="1">
        <f t="shared" si="109"/>
        <v>-8.4396596266623209</v>
      </c>
      <c r="BP489" s="1">
        <f t="shared" si="110"/>
        <v>0.66763821332223683</v>
      </c>
      <c r="BT489" s="1">
        <f t="shared" si="111"/>
        <v>-30.245267636222838</v>
      </c>
      <c r="BU489" s="1">
        <f t="shared" si="112"/>
        <v>-3.1501287244915157</v>
      </c>
    </row>
    <row r="490" spans="49:73">
      <c r="AW490" s="1">
        <v>480</v>
      </c>
      <c r="AX490" s="1">
        <f t="shared" si="113"/>
        <v>240</v>
      </c>
      <c r="AZ490" s="1">
        <f t="shared" si="114"/>
        <v>125721.77406966567</v>
      </c>
      <c r="BA490" s="1">
        <f t="shared" si="115"/>
        <v>-876.06361500236812</v>
      </c>
      <c r="BC490" s="1">
        <f t="shared" si="116"/>
        <v>1535.9065651397848</v>
      </c>
      <c r="BD490" s="1">
        <f t="shared" si="117"/>
        <v>1180.355046877228</v>
      </c>
      <c r="BF490" s="1">
        <f t="shared" si="105"/>
        <v>-84.007276509349353</v>
      </c>
      <c r="BG490" s="1">
        <f t="shared" si="106"/>
        <v>1.0266778373302623</v>
      </c>
      <c r="BJ490" s="1">
        <f t="shared" si="107"/>
        <v>-45.795944194438391</v>
      </c>
      <c r="BK490" s="1">
        <f t="shared" si="108"/>
        <v>3.6282945992653013</v>
      </c>
      <c r="BO490" s="1">
        <f t="shared" si="109"/>
        <v>-8.3585678520115625</v>
      </c>
      <c r="BP490" s="1">
        <f t="shared" si="110"/>
        <v>0.6238485378673102</v>
      </c>
      <c r="BT490" s="1">
        <f t="shared" si="111"/>
        <v>-29.852764462899398</v>
      </c>
      <c r="BU490" s="1">
        <f t="shared" si="112"/>
        <v>-3.225465299802349</v>
      </c>
    </row>
    <row r="491" spans="49:73">
      <c r="AW491" s="1">
        <v>481</v>
      </c>
      <c r="AX491" s="1">
        <f t="shared" si="113"/>
        <v>240.5</v>
      </c>
      <c r="AZ491" s="1">
        <f t="shared" si="114"/>
        <v>126479.2264426719</v>
      </c>
      <c r="BA491" s="1">
        <f t="shared" si="115"/>
        <v>-285.75775683408784</v>
      </c>
      <c r="BC491" s="1">
        <f t="shared" si="116"/>
        <v>1493.9029268851102</v>
      </c>
      <c r="BD491" s="1">
        <f t="shared" si="117"/>
        <v>1180.8683857958931</v>
      </c>
      <c r="BF491" s="1">
        <f t="shared" si="105"/>
        <v>-82.973595480487234</v>
      </c>
      <c r="BG491" s="1">
        <f t="shared" si="106"/>
        <v>0.58902656565739031</v>
      </c>
      <c r="BJ491" s="1">
        <f t="shared" si="107"/>
        <v>-45.2173301296014</v>
      </c>
      <c r="BK491" s="1">
        <f t="shared" si="108"/>
        <v>3.3062897859181493</v>
      </c>
      <c r="BO491" s="1">
        <f t="shared" si="109"/>
        <v>-8.2805211933776643</v>
      </c>
      <c r="BP491" s="1">
        <f t="shared" si="110"/>
        <v>0.58145743368427205</v>
      </c>
      <c r="BT491" s="1">
        <f t="shared" si="111"/>
        <v>-29.475744157508164</v>
      </c>
      <c r="BU491" s="1">
        <f t="shared" si="112"/>
        <v>-3.2987206539450309</v>
      </c>
    </row>
    <row r="492" spans="49:73">
      <c r="AW492" s="1">
        <v>482</v>
      </c>
      <c r="AX492" s="1">
        <f t="shared" si="113"/>
        <v>241</v>
      </c>
      <c r="AZ492" s="1">
        <f t="shared" si="114"/>
        <v>127215.80620667941</v>
      </c>
      <c r="BA492" s="1">
        <f t="shared" si="115"/>
        <v>304.75006438456592</v>
      </c>
      <c r="BC492" s="1">
        <f t="shared" si="116"/>
        <v>1452.4161291448665</v>
      </c>
      <c r="BD492" s="1">
        <f t="shared" si="117"/>
        <v>1181.1628990787219</v>
      </c>
      <c r="BF492" s="1">
        <f t="shared" si="105"/>
        <v>-81.980673038837878</v>
      </c>
      <c r="BG492" s="1">
        <f t="shared" si="106"/>
        <v>0.16758525830775106</v>
      </c>
      <c r="BJ492" s="1">
        <f t="shared" si="107"/>
        <v>-44.661806365431431</v>
      </c>
      <c r="BK492" s="1">
        <f t="shared" si="108"/>
        <v>2.9972526509372051</v>
      </c>
      <c r="BO492" s="1">
        <f t="shared" si="109"/>
        <v>-8.2053985802119787</v>
      </c>
      <c r="BP492" s="1">
        <f t="shared" si="110"/>
        <v>0.54038619973192603</v>
      </c>
      <c r="BT492" s="1">
        <f t="shared" si="111"/>
        <v>-29.113468093194466</v>
      </c>
      <c r="BU492" s="1">
        <f t="shared" si="112"/>
        <v>-3.3700535923613799</v>
      </c>
    </row>
    <row r="493" spans="49:73">
      <c r="AW493" s="1">
        <v>483</v>
      </c>
      <c r="AX493" s="1">
        <f t="shared" si="113"/>
        <v>241.5</v>
      </c>
      <c r="AZ493" s="1">
        <f t="shared" si="114"/>
        <v>127931.76668712198</v>
      </c>
      <c r="BA493" s="1">
        <f t="shared" si="115"/>
        <v>895.35246208121532</v>
      </c>
      <c r="BC493" s="1">
        <f t="shared" si="116"/>
        <v>1411.4257926254477</v>
      </c>
      <c r="BD493" s="1">
        <f t="shared" si="117"/>
        <v>1181.2466917078757</v>
      </c>
      <c r="BF493" s="1">
        <f t="shared" si="105"/>
        <v>-81.02668013018237</v>
      </c>
      <c r="BG493" s="1">
        <f t="shared" si="106"/>
        <v>-0.23871375218291924</v>
      </c>
      <c r="BJ493" s="1">
        <f t="shared" si="107"/>
        <v>-44.128347832567961</v>
      </c>
      <c r="BK493" s="1">
        <f t="shared" si="108"/>
        <v>2.7003373780554334</v>
      </c>
      <c r="BO493" s="1">
        <f t="shared" si="109"/>
        <v>-8.1330861601121587</v>
      </c>
      <c r="BP493" s="1">
        <f t="shared" si="110"/>
        <v>0.50056106637299247</v>
      </c>
      <c r="BT493" s="1">
        <f t="shared" si="111"/>
        <v>-28.765246137502249</v>
      </c>
      <c r="BU493" s="1">
        <f t="shared" si="112"/>
        <v>-3.4396121966113453</v>
      </c>
    </row>
    <row r="494" spans="49:73">
      <c r="AW494" s="1">
        <v>484</v>
      </c>
      <c r="AX494" s="1">
        <f t="shared" si="113"/>
        <v>242</v>
      </c>
      <c r="AZ494" s="1">
        <f t="shared" si="114"/>
        <v>128627.35124841843</v>
      </c>
      <c r="BA494" s="1">
        <f t="shared" si="115"/>
        <v>1485.9459687161302</v>
      </c>
      <c r="BC494" s="1">
        <f t="shared" si="116"/>
        <v>1370.9124525603565</v>
      </c>
      <c r="BD494" s="1">
        <f t="shared" si="117"/>
        <v>1181.1273348317843</v>
      </c>
      <c r="BF494" s="1">
        <f t="shared" si="105"/>
        <v>-80.109902309204841</v>
      </c>
      <c r="BG494" s="1">
        <f t="shared" si="106"/>
        <v>-0.63086238169283027</v>
      </c>
      <c r="BJ494" s="1">
        <f t="shared" si="107"/>
        <v>-43.61599265455326</v>
      </c>
      <c r="BK494" s="1">
        <f t="shared" si="108"/>
        <v>2.4147595742502532</v>
      </c>
      <c r="BO494" s="1">
        <f t="shared" si="109"/>
        <v>-8.0634767998563301</v>
      </c>
      <c r="BP494" s="1">
        <f t="shared" si="110"/>
        <v>0.46191280795439238</v>
      </c>
      <c r="BT494" s="1">
        <f t="shared" si="111"/>
        <v>-28.430432854795257</v>
      </c>
      <c r="BU494" s="1">
        <f t="shared" si="112"/>
        <v>-3.5075347638974761</v>
      </c>
    </row>
    <row r="495" spans="49:73">
      <c r="AW495" s="1">
        <v>485</v>
      </c>
      <c r="AX495" s="1">
        <f t="shared" si="113"/>
        <v>242.5</v>
      </c>
      <c r="AZ495" s="1">
        <f t="shared" si="114"/>
        <v>129302.79373690995</v>
      </c>
      <c r="BA495" s="1">
        <f t="shared" si="115"/>
        <v>2076.4307783343111</v>
      </c>
      <c r="BC495" s="1">
        <f t="shared" si="116"/>
        <v>1330.8575014057542</v>
      </c>
      <c r="BD495" s="1">
        <f t="shared" si="117"/>
        <v>1180.811903640938</v>
      </c>
      <c r="BF495" s="1">
        <f t="shared" si="105"/>
        <v>-79.228731380412398</v>
      </c>
      <c r="BG495" s="1">
        <f t="shared" si="106"/>
        <v>-1.0097834075700987</v>
      </c>
      <c r="BJ495" s="1">
        <f t="shared" si="107"/>
        <v>-43.123837691135108</v>
      </c>
      <c r="BK495" s="1">
        <f t="shared" si="108"/>
        <v>2.1397908582712426</v>
      </c>
      <c r="BO495" s="1">
        <f t="shared" si="109"/>
        <v>-7.9964696284147037</v>
      </c>
      <c r="BP495" s="1">
        <f t="shared" si="110"/>
        <v>0.42437639004492056</v>
      </c>
      <c r="BT495" s="1">
        <f t="shared" si="111"/>
        <v>-28.108424060862593</v>
      </c>
      <c r="BU495" s="1">
        <f t="shared" si="112"/>
        <v>-3.5739506558862617</v>
      </c>
    </row>
    <row r="496" spans="49:73">
      <c r="AW496" s="1">
        <v>486</v>
      </c>
      <c r="AX496" s="1">
        <f t="shared" si="113"/>
        <v>243</v>
      </c>
      <c r="AZ496" s="1">
        <f t="shared" si="114"/>
        <v>129958.31889619028</v>
      </c>
      <c r="BA496" s="1">
        <f t="shared" si="115"/>
        <v>2666.7105072288336</v>
      </c>
      <c r="BC496" s="1">
        <f t="shared" si="116"/>
        <v>1291.2431357155481</v>
      </c>
      <c r="BD496" s="1">
        <f t="shared" si="117"/>
        <v>1180.307011937153</v>
      </c>
      <c r="BF496" s="1">
        <f t="shared" si="105"/>
        <v>-78.381657758996823</v>
      </c>
      <c r="BG496" s="1">
        <f t="shared" si="106"/>
        <v>-1.3763364329562724</v>
      </c>
      <c r="BJ496" s="1">
        <f t="shared" si="107"/>
        <v>-42.651034448598715</v>
      </c>
      <c r="BK496" s="1">
        <f t="shared" si="108"/>
        <v>1.8747539861067803</v>
      </c>
      <c r="BO496" s="1">
        <f t="shared" si="109"/>
        <v>-7.9319696179211698</v>
      </c>
      <c r="BP496" s="1">
        <f t="shared" si="110"/>
        <v>0.38789064777625482</v>
      </c>
      <c r="BT496" s="1">
        <f t="shared" si="111"/>
        <v>-27.798653692476936</v>
      </c>
      <c r="BU496" s="1">
        <f t="shared" si="112"/>
        <v>-3.6389810668393077</v>
      </c>
    </row>
    <row r="497" spans="49:73">
      <c r="AW497" s="1">
        <v>487</v>
      </c>
      <c r="AX497" s="1">
        <f t="shared" si="113"/>
        <v>243.5</v>
      </c>
      <c r="AZ497" s="1">
        <f t="shared" si="114"/>
        <v>130594.14275682818</v>
      </c>
      <c r="BA497" s="1">
        <f t="shared" si="115"/>
        <v>3256.6919711432906</v>
      </c>
      <c r="BC497" s="1">
        <f t="shared" si="116"/>
        <v>1252.0523068360496</v>
      </c>
      <c r="BD497" s="1">
        <f t="shared" si="117"/>
        <v>1179.6188437206749</v>
      </c>
      <c r="BF497" s="1">
        <f t="shared" si="105"/>
        <v>-77.56726348192268</v>
      </c>
      <c r="BG497" s="1">
        <f t="shared" si="106"/>
        <v>-1.7313232743534239</v>
      </c>
      <c r="BJ497" s="1">
        <f t="shared" si="107"/>
        <v>-42.196785323808029</v>
      </c>
      <c r="BK497" s="1">
        <f t="shared" si="108"/>
        <v>1.619018453356587</v>
      </c>
      <c r="BO497" s="1">
        <f t="shared" si="109"/>
        <v>-7.8698871990225188</v>
      </c>
      <c r="BP497" s="1">
        <f t="shared" si="110"/>
        <v>0.35239799213876766</v>
      </c>
      <c r="BT497" s="1">
        <f t="shared" si="111"/>
        <v>-27.500590959092136</v>
      </c>
      <c r="BU497" s="1">
        <f t="shared" si="112"/>
        <v>-3.7027397198487786</v>
      </c>
    </row>
    <row r="498" spans="49:73">
      <c r="AW498" s="1">
        <v>488</v>
      </c>
      <c r="AX498" s="1">
        <f t="shared" si="113"/>
        <v>244</v>
      </c>
      <c r="AZ498" s="1">
        <f t="shared" si="114"/>
        <v>131210.47300231096</v>
      </c>
      <c r="BA498" s="1">
        <f t="shared" si="115"/>
        <v>3846.2849775943337</v>
      </c>
      <c r="BC498" s="1">
        <f t="shared" si="116"/>
        <v>1213.2686750950884</v>
      </c>
      <c r="BD498" s="1">
        <f t="shared" si="117"/>
        <v>1178.7531820834981</v>
      </c>
      <c r="BF498" s="1">
        <f t="shared" si="105"/>
        <v>-76.784215807066587</v>
      </c>
      <c r="BG498" s="1">
        <f t="shared" si="106"/>
        <v>-2.0754928356159192</v>
      </c>
      <c r="BJ498" s="1">
        <f t="shared" si="107"/>
        <v>-41.760340151944568</v>
      </c>
      <c r="BK498" s="1">
        <f t="shared" si="108"/>
        <v>1.3719965218631858</v>
      </c>
      <c r="BO498" s="1">
        <f t="shared" si="109"/>
        <v>-7.8101379074066966</v>
      </c>
      <c r="BP498" s="1">
        <f t="shared" si="110"/>
        <v>0.31784414143810014</v>
      </c>
      <c r="BT498" s="1">
        <f t="shared" si="111"/>
        <v>-27.213737747715317</v>
      </c>
      <c r="BU498" s="1">
        <f t="shared" si="112"/>
        <v>-3.7653334989172049</v>
      </c>
    </row>
    <row r="499" spans="49:73">
      <c r="AW499" s="1">
        <v>489</v>
      </c>
      <c r="AX499" s="1">
        <f t="shared" si="113"/>
        <v>244.5</v>
      </c>
      <c r="AZ499" s="1">
        <f t="shared" si="114"/>
        <v>131807.50931288264</v>
      </c>
      <c r="BA499" s="1">
        <f t="shared" si="115"/>
        <v>4435.4021320316306</v>
      </c>
      <c r="BC499" s="1">
        <f t="shared" si="116"/>
        <v>1174.8765671915551</v>
      </c>
      <c r="BD499" s="1">
        <f t="shared" si="117"/>
        <v>1177.7154356656902</v>
      </c>
      <c r="BF499" s="1">
        <f t="shared" si="105"/>
        <v>-76.031261344829986</v>
      </c>
      <c r="BG499" s="1">
        <f t="shared" si="106"/>
        <v>-2.409545523927783</v>
      </c>
      <c r="BJ499" s="1">
        <f t="shared" si="107"/>
        <v>-41.340993030853951</v>
      </c>
      <c r="BK499" s="1">
        <f t="shared" si="108"/>
        <v>1.1331396243476859</v>
      </c>
      <c r="BO499" s="1">
        <f t="shared" si="109"/>
        <v>-7.7526420586530733</v>
      </c>
      <c r="BP499" s="1">
        <f t="shared" si="110"/>
        <v>0.28417787542899786</v>
      </c>
      <c r="BT499" s="1">
        <f t="shared" si="111"/>
        <v>-26.937626255322961</v>
      </c>
      <c r="BU499" s="1">
        <f t="shared" si="112"/>
        <v>-3.8268630237044667</v>
      </c>
    </row>
    <row r="500" spans="49:73">
      <c r="AW500" s="1">
        <v>490</v>
      </c>
      <c r="AX500" s="1">
        <f t="shared" si="113"/>
        <v>245</v>
      </c>
      <c r="AZ500" s="1">
        <f t="shared" si="114"/>
        <v>132385.44368881031</v>
      </c>
      <c r="BA500" s="1">
        <f t="shared" si="115"/>
        <v>5023.9586566739845</v>
      </c>
      <c r="BC500" s="1">
        <f t="shared" si="116"/>
        <v>1136.8609365191401</v>
      </c>
      <c r="BD500" s="1">
        <f t="shared" si="117"/>
        <v>1176.5106629037264</v>
      </c>
      <c r="BF500" s="1">
        <f t="shared" si="105"/>
        <v>-75.307220672538676</v>
      </c>
      <c r="BG500" s="1">
        <f t="shared" si="106"/>
        <v>-2.7341372567116249</v>
      </c>
      <c r="BJ500" s="1">
        <f t="shared" si="107"/>
        <v>-40.93807939758215</v>
      </c>
      <c r="BK500" s="1">
        <f t="shared" si="108"/>
        <v>0.90193510634214591</v>
      </c>
      <c r="BO500" s="1">
        <f t="shared" si="109"/>
        <v>-7.6973244488431414</v>
      </c>
      <c r="BP500" s="1">
        <f t="shared" si="110"/>
        <v>0.25135080991499026</v>
      </c>
      <c r="BT500" s="1">
        <f t="shared" si="111"/>
        <v>-26.671816826113389</v>
      </c>
      <c r="BU500" s="1">
        <f t="shared" si="112"/>
        <v>-3.8874231729687612</v>
      </c>
    </row>
    <row r="501" spans="49:73">
      <c r="AW501" s="1">
        <v>491</v>
      </c>
      <c r="AX501" s="1">
        <f t="shared" si="113"/>
        <v>245.5</v>
      </c>
      <c r="AZ501" s="1">
        <f t="shared" si="114"/>
        <v>132944.46075448583</v>
      </c>
      <c r="BA501" s="1">
        <f t="shared" si="115"/>
        <v>5611.8722209687594</v>
      </c>
      <c r="BC501" s="1">
        <f t="shared" si="116"/>
        <v>1099.2073261828707</v>
      </c>
      <c r="BD501" s="1">
        <f t="shared" si="117"/>
        <v>1175.1435942753706</v>
      </c>
      <c r="BF501" s="1">
        <f t="shared" si="105"/>
        <v>-74.610983387102692</v>
      </c>
      <c r="BG501" s="1">
        <f t="shared" si="106"/>
        <v>-3.0498831026641104</v>
      </c>
      <c r="BJ501" s="1">
        <f t="shared" si="107"/>
        <v>-40.550973335025169</v>
      </c>
      <c r="BK501" s="1">
        <f t="shared" si="108"/>
        <v>0.67790326952864899</v>
      </c>
      <c r="BO501" s="1">
        <f t="shared" si="109"/>
        <v>-7.6441140786363748</v>
      </c>
      <c r="BP501" s="1">
        <f t="shared" si="110"/>
        <v>0.21931718984183121</v>
      </c>
      <c r="BT501" s="1">
        <f t="shared" si="111"/>
        <v>-26.415895973441138</v>
      </c>
      <c r="BU501" s="1">
        <f t="shared" si="112"/>
        <v>-3.9471035620345907</v>
      </c>
    </row>
    <row r="502" spans="49:73">
      <c r="AW502" s="1">
        <v>492</v>
      </c>
      <c r="AX502" s="1">
        <f t="shared" si="113"/>
        <v>246</v>
      </c>
      <c r="AZ502" s="1">
        <f t="shared" si="114"/>
        <v>133484.73804465387</v>
      </c>
      <c r="BA502" s="1">
        <f t="shared" si="115"/>
        <v>6199.0627827186117</v>
      </c>
      <c r="BC502" s="1">
        <f t="shared" si="116"/>
        <v>1061.9018344893193</v>
      </c>
      <c r="BD502" s="1">
        <f t="shared" si="117"/>
        <v>1173.6186527240386</v>
      </c>
      <c r="BF502" s="1">
        <f t="shared" si="105"/>
        <v>-73.941503556019057</v>
      </c>
      <c r="BG502" s="1">
        <f t="shared" si="106"/>
        <v>-3.3573605950995891</v>
      </c>
      <c r="BJ502" s="1">
        <f t="shared" si="107"/>
        <v>-40.179085088762946</v>
      </c>
      <c r="BK502" s="1">
        <f t="shared" si="108"/>
        <v>0.46059468479118354</v>
      </c>
      <c r="BO502" s="1">
        <f t="shared" si="109"/>
        <v>-7.5929438987500584</v>
      </c>
      <c r="BP502" s="1">
        <f t="shared" si="110"/>
        <v>0.1880336991231813</v>
      </c>
      <c r="BT502" s="1">
        <f t="shared" si="111"/>
        <v>-26.16947456850605</v>
      </c>
      <c r="BU502" s="1">
        <f t="shared" si="112"/>
        <v>-4.0059889790139538</v>
      </c>
    </row>
    <row r="503" spans="49:73">
      <c r="AW503" s="1">
        <v>493</v>
      </c>
      <c r="AX503" s="1">
        <f t="shared" si="113"/>
        <v>246.5</v>
      </c>
      <c r="AZ503" s="1">
        <f t="shared" si="114"/>
        <v>134006.44627395403</v>
      </c>
      <c r="BA503" s="1">
        <f t="shared" si="115"/>
        <v>6785.4524390062434</v>
      </c>
      <c r="BC503" s="1">
        <f t="shared" si="116"/>
        <v>1024.9310827113097</v>
      </c>
      <c r="BD503" s="1">
        <f t="shared" si="117"/>
        <v>1171.9399724264888</v>
      </c>
      <c r="BF503" s="1">
        <f t="shared" si="105"/>
        <v>-73.29779553087215</v>
      </c>
      <c r="BG503" s="1">
        <f t="shared" si="106"/>
        <v>-3.6571127514107276</v>
      </c>
      <c r="BJ503" s="1">
        <f t="shared" si="107"/>
        <v>-39.821858776047435</v>
      </c>
      <c r="BK503" s="1">
        <f t="shared" si="108"/>
        <v>0.24958774694447494</v>
      </c>
      <c r="BO503" s="1">
        <f t="shared" si="109"/>
        <v>-7.543750574988481</v>
      </c>
      <c r="BP503" s="1">
        <f t="shared" si="110"/>
        <v>0.15745928562261519</v>
      </c>
      <c r="BT503" s="1">
        <f t="shared" si="111"/>
        <v>-25.932186179836229</v>
      </c>
      <c r="BU503" s="1">
        <f t="shared" si="112"/>
        <v>-4.0641597839778179</v>
      </c>
    </row>
    <row r="504" spans="49:73">
      <c r="AW504" s="1">
        <v>494</v>
      </c>
      <c r="AX504" s="1">
        <f t="shared" si="113"/>
        <v>247</v>
      </c>
      <c r="AZ504" s="1">
        <f t="shared" si="114"/>
        <v>134509.74959086833</v>
      </c>
      <c r="BA504" s="1">
        <f t="shared" si="115"/>
        <v>7370.9652861255618</v>
      </c>
      <c r="BC504" s="1">
        <f t="shared" si="116"/>
        <v>988.28218494587361</v>
      </c>
      <c r="BD504" s="1">
        <f t="shared" si="117"/>
        <v>1170.1114160507834</v>
      </c>
      <c r="BF504" s="1">
        <f t="shared" si="105"/>
        <v>-72.678930091105769</v>
      </c>
      <c r="BG504" s="1">
        <f t="shared" si="106"/>
        <v>-3.949650828630662</v>
      </c>
      <c r="BJ504" s="1">
        <f t="shared" si="107"/>
        <v>-39.478770270627805</v>
      </c>
      <c r="BK504" s="1">
        <f t="shared" si="108"/>
        <v>4.4486446299864875E-2</v>
      </c>
      <c r="BO504" s="1">
        <f t="shared" si="109"/>
        <v>-7.4964742711528967</v>
      </c>
      <c r="BP504" s="1">
        <f t="shared" si="110"/>
        <v>0.1275549998800356</v>
      </c>
      <c r="BT504" s="1">
        <f t="shared" si="111"/>
        <v>-25.703685549325058</v>
      </c>
      <c r="BU504" s="1">
        <f t="shared" si="112"/>
        <v>-4.1216922748105622</v>
      </c>
    </row>
    <row r="505" spans="49:73">
      <c r="AW505" s="1">
        <v>495</v>
      </c>
      <c r="AX505" s="1">
        <f t="shared" si="113"/>
        <v>247.5</v>
      </c>
      <c r="AZ505" s="1">
        <f t="shared" si="114"/>
        <v>134994.80581707988</v>
      </c>
      <c r="BA505" s="1">
        <f t="shared" si="115"/>
        <v>7955.5272877973748</v>
      </c>
      <c r="BC505" s="1">
        <f t="shared" si="116"/>
        <v>951.94271990032075</v>
      </c>
      <c r="BD505" s="1">
        <f t="shared" si="117"/>
        <v>1168.1365906364681</v>
      </c>
      <c r="BF505" s="1">
        <f t="shared" si="105"/>
        <v>-72.084030889066568</v>
      </c>
      <c r="BG505" s="1">
        <f t="shared" si="106"/>
        <v>-4.2354568417322369</v>
      </c>
      <c r="BJ505" s="1">
        <f t="shared" si="107"/>
        <v>-39.149325248639812</v>
      </c>
      <c r="BK505" s="1">
        <f t="shared" si="108"/>
        <v>-0.15508166497517931</v>
      </c>
      <c r="BO505" s="1">
        <f t="shared" si="109"/>
        <v>-7.4510584483274611</v>
      </c>
      <c r="BP505" s="1">
        <f t="shared" si="110"/>
        <v>9.8283846315536674E-2</v>
      </c>
      <c r="BT505" s="1">
        <f t="shared" si="111"/>
        <v>-25.483647192099301</v>
      </c>
      <c r="BU505" s="1">
        <f t="shared" si="112"/>
        <v>-4.1786590230725942</v>
      </c>
    </row>
    <row r="506" spans="49:73">
      <c r="AW506" s="1">
        <v>496</v>
      </c>
      <c r="AX506" s="1">
        <f t="shared" si="113"/>
        <v>248</v>
      </c>
      <c r="AZ506" s="1">
        <f t="shared" si="114"/>
        <v>135461.76667316892</v>
      </c>
      <c r="BA506" s="1">
        <f t="shared" si="115"/>
        <v>8539.0661510103928</v>
      </c>
      <c r="BC506" s="1">
        <f t="shared" si="116"/>
        <v>915.90070445578749</v>
      </c>
      <c r="BD506" s="1">
        <f t="shared" si="117"/>
        <v>1166.018862215602</v>
      </c>
      <c r="BF506" s="1">
        <f t="shared" si="105"/>
        <v>-71.512271170186324</v>
      </c>
      <c r="BG506" s="1">
        <f t="shared" si="106"/>
        <v>-4.5149858683635946</v>
      </c>
      <c r="BJ506" s="1">
        <f t="shared" si="107"/>
        <v>-38.83305738216513</v>
      </c>
      <c r="BK506" s="1">
        <f t="shared" si="108"/>
        <v>-0.34946733129650465</v>
      </c>
      <c r="BO506" s="1">
        <f t="shared" si="109"/>
        <v>-7.4074496791818776</v>
      </c>
      <c r="BP506" s="1">
        <f t="shared" si="110"/>
        <v>6.9610645772184829E-2</v>
      </c>
      <c r="BT506" s="1">
        <f t="shared" si="111"/>
        <v>-25.271764108839314</v>
      </c>
      <c r="BU506" s="1">
        <f t="shared" si="112"/>
        <v>-4.235129182839275</v>
      </c>
    </row>
    <row r="507" spans="49:73">
      <c r="AW507" s="1">
        <v>497</v>
      </c>
      <c r="AX507" s="1">
        <f t="shared" si="113"/>
        <v>248.5</v>
      </c>
      <c r="AZ507" s="1">
        <f t="shared" si="114"/>
        <v>135910.77799150054</v>
      </c>
      <c r="BA507" s="1">
        <f t="shared" si="115"/>
        <v>9121.511208884649</v>
      </c>
      <c r="BC507" s="1">
        <f t="shared" si="116"/>
        <v>880.14456887069434</v>
      </c>
      <c r="BD507" s="1">
        <f t="shared" si="117"/>
        <v>1163.7613692814202</v>
      </c>
      <c r="BF507" s="1">
        <f t="shared" si="105"/>
        <v>-70.96287074473274</v>
      </c>
      <c r="BG507" s="1">
        <f t="shared" si="106"/>
        <v>-4.7886681611377977</v>
      </c>
      <c r="BJ507" s="1">
        <f t="shared" si="107"/>
        <v>-38.529526668319676</v>
      </c>
      <c r="BK507" s="1">
        <f t="shared" si="108"/>
        <v>-0.53900129434280553</v>
      </c>
      <c r="BO507" s="1">
        <f t="shared" si="109"/>
        <v>-7.3655974760649121</v>
      </c>
      <c r="BP507" s="1">
        <f t="shared" si="110"/>
        <v>4.1501908373154865E-2</v>
      </c>
      <c r="BT507" s="1">
        <f t="shared" si="111"/>
        <v>-25.067746600348151</v>
      </c>
      <c r="BU507" s="1">
        <f t="shared" si="112"/>
        <v>-4.2911687751681473</v>
      </c>
    </row>
    <row r="508" spans="49:73">
      <c r="AW508" s="1">
        <v>498</v>
      </c>
      <c r="AX508" s="1">
        <f t="shared" si="113"/>
        <v>249</v>
      </c>
      <c r="AZ508" s="1">
        <f t="shared" si="114"/>
        <v>136341.9799170928</v>
      </c>
      <c r="BA508" s="1">
        <f t="shared" si="115"/>
        <v>9702.793310005216</v>
      </c>
      <c r="BC508" s="1">
        <f t="shared" si="116"/>
        <v>844.66313349832797</v>
      </c>
      <c r="BD508" s="1">
        <f t="shared" si="117"/>
        <v>1161.3670352008514</v>
      </c>
      <c r="BF508" s="1">
        <f t="shared" si="105"/>
        <v>-70.435093189850534</v>
      </c>
      <c r="BG508" s="1">
        <f t="shared" si="106"/>
        <v>-5.0569110863255764</v>
      </c>
      <c r="BJ508" s="1">
        <f t="shared" si="107"/>
        <v>-38.238317882850119</v>
      </c>
      <c r="BK508" s="1">
        <f t="shared" si="108"/>
        <v>-0.72399585152512902</v>
      </c>
      <c r="BO508" s="1">
        <f t="shared" si="109"/>
        <v>-7.3254541317771178</v>
      </c>
      <c r="BP508" s="1">
        <f t="shared" si="110"/>
        <v>1.3925715769805613E-2</v>
      </c>
      <c r="BT508" s="1">
        <f t="shared" si="111"/>
        <v>-24.871321175223304</v>
      </c>
      <c r="BU508" s="1">
        <f t="shared" si="112"/>
        <v>-4.346840950570253</v>
      </c>
    </row>
    <row r="509" spans="49:73">
      <c r="AW509" s="1">
        <v>499</v>
      </c>
      <c r="AX509" s="1">
        <f t="shared" si="113"/>
        <v>249.5</v>
      </c>
      <c r="AZ509" s="1">
        <f t="shared" si="114"/>
        <v>136755.50709719324</v>
      </c>
      <c r="BA509" s="1">
        <f t="shared" si="115"/>
        <v>10282.844713719851</v>
      </c>
      <c r="BC509" s="1">
        <f t="shared" si="116"/>
        <v>809.44558690340273</v>
      </c>
      <c r="BD509" s="1">
        <f t="shared" si="117"/>
        <v>1158.8385796576886</v>
      </c>
      <c r="BF509" s="1">
        <f t="shared" si="105"/>
        <v>-69.928243262643846</v>
      </c>
      <c r="BG509" s="1">
        <f t="shared" si="106"/>
        <v>-5.3201009057986326</v>
      </c>
      <c r="BJ509" s="1">
        <f t="shared" si="107"/>
        <v>-37.959039148220512</v>
      </c>
      <c r="BK509" s="1">
        <f t="shared" si="108"/>
        <v>-0.90474628613085539</v>
      </c>
      <c r="BO509" s="1">
        <f t="shared" si="109"/>
        <v>-7.2869745720179422</v>
      </c>
      <c r="BP509" s="1">
        <f t="shared" si="110"/>
        <v>-1.314838805266544E-2</v>
      </c>
      <c r="BT509" s="1">
        <f t="shared" si="111"/>
        <v>-24.682229542405395</v>
      </c>
      <c r="BU509" s="1">
        <f t="shared" si="112"/>
        <v>-4.4022062316151116</v>
      </c>
    </row>
    <row r="510" spans="49:73">
      <c r="AW510" s="1">
        <v>500</v>
      </c>
      <c r="AX510" s="1">
        <f t="shared" si="113"/>
        <v>250</v>
      </c>
      <c r="AZ510" s="1">
        <f t="shared" si="114"/>
        <v>137151.48886023712</v>
      </c>
      <c r="BA510" s="1">
        <f t="shared" si="115"/>
        <v>10861.59899093547</v>
      </c>
      <c r="BC510" s="1">
        <f t="shared" si="116"/>
        <v>774.48146527208075</v>
      </c>
      <c r="BD510" s="1">
        <f t="shared" si="117"/>
        <v>1156.1785292047894</v>
      </c>
      <c r="BF510" s="1">
        <f t="shared" si="105"/>
        <v>-69.44166450690345</v>
      </c>
      <c r="BG510" s="1">
        <f t="shared" si="106"/>
        <v>-5.5786044173069502</v>
      </c>
      <c r="BJ510" s="1">
        <f t="shared" si="107"/>
        <v>-37.691320607099605</v>
      </c>
      <c r="BK510" s="1">
        <f t="shared" si="108"/>
        <v>-1.0815321815586088</v>
      </c>
      <c r="BO510" s="1">
        <f t="shared" si="109"/>
        <v>-7.250116218595263</v>
      </c>
      <c r="BP510" s="1">
        <f t="shared" si="110"/>
        <v>-3.9749498165188052E-2</v>
      </c>
      <c r="BT510" s="1">
        <f t="shared" si="111"/>
        <v>-24.500227681208589</v>
      </c>
      <c r="BU510" s="1">
        <f t="shared" si="112"/>
        <v>-4.4573227375831532</v>
      </c>
    </row>
    <row r="511" spans="49:73">
      <c r="AW511" s="1">
        <v>501</v>
      </c>
      <c r="AX511" s="1">
        <f t="shared" si="113"/>
        <v>250.5</v>
      </c>
      <c r="AZ511" s="1">
        <f t="shared" si="114"/>
        <v>137530.0493848098</v>
      </c>
      <c r="BA511" s="1">
        <f t="shared" si="115"/>
        <v>11438.990929985703</v>
      </c>
      <c r="BC511" s="1">
        <f t="shared" si="116"/>
        <v>739.76063301862905</v>
      </c>
      <c r="BD511" s="1">
        <f t="shared" si="117"/>
        <v>1153.3892269961359</v>
      </c>
      <c r="BF511" s="1">
        <f t="shared" si="105"/>
        <v>-68.974737037708366</v>
      </c>
      <c r="BG511" s="1">
        <f t="shared" si="106"/>
        <v>-5.8327704666137459</v>
      </c>
      <c r="BJ511" s="1">
        <f t="shared" si="107"/>
        <v>-37.434813192968079</v>
      </c>
      <c r="BK511" s="1">
        <f t="shared" si="108"/>
        <v>-1.2546186307641278</v>
      </c>
      <c r="BO511" s="1">
        <f t="shared" si="109"/>
        <v>-7.2148388625717166</v>
      </c>
      <c r="BP511" s="1">
        <f t="shared" si="110"/>
        <v>-6.5905442962110691E-2</v>
      </c>
      <c r="BT511" s="1">
        <f t="shared" si="111"/>
        <v>-24.325084982168573</v>
      </c>
      <c r="BU511" s="1">
        <f t="shared" si="112"/>
        <v>-4.5122463928875076</v>
      </c>
    </row>
    <row r="512" spans="49:73">
      <c r="AW512" s="1">
        <v>502</v>
      </c>
      <c r="AX512" s="1">
        <f t="shared" si="113"/>
        <v>251</v>
      </c>
      <c r="AZ512" s="1">
        <f t="shared" si="114"/>
        <v>137891.3078591894</v>
      </c>
      <c r="BA512" s="1">
        <f t="shared" si="115"/>
        <v>12014.956447175444</v>
      </c>
      <c r="BC512" s="1">
        <f t="shared" si="116"/>
        <v>705.27326449977488</v>
      </c>
      <c r="BD512" s="1">
        <f t="shared" si="117"/>
        <v>1150.4728417628289</v>
      </c>
      <c r="BF512" s="1">
        <f t="shared" si="105"/>
        <v>-68.526875489612536</v>
      </c>
      <c r="BG512" s="1">
        <f t="shared" si="106"/>
        <v>-6.0829313436321515</v>
      </c>
      <c r="BJ512" s="1">
        <f t="shared" si="107"/>
        <v>-37.189187490319483</v>
      </c>
      <c r="BK512" s="1">
        <f t="shared" si="108"/>
        <v>-1.4242573508912535</v>
      </c>
      <c r="BO512" s="1">
        <f t="shared" si="109"/>
        <v>-7.1811045465952166</v>
      </c>
      <c r="BP512" s="1">
        <f t="shared" si="110"/>
        <v>-9.1642871923685698E-2</v>
      </c>
      <c r="BT512" s="1">
        <f t="shared" si="111"/>
        <v>-24.156583452697845</v>
      </c>
      <c r="BU512" s="1">
        <f t="shared" si="112"/>
        <v>-4.5670311208172123</v>
      </c>
    </row>
    <row r="513" spans="49:73">
      <c r="AW513" s="1">
        <v>503</v>
      </c>
      <c r="AX513" s="1">
        <f t="shared" si="113"/>
        <v>251.5</v>
      </c>
      <c r="AZ513" s="1">
        <f t="shared" si="114"/>
        <v>138235.37863200309</v>
      </c>
      <c r="BA513" s="1">
        <f t="shared" si="115"/>
        <v>12589.432501638905</v>
      </c>
      <c r="BC513" s="1">
        <f t="shared" si="116"/>
        <v>671.00982675496857</v>
      </c>
      <c r="BD513" s="1">
        <f t="shared" si="117"/>
        <v>1147.4313760910129</v>
      </c>
      <c r="BF513" s="1">
        <f t="shared" si="105"/>
        <v>-68.097527115451015</v>
      </c>
      <c r="BG513" s="1">
        <f t="shared" si="106"/>
        <v>-6.3294040734860797</v>
      </c>
      <c r="BJ513" s="1">
        <f t="shared" si="107"/>
        <v>-36.954132677594934</v>
      </c>
      <c r="BK513" s="1">
        <f t="shared" si="108"/>
        <v>-1.5906877120476446</v>
      </c>
      <c r="BO513" s="1">
        <f t="shared" si="109"/>
        <v>-7.1488774557330483</v>
      </c>
      <c r="BP513" s="1">
        <f t="shared" si="110"/>
        <v>-0.11698733743456814</v>
      </c>
      <c r="BT513" s="1">
        <f t="shared" si="111"/>
        <v>-23.994516982123034</v>
      </c>
      <c r="BU513" s="1">
        <f t="shared" si="112"/>
        <v>-4.6217290240038666</v>
      </c>
    </row>
    <row r="514" spans="49:73">
      <c r="AW514" s="1">
        <v>504</v>
      </c>
      <c r="AX514" s="1">
        <f t="shared" si="113"/>
        <v>252</v>
      </c>
      <c r="AZ514" s="1">
        <f t="shared" si="114"/>
        <v>138562.37135449116</v>
      </c>
      <c r="BA514" s="1">
        <f t="shared" si="115"/>
        <v>13162.357014175224</v>
      </c>
      <c r="BC514" s="1">
        <f t="shared" si="116"/>
        <v>636.96106319724311</v>
      </c>
      <c r="BD514" s="1">
        <f t="shared" si="117"/>
        <v>1144.26667405427</v>
      </c>
      <c r="BF514" s="1">
        <f t="shared" si="105"/>
        <v>-67.68617002398949</v>
      </c>
      <c r="BG514" s="1">
        <f t="shared" si="106"/>
        <v>-6.5724916123332182</v>
      </c>
      <c r="BJ514" s="1">
        <f t="shared" si="107"/>
        <v>-36.729355546605369</v>
      </c>
      <c r="BK514" s="1">
        <f t="shared" si="108"/>
        <v>-1.7541376882858584</v>
      </c>
      <c r="BO514" s="1">
        <f t="shared" si="109"/>
        <v>-7.1181238161880733</v>
      </c>
      <c r="BP514" s="1">
        <f t="shared" si="110"/>
        <v>-0.14196337116808949</v>
      </c>
      <c r="BT514" s="1">
        <f t="shared" si="111"/>
        <v>-23.838690661196051</v>
      </c>
      <c r="BU514" s="1">
        <f t="shared" si="112"/>
        <v>-4.67639055287927</v>
      </c>
    </row>
    <row r="515" spans="49:73">
      <c r="AW515" s="1">
        <v>505</v>
      </c>
      <c r="AX515" s="1">
        <f t="shared" si="113"/>
        <v>252.5</v>
      </c>
      <c r="AZ515" s="1">
        <f t="shared" si="114"/>
        <v>138872.39111483676</v>
      </c>
      <c r="BA515" s="1">
        <f t="shared" si="115"/>
        <v>13733.668789750818</v>
      </c>
      <c r="BC515" s="1">
        <f t="shared" si="116"/>
        <v>603.11797818524838</v>
      </c>
      <c r="BD515" s="1">
        <f t="shared" si="117"/>
        <v>1140.9804282481034</v>
      </c>
      <c r="BF515" s="1">
        <f t="shared" si="105"/>
        <v>-67.292311545722342</v>
      </c>
      <c r="BG515" s="1">
        <f t="shared" si="106"/>
        <v>-6.8124839568269904</v>
      </c>
      <c r="BJ515" s="1">
        <f t="shared" si="107"/>
        <v>-36.51457959274817</v>
      </c>
      <c r="BK515" s="1">
        <f t="shared" si="108"/>
        <v>-1.9148247380528767</v>
      </c>
      <c r="BO515" s="1">
        <f t="shared" si="109"/>
        <v>-7.0888118013332031</v>
      </c>
      <c r="BP515" s="1">
        <f t="shared" si="110"/>
        <v>-0.16659455550035673</v>
      </c>
      <c r="BT515" s="1">
        <f t="shared" si="111"/>
        <v>-23.688920151640971</v>
      </c>
      <c r="BU515" s="1">
        <f t="shared" si="112"/>
        <v>-4.7310646632737567</v>
      </c>
    </row>
    <row r="516" spans="49:73">
      <c r="AW516" s="1">
        <v>506</v>
      </c>
      <c r="AX516" s="1">
        <f t="shared" si="113"/>
        <v>253</v>
      </c>
      <c r="AZ516" s="1">
        <f t="shared" si="114"/>
        <v>139165.53856498617</v>
      </c>
      <c r="BA516" s="1">
        <f t="shared" si="115"/>
        <v>14303.307443380265</v>
      </c>
      <c r="BC516" s="1">
        <f t="shared" si="116"/>
        <v>569.47182241238716</v>
      </c>
      <c r="BD516" s="1">
        <f t="shared" si="117"/>
        <v>1137.57418626969</v>
      </c>
      <c r="BF516" s="1">
        <f t="shared" si="105"/>
        <v>-66.915486717085997</v>
      </c>
      <c r="BG516" s="1">
        <f t="shared" si="106"/>
        <v>-7.0496591752384417</v>
      </c>
      <c r="BJ516" s="1">
        <f t="shared" si="107"/>
        <v>-36.30954417082264</v>
      </c>
      <c r="BK516" s="1">
        <f t="shared" si="108"/>
        <v>-2.0729566206625138</v>
      </c>
      <c r="BO516" s="1">
        <f t="shared" si="109"/>
        <v>-7.0609114445499319</v>
      </c>
      <c r="BP516" s="1">
        <f t="shared" si="110"/>
        <v>-0.1909035903772256</v>
      </c>
      <c r="BT516" s="1">
        <f t="shared" si="111"/>
        <v>-23.545031101713427</v>
      </c>
      <c r="BU516" s="1">
        <f t="shared" si="112"/>
        <v>-4.785798964198702</v>
      </c>
    </row>
    <row r="517" spans="49:73">
      <c r="AW517" s="1">
        <v>507</v>
      </c>
      <c r="AX517" s="1">
        <f t="shared" si="113"/>
        <v>253.5</v>
      </c>
      <c r="AZ517" s="1">
        <f t="shared" si="114"/>
        <v>139441.91004035273</v>
      </c>
      <c r="BA517" s="1">
        <f t="shared" si="115"/>
        <v>14871.213329118204</v>
      </c>
      <c r="BC517" s="1">
        <f t="shared" si="116"/>
        <v>536.01407905384417</v>
      </c>
      <c r="BD517" s="1">
        <f t="shared" si="117"/>
        <v>1134.0493566820708</v>
      </c>
      <c r="BF517" s="1">
        <f t="shared" si="105"/>
        <v>-66.555256874232484</v>
      </c>
      <c r="BG517" s="1">
        <f t="shared" si="106"/>
        <v>-7.2842843674987439</v>
      </c>
      <c r="BJ517" s="1">
        <f t="shared" si="107"/>
        <v>-36.114003711704285</v>
      </c>
      <c r="BK517" s="1">
        <f t="shared" si="108"/>
        <v>-2.2287321547152379</v>
      </c>
      <c r="BO517" s="1">
        <f t="shared" si="109"/>
        <v>-7.0343945584034362</v>
      </c>
      <c r="BP517" s="1">
        <f t="shared" si="110"/>
        <v>-0.21491235602044079</v>
      </c>
      <c r="BT517" s="1">
        <f t="shared" si="111"/>
        <v>-23.406858604124761</v>
      </c>
      <c r="BU517" s="1">
        <f t="shared" si="112"/>
        <v>-4.8406398567630653</v>
      </c>
    </row>
    <row r="518" spans="49:73">
      <c r="AW518" s="1">
        <v>508</v>
      </c>
      <c r="AX518" s="1">
        <f t="shared" si="113"/>
        <v>254</v>
      </c>
      <c r="AZ518" s="1">
        <f t="shared" si="114"/>
        <v>139701.59767277035</v>
      </c>
      <c r="BA518" s="1">
        <f t="shared" si="115"/>
        <v>15437.327471913301</v>
      </c>
      <c r="BC518" s="1">
        <f t="shared" si="116"/>
        <v>502.73645061672795</v>
      </c>
      <c r="BD518" s="1">
        <f t="shared" si="117"/>
        <v>1130.4072144983213</v>
      </c>
      <c r="BF518" s="1">
        <f t="shared" si="105"/>
        <v>-66.211208348303813</v>
      </c>
      <c r="BG518" s="1">
        <f t="shared" si="106"/>
        <v>-7.5166165607458755</v>
      </c>
      <c r="BJ518" s="1">
        <f t="shared" si="107"/>
        <v>-35.92772699555708</v>
      </c>
      <c r="BK518" s="1">
        <f t="shared" si="108"/>
        <v>-2.3823419238296988</v>
      </c>
      <c r="BO518" s="1">
        <f t="shared" si="109"/>
        <v>-7.009234659727432</v>
      </c>
      <c r="BP518" s="1">
        <f t="shared" si="110"/>
        <v>-0.23864197182619032</v>
      </c>
      <c r="BT518" s="1">
        <f t="shared" si="111"/>
        <v>-23.2742466930193</v>
      </c>
      <c r="BU518" s="1">
        <f t="shared" si="112"/>
        <v>-4.8956326650899857</v>
      </c>
    </row>
    <row r="519" spans="49:73">
      <c r="AW519" s="1">
        <v>509</v>
      </c>
      <c r="AX519" s="1">
        <f t="shared" si="113"/>
        <v>254.5</v>
      </c>
      <c r="AZ519" s="1">
        <f t="shared" si="114"/>
        <v>139944.68949703517</v>
      </c>
      <c r="BA519" s="1">
        <f t="shared" si="115"/>
        <v>16001.591502092368</v>
      </c>
      <c r="BC519" s="1">
        <f t="shared" si="116"/>
        <v>469.63084644257606</v>
      </c>
      <c r="BD519" s="1">
        <f t="shared" si="117"/>
        <v>1126.6489062179485</v>
      </c>
      <c r="BF519" s="1">
        <f t="shared" si="105"/>
        <v>-65.882951254860046</v>
      </c>
      <c r="BG519" s="1">
        <f t="shared" si="106"/>
        <v>-7.7469035463557532</v>
      </c>
      <c r="BJ519" s="1">
        <f t="shared" si="107"/>
        <v>-35.750496477631579</v>
      </c>
      <c r="BK519" s="1">
        <f t="shared" si="108"/>
        <v>-2.5339689345506917</v>
      </c>
      <c r="BO519" s="1">
        <f t="shared" si="109"/>
        <v>-6.985406900231232</v>
      </c>
      <c r="BP519" s="1">
        <f t="shared" si="110"/>
        <v>-0.2621128517796914</v>
      </c>
      <c r="BT519" s="1">
        <f t="shared" si="111"/>
        <v>-23.147047876997227</v>
      </c>
      <c r="BU519" s="1">
        <f t="shared" si="112"/>
        <v>-4.9508217600253701</v>
      </c>
    </row>
    <row r="520" spans="49:73">
      <c r="AW520" s="1">
        <v>510</v>
      </c>
      <c r="AX520" s="1">
        <f t="shared" si="113"/>
        <v>255</v>
      </c>
      <c r="AZ520" s="1">
        <f t="shared" si="114"/>
        <v>140171.2695513496</v>
      </c>
      <c r="BA520" s="1">
        <f t="shared" si="115"/>
        <v>16563.947592258046</v>
      </c>
      <c r="BC520" s="1">
        <f t="shared" si="116"/>
        <v>436.68937081514605</v>
      </c>
      <c r="BD520" s="1">
        <f t="shared" si="117"/>
        <v>1122.7754544447705</v>
      </c>
      <c r="BF520" s="1">
        <f t="shared" si="105"/>
        <v>-65.570118370767332</v>
      </c>
      <c r="BG520" s="1">
        <f t="shared" si="106"/>
        <v>-7.9753846639001553</v>
      </c>
      <c r="BJ520" s="1">
        <f t="shared" si="107"/>
        <v>-35.582107663046152</v>
      </c>
      <c r="BK520" s="1">
        <f t="shared" si="108"/>
        <v>-2.6837892308537383</v>
      </c>
      <c r="BO520" s="1">
        <f t="shared" si="109"/>
        <v>-6.9628880022748589</v>
      </c>
      <c r="BP520" s="1">
        <f t="shared" si="110"/>
        <v>-0.28534475668273429</v>
      </c>
      <c r="BT520" s="1">
        <f t="shared" si="111"/>
        <v>-23.025122705446318</v>
      </c>
      <c r="BU520" s="1">
        <f t="shared" si="112"/>
        <v>-5.0062506763636829</v>
      </c>
    </row>
    <row r="521" spans="49:73">
      <c r="AW521" s="1">
        <v>511</v>
      </c>
      <c r="AX521" s="1">
        <f t="shared" si="113"/>
        <v>255.5</v>
      </c>
      <c r="AZ521" s="1">
        <f t="shared" si="114"/>
        <v>140381.41797196082</v>
      </c>
      <c r="BA521" s="1">
        <f t="shared" si="115"/>
        <v>17124.338396397441</v>
      </c>
      <c r="BC521" s="1">
        <f t="shared" si="116"/>
        <v>403.90431162976239</v>
      </c>
      <c r="BD521" s="1">
        <f t="shared" si="117"/>
        <v>1118.7877621128205</v>
      </c>
      <c r="BF521" s="1">
        <f t="shared" si="105"/>
        <v>-65.272364092444818</v>
      </c>
      <c r="BG521" s="1">
        <f t="shared" si="106"/>
        <v>-8.2022915369945881</v>
      </c>
      <c r="BJ521" s="1">
        <f t="shared" si="107"/>
        <v>-35.422368527259898</v>
      </c>
      <c r="BK521" s="1">
        <f t="shared" si="108"/>
        <v>-2.8319724692697497</v>
      </c>
      <c r="BO521" s="1">
        <f t="shared" si="109"/>
        <v>-6.9416561994904198</v>
      </c>
      <c r="BP521" s="1">
        <f t="shared" si="110"/>
        <v>-0.30835684346715286</v>
      </c>
      <c r="BT521" s="1">
        <f t="shared" si="111"/>
        <v>-22.908339365694506</v>
      </c>
      <c r="BU521" s="1">
        <f t="shared" si="112"/>
        <v>-5.0619622242576856</v>
      </c>
    </row>
    <row r="522" spans="49:73">
      <c r="AW522" s="1">
        <v>512</v>
      </c>
      <c r="AX522" s="1">
        <f t="shared" si="113"/>
        <v>256</v>
      </c>
      <c r="AZ522" s="1">
        <f t="shared" si="114"/>
        <v>140575.21108226414</v>
      </c>
      <c r="BA522" s="1">
        <f t="shared" si="115"/>
        <v>17682.706991011728</v>
      </c>
      <c r="BC522" s="1">
        <f t="shared" si="116"/>
        <v>371.26812958353997</v>
      </c>
      <c r="BD522" s="1">
        <f t="shared" si="117"/>
        <v>1114.6866163443233</v>
      </c>
      <c r="BF522" s="1">
        <f t="shared" si="105"/>
        <v>-64.989363469897185</v>
      </c>
      <c r="BG522" s="1">
        <f t="shared" si="106"/>
        <v>-8.4278487655702587</v>
      </c>
      <c r="BJ522" s="1">
        <f t="shared" si="107"/>
        <v>-35.271098979226892</v>
      </c>
      <c r="BK522" s="1">
        <f t="shared" si="108"/>
        <v>-2.9786824582990072</v>
      </c>
      <c r="BO522" s="1">
        <f t="shared" si="109"/>
        <v>-6.921691181956283</v>
      </c>
      <c r="BP522" s="1">
        <f t="shared" si="110"/>
        <v>-0.33116771184561317</v>
      </c>
      <c r="BT522" s="1">
        <f t="shared" si="111"/>
        <v>-22.796573308714006</v>
      </c>
      <c r="BU522" s="1">
        <f t="shared" si="112"/>
        <v>-5.1179985954256377</v>
      </c>
    </row>
    <row r="523" spans="49:73">
      <c r="AW523" s="1">
        <v>513</v>
      </c>
      <c r="AX523" s="1">
        <f t="shared" si="113"/>
        <v>256.5</v>
      </c>
      <c r="AZ523" s="1">
        <f t="shared" si="114"/>
        <v>140752.72147662219</v>
      </c>
      <c r="BA523" s="1">
        <f t="shared" si="115"/>
        <v>18238.996818088195</v>
      </c>
      <c r="BC523" s="1">
        <f t="shared" si="116"/>
        <v>338.77344784859139</v>
      </c>
      <c r="BD523" s="1">
        <f t="shared" si="117"/>
        <v>1110.4726919615382</v>
      </c>
      <c r="BF523" s="1">
        <f t="shared" ref="BF523:BF586" si="118">BJ523 + BO523 + BT523</f>
        <v>-64.720811311466505</v>
      </c>
      <c r="BG523" s="1">
        <f t="shared" ref="BG523:BG586" si="119">BK523 + BP523 + BU523</f>
        <v>-8.6522745787241764</v>
      </c>
      <c r="BJ523" s="1">
        <f t="shared" ref="BJ523:BJ586" si="120">$M$22*($M$18 - AZ523)/ (SQRT(($M$18 - AZ523)^2 + ($N$18 - BA523)^2 )^2 + $M$23^2)^(3/2)</f>
        <v>-35.128130364497373</v>
      </c>
      <c r="BK523" s="1">
        <f t="shared" ref="BK523:BK586" si="121">$M$22*($N$18 - BA523)/ (SQRT(($M$18 - AZ523)^2 + ($N$18 - BA523)^2 )^2 + $M$23^2)^(3/2)</f>
        <v>-3.1240776654690858</v>
      </c>
      <c r="BO523" s="1">
        <f t="shared" ref="BO523:BO586" si="122">$M$30*($M$26 - AZ523)/ (SQRT(($M$26 - AZ523)^2 + ($N$26 - BA523)^2 )^2 + $M$31^2)^(3/2)</f>
        <v>-6.9029740456575546</v>
      </c>
      <c r="BP523" s="1">
        <f t="shared" ref="BP523:BP586" si="123">$M$30*($N$26 - BA523)/ (SQRT(($M$26 - AZ523)^2 + ($N$26 - BA523)^2 )^2 + $M$31^2)^(3/2)</f>
        <v>-0.35379544853173106</v>
      </c>
      <c r="BT523" s="1">
        <f t="shared" ref="BT523:BT586" si="124">$M$38*($M$34 - AZ523)/ (SQRT(($M$34 - AZ523)^2 + ($N$34 - BA523)^2 )^2 + $M$39^2)^(3/2)</f>
        <v>-22.689706901311585</v>
      </c>
      <c r="BU523" s="1">
        <f t="shared" ref="BU523:BU586" si="125">$M$38*($N$34 - BA523)/ (SQRT(($M$34 - AZ523)^2 + ($N$34 - BA523)^2 )^2 + $M$39^2)^(3/2)</f>
        <v>-5.1744014647233589</v>
      </c>
    </row>
    <row r="524" spans="49:73">
      <c r="AW524" s="1">
        <v>514</v>
      </c>
      <c r="AX524" s="1">
        <f t="shared" ref="AX524:AX587" si="126">AX523+$M$5</f>
        <v>257</v>
      </c>
      <c r="AZ524" s="1">
        <f t="shared" ref="AZ524:AZ587" si="127">AZ523 + BC523 * $M$5 + 0.5 * BF523 * POWER($M$5, 2)</f>
        <v>140914.01809913255</v>
      </c>
      <c r="BA524" s="1">
        <f t="shared" ref="BA524:BA587" si="128">BA523+BD523*$M$5+0.5*BG523* POWER($M$5, 2)</f>
        <v>18793.151629746622</v>
      </c>
      <c r="BC524" s="1">
        <f t="shared" ref="BC524:BC587" si="129">BC523 + BF523 * $M$5</f>
        <v>306.41304219285814</v>
      </c>
      <c r="BD524" s="1">
        <f t="shared" ref="BD524:BD587" si="130">BD523+BG523*$M$5</f>
        <v>1106.1465546721761</v>
      </c>
      <c r="BF524" s="1">
        <f t="shared" si="118"/>
        <v>-64.466421354665769</v>
      </c>
      <c r="BG524" s="1">
        <f t="shared" si="119"/>
        <v>-8.8757814519598988</v>
      </c>
      <c r="BJ524" s="1">
        <f t="shared" si="120"/>
        <v>-34.993305005751793</v>
      </c>
      <c r="BK524" s="1">
        <f t="shared" si="121"/>
        <v>-3.2683116951082578</v>
      </c>
      <c r="BO524" s="1">
        <f t="shared" si="122"/>
        <v>-6.8854872459905518</v>
      </c>
      <c r="BP524" s="1">
        <f t="shared" si="123"/>
        <v>-0.37625766924409304</v>
      </c>
      <c r="BT524" s="1">
        <f t="shared" si="124"/>
        <v>-22.587629102923419</v>
      </c>
      <c r="BU524" s="1">
        <f t="shared" si="125"/>
        <v>-5.2312120876075472</v>
      </c>
    </row>
    <row r="525" spans="49:73">
      <c r="AW525" s="1">
        <v>515</v>
      </c>
      <c r="AX525" s="1">
        <f t="shared" si="126"/>
        <v>257.5</v>
      </c>
      <c r="AZ525" s="1">
        <f t="shared" si="127"/>
        <v>141059.16631755966</v>
      </c>
      <c r="BA525" s="1">
        <f t="shared" si="128"/>
        <v>19345.115434401214</v>
      </c>
      <c r="BC525" s="1">
        <f t="shared" si="129"/>
        <v>274.17983151552528</v>
      </c>
      <c r="BD525" s="1">
        <f t="shared" si="130"/>
        <v>1101.7086639461961</v>
      </c>
      <c r="BF525" s="1">
        <f t="shared" si="118"/>
        <v>-64.225925498873778</v>
      </c>
      <c r="BG525" s="1">
        <f t="shared" si="119"/>
        <v>-9.0985766923273879</v>
      </c>
      <c r="BJ525" s="1">
        <f t="shared" si="120"/>
        <v>-34.866475778492372</v>
      </c>
      <c r="BK525" s="1">
        <f t="shared" si="121"/>
        <v>-3.4115337396561167</v>
      </c>
      <c r="BO525" s="1">
        <f t="shared" si="122"/>
        <v>-6.86921455509132</v>
      </c>
      <c r="BP525" s="1">
        <f t="shared" si="123"/>
        <v>-0.39857155869307748</v>
      </c>
      <c r="BT525" s="1">
        <f t="shared" si="124"/>
        <v>-22.490235165290091</v>
      </c>
      <c r="BU525" s="1">
        <f t="shared" si="125"/>
        <v>-5.2884713939781944</v>
      </c>
    </row>
    <row r="526" spans="49:73">
      <c r="AW526" s="1">
        <v>516</v>
      </c>
      <c r="AX526" s="1">
        <f t="shared" si="126"/>
        <v>258</v>
      </c>
      <c r="AZ526" s="1">
        <f t="shared" si="127"/>
        <v>141188.22799263007</v>
      </c>
      <c r="BA526" s="1">
        <f t="shared" si="128"/>
        <v>19894.832444287771</v>
      </c>
      <c r="BC526" s="1">
        <f t="shared" si="129"/>
        <v>242.06686876608839</v>
      </c>
      <c r="BD526" s="1">
        <f t="shared" si="130"/>
        <v>1097.1593756000325</v>
      </c>
      <c r="BF526" s="1">
        <f t="shared" si="118"/>
        <v>-63.999073096045962</v>
      </c>
      <c r="BG526" s="1">
        <f t="shared" si="119"/>
        <v>-9.3208629947019439</v>
      </c>
      <c r="BJ526" s="1">
        <f t="shared" si="120"/>
        <v>-34.747505719806888</v>
      </c>
      <c r="BK526" s="1">
        <f t="shared" si="121"/>
        <v>-3.5538890071082583</v>
      </c>
      <c r="BO526" s="1">
        <f t="shared" si="122"/>
        <v>-6.8541410227886015</v>
      </c>
      <c r="BP526" s="1">
        <f t="shared" si="123"/>
        <v>-0.42075390873527901</v>
      </c>
      <c r="BT526" s="1">
        <f t="shared" si="124"/>
        <v>-22.39742635345047</v>
      </c>
      <c r="BU526" s="1">
        <f t="shared" si="125"/>
        <v>-5.3462200788584058</v>
      </c>
    </row>
    <row r="527" spans="49:73">
      <c r="AW527" s="1">
        <v>517</v>
      </c>
      <c r="AX527" s="1">
        <f t="shared" si="126"/>
        <v>258.5</v>
      </c>
      <c r="AZ527" s="1">
        <f t="shared" si="127"/>
        <v>141301.26154287611</v>
      </c>
      <c r="BA527" s="1">
        <f t="shared" si="128"/>
        <v>20442.247024213448</v>
      </c>
      <c r="BC527" s="1">
        <f t="shared" si="129"/>
        <v>210.06733221806542</v>
      </c>
      <c r="BD527" s="1">
        <f t="shared" si="130"/>
        <v>1092.4989441026814</v>
      </c>
      <c r="BF527" s="1">
        <f t="shared" si="118"/>
        <v>-63.785630295931981</v>
      </c>
      <c r="BG527" s="1">
        <f t="shared" si="119"/>
        <v>-9.5428389721992577</v>
      </c>
      <c r="BJ527" s="1">
        <f t="shared" si="120"/>
        <v>-34.636267668313771</v>
      </c>
      <c r="BK527" s="1">
        <f t="shared" si="121"/>
        <v>-3.6955191269931262</v>
      </c>
      <c r="BO527" s="1">
        <f t="shared" si="122"/>
        <v>-6.8402529410020465</v>
      </c>
      <c r="BP527" s="1">
        <f t="shared" si="123"/>
        <v>-0.44282115486777801</v>
      </c>
      <c r="BT527" s="1">
        <f t="shared" si="124"/>
        <v>-22.309109686616164</v>
      </c>
      <c r="BU527" s="1">
        <f t="shared" si="125"/>
        <v>-5.4044986903383538</v>
      </c>
    </row>
    <row r="528" spans="49:73">
      <c r="AW528" s="1">
        <v>518</v>
      </c>
      <c r="AX528" s="1">
        <f t="shared" si="126"/>
        <v>259</v>
      </c>
      <c r="AZ528" s="1">
        <f t="shared" si="127"/>
        <v>141398.32200519813</v>
      </c>
      <c r="BA528" s="1">
        <f t="shared" si="128"/>
        <v>20987.303641393264</v>
      </c>
      <c r="BC528" s="1">
        <f t="shared" si="129"/>
        <v>178.17451707009943</v>
      </c>
      <c r="BD528" s="1">
        <f t="shared" si="130"/>
        <v>1087.7275246165818</v>
      </c>
      <c r="BF528" s="1">
        <f t="shared" si="118"/>
        <v>-63.585379442610773</v>
      </c>
      <c r="BG528" s="1">
        <f t="shared" si="119"/>
        <v>-9.7646996635118093</v>
      </c>
      <c r="BJ528" s="1">
        <f t="shared" si="120"/>
        <v>-34.532643933565211</v>
      </c>
      <c r="BK528" s="1">
        <f t="shared" si="121"/>
        <v>-3.8365625371013623</v>
      </c>
      <c r="BO528" s="1">
        <f t="shared" si="122"/>
        <v>-6.8275378114223129</v>
      </c>
      <c r="BP528" s="1">
        <f t="shared" si="123"/>
        <v>-0.46478941122308903</v>
      </c>
      <c r="BT528" s="1">
        <f t="shared" si="124"/>
        <v>-22.225197697623251</v>
      </c>
      <c r="BU528" s="1">
        <f t="shared" si="125"/>
        <v>-5.463347715187358</v>
      </c>
    </row>
    <row r="529" spans="49:73">
      <c r="AW529" s="1">
        <v>519</v>
      </c>
      <c r="AX529" s="1">
        <f t="shared" si="126"/>
        <v>259.5</v>
      </c>
      <c r="AZ529" s="1">
        <f t="shared" si="127"/>
        <v>141479.46109130286</v>
      </c>
      <c r="BA529" s="1">
        <f t="shared" si="128"/>
        <v>21529.946816243617</v>
      </c>
      <c r="BC529" s="1">
        <f t="shared" si="129"/>
        <v>146.38182734879405</v>
      </c>
      <c r="BD529" s="1">
        <f t="shared" si="130"/>
        <v>1082.845174784826</v>
      </c>
      <c r="BF529" s="1">
        <f t="shared" si="118"/>
        <v>-63.398118519441084</v>
      </c>
      <c r="BG529" s="1">
        <f t="shared" si="119"/>
        <v>-9.9866370197611758</v>
      </c>
      <c r="BJ529" s="1">
        <f t="shared" si="120"/>
        <v>-34.43652599334871</v>
      </c>
      <c r="BK529" s="1">
        <f t="shared" si="121"/>
        <v>-3.9771548530310623</v>
      </c>
      <c r="BO529" s="1">
        <f t="shared" si="122"/>
        <v>-6.8159843163286524</v>
      </c>
      <c r="BP529" s="1">
        <f t="shared" si="123"/>
        <v>-0.48667450421564878</v>
      </c>
      <c r="BT529" s="1">
        <f t="shared" si="124"/>
        <v>-22.145608209763722</v>
      </c>
      <c r="BU529" s="1">
        <f t="shared" si="125"/>
        <v>-5.5228076625144649</v>
      </c>
    </row>
    <row r="530" spans="49:73">
      <c r="AW530" s="1">
        <v>520</v>
      </c>
      <c r="AX530" s="1">
        <f t="shared" si="126"/>
        <v>260</v>
      </c>
      <c r="AZ530" s="1">
        <f t="shared" si="127"/>
        <v>141544.72724016232</v>
      </c>
      <c r="BA530" s="1">
        <f t="shared" si="128"/>
        <v>22070.121074008559</v>
      </c>
      <c r="BC530" s="1">
        <f t="shared" si="129"/>
        <v>114.68276808907351</v>
      </c>
      <c r="BD530" s="1">
        <f t="shared" si="130"/>
        <v>1077.8518562749455</v>
      </c>
      <c r="BF530" s="1">
        <f t="shared" si="118"/>
        <v>-63.223660639794602</v>
      </c>
      <c r="BG530" s="1">
        <f t="shared" si="119"/>
        <v>-10.208840373295164</v>
      </c>
      <c r="BJ530" s="1">
        <f t="shared" si="120"/>
        <v>-34.347814217470557</v>
      </c>
      <c r="BK530" s="1">
        <f t="shared" si="121"/>
        <v>-4.1174292224725404</v>
      </c>
      <c r="BO530" s="1">
        <f t="shared" si="122"/>
        <v>-6.8055822924128542</v>
      </c>
      <c r="BP530" s="1">
        <f t="shared" si="123"/>
        <v>-0.50849200498157554</v>
      </c>
      <c r="BT530" s="1">
        <f t="shared" si="124"/>
        <v>-22.070264129911198</v>
      </c>
      <c r="BU530" s="1">
        <f t="shared" si="125"/>
        <v>-5.5829191458410472</v>
      </c>
    </row>
    <row r="531" spans="49:73">
      <c r="AW531" s="1">
        <v>521</v>
      </c>
      <c r="AX531" s="1">
        <f t="shared" si="126"/>
        <v>260.5</v>
      </c>
      <c r="AZ531" s="1">
        <f t="shared" si="127"/>
        <v>141594.16566662688</v>
      </c>
      <c r="BA531" s="1">
        <f t="shared" si="128"/>
        <v>22607.77089709937</v>
      </c>
      <c r="BC531" s="1">
        <f t="shared" si="129"/>
        <v>83.070937769176197</v>
      </c>
      <c r="BD531" s="1">
        <f t="shared" si="130"/>
        <v>1072.7474360882979</v>
      </c>
      <c r="BF531" s="1">
        <f t="shared" si="118"/>
        <v>-63.061833581185091</v>
      </c>
      <c r="BG531" s="1">
        <f t="shared" si="119"/>
        <v>-10.431496890710072</v>
      </c>
      <c r="BJ531" s="1">
        <f t="shared" si="120"/>
        <v>-34.266417616750012</v>
      </c>
      <c r="BK531" s="1">
        <f t="shared" si="121"/>
        <v>-4.2575166660342125</v>
      </c>
      <c r="BO531" s="1">
        <f t="shared" si="122"/>
        <v>-6.7963227074943307</v>
      </c>
      <c r="BP531" s="1">
        <f t="shared" si="123"/>
        <v>-0.53025726074551549</v>
      </c>
      <c r="BT531" s="1">
        <f t="shared" si="124"/>
        <v>-21.999093256940746</v>
      </c>
      <c r="BU531" s="1">
        <f t="shared" si="125"/>
        <v>-5.643722963930343</v>
      </c>
    </row>
    <row r="532" spans="49:73">
      <c r="AW532" s="1">
        <v>522</v>
      </c>
      <c r="AX532" s="1">
        <f t="shared" si="126"/>
        <v>261</v>
      </c>
      <c r="AZ532" s="1">
        <f t="shared" si="127"/>
        <v>141627.81840631383</v>
      </c>
      <c r="BA532" s="1">
        <f t="shared" si="128"/>
        <v>23142.840678032182</v>
      </c>
      <c r="BC532" s="1">
        <f t="shared" si="129"/>
        <v>51.540020978583655</v>
      </c>
      <c r="BD532" s="1">
        <f t="shared" si="130"/>
        <v>1067.5316876429429</v>
      </c>
      <c r="BF532" s="1">
        <f t="shared" si="118"/>
        <v>-62.912479360638187</v>
      </c>
      <c r="BG532" s="1">
        <f t="shared" si="119"/>
        <v>-10.654792012251544</v>
      </c>
      <c r="BJ532" s="1">
        <f t="shared" si="120"/>
        <v>-34.192253616074424</v>
      </c>
      <c r="BK532" s="1">
        <f t="shared" si="121"/>
        <v>-4.397546406302693</v>
      </c>
      <c r="BO532" s="1">
        <f t="shared" si="122"/>
        <v>-6.7881976400248139</v>
      </c>
      <c r="BP532" s="1">
        <f t="shared" si="123"/>
        <v>-0.55198542524134597</v>
      </c>
      <c r="BT532" s="1">
        <f t="shared" si="124"/>
        <v>-21.932028104538947</v>
      </c>
      <c r="BU532" s="1">
        <f t="shared" si="125"/>
        <v>-5.7052601807075041</v>
      </c>
    </row>
    <row r="533" spans="49:73">
      <c r="AW533" s="1">
        <v>523</v>
      </c>
      <c r="AX533" s="1">
        <f t="shared" si="126"/>
        <v>261.5</v>
      </c>
      <c r="AZ533" s="1">
        <f t="shared" si="127"/>
        <v>141645.72435688306</v>
      </c>
      <c r="BA533" s="1">
        <f t="shared" si="128"/>
        <v>23675.274672852123</v>
      </c>
      <c r="BC533" s="1">
        <f t="shared" si="129"/>
        <v>20.083781298264562</v>
      </c>
      <c r="BD533" s="1">
        <f t="shared" si="130"/>
        <v>1062.2042916368171</v>
      </c>
      <c r="BF533" s="1">
        <f t="shared" si="118"/>
        <v>-62.775453849356438</v>
      </c>
      <c r="BG533" s="1">
        <f t="shared" si="119"/>
        <v>-10.878909879634801</v>
      </c>
      <c r="BJ533" s="1">
        <f t="shared" si="120"/>
        <v>-34.125247850488201</v>
      </c>
      <c r="BK533" s="1">
        <f t="shared" si="121"/>
        <v>-4.5376461867364455</v>
      </c>
      <c r="BO533" s="1">
        <f t="shared" si="122"/>
        <v>-6.7812002612933444</v>
      </c>
      <c r="BP533" s="1">
        <f t="shared" si="123"/>
        <v>-0.57369148830724581</v>
      </c>
      <c r="BT533" s="1">
        <f t="shared" si="124"/>
        <v>-21.869005737574895</v>
      </c>
      <c r="BU533" s="1">
        <f t="shared" si="125"/>
        <v>-5.7675722045911089</v>
      </c>
    </row>
    <row r="534" spans="49:73">
      <c r="AW534" s="1">
        <v>524</v>
      </c>
      <c r="AX534" s="1">
        <f t="shared" si="126"/>
        <v>262</v>
      </c>
      <c r="AZ534" s="1">
        <f t="shared" si="127"/>
        <v>141647.919315801</v>
      </c>
      <c r="BA534" s="1">
        <f t="shared" si="128"/>
        <v>24205.016954935578</v>
      </c>
      <c r="BC534" s="1">
        <f t="shared" si="129"/>
        <v>-11.303945626413658</v>
      </c>
      <c r="BD534" s="1">
        <f t="shared" si="130"/>
        <v>1056.7648366969997</v>
      </c>
      <c r="BF534" s="1">
        <f t="shared" si="118"/>
        <v>-62.650626424942288</v>
      </c>
      <c r="BG534" s="1">
        <f t="shared" si="119"/>
        <v>-11.104033754230734</v>
      </c>
      <c r="BJ534" s="1">
        <f t="shared" si="120"/>
        <v>-34.065333983408493</v>
      </c>
      <c r="BK534" s="1">
        <f t="shared" si="121"/>
        <v>-4.67794258191201</v>
      </c>
      <c r="BO534" s="1">
        <f t="shared" si="122"/>
        <v>-6.7753248202556593</v>
      </c>
      <c r="BP534" s="1">
        <f t="shared" si="123"/>
        <v>-0.59539030477034871</v>
      </c>
      <c r="BT534" s="1">
        <f t="shared" si="124"/>
        <v>-21.809967621278133</v>
      </c>
      <c r="BU534" s="1">
        <f t="shared" si="125"/>
        <v>-5.8307008675483765</v>
      </c>
    </row>
    <row r="535" spans="49:73">
      <c r="AW535" s="1">
        <v>525</v>
      </c>
      <c r="AX535" s="1">
        <f t="shared" si="126"/>
        <v>262.5</v>
      </c>
      <c r="AZ535" s="1">
        <f t="shared" si="127"/>
        <v>141634.43601468467</v>
      </c>
      <c r="BA535" s="1">
        <f t="shared" si="128"/>
        <v>24732.0113690648</v>
      </c>
      <c r="BC535" s="1">
        <f t="shared" si="129"/>
        <v>-42.629258838884802</v>
      </c>
      <c r="BD535" s="1">
        <f t="shared" si="130"/>
        <v>1051.2128198198843</v>
      </c>
      <c r="BF535" s="1">
        <f t="shared" si="118"/>
        <v>-62.537879659617076</v>
      </c>
      <c r="BG535" s="1">
        <f t="shared" si="119"/>
        <v>-11.330346427482315</v>
      </c>
      <c r="BJ535" s="1">
        <f t="shared" si="120"/>
        <v>-34.012453546154596</v>
      </c>
      <c r="BK535" s="1">
        <f t="shared" si="121"/>
        <v>-4.8185613005708792</v>
      </c>
      <c r="BO535" s="1">
        <f t="shared" si="122"/>
        <v>-6.7705666309226702</v>
      </c>
      <c r="BP535" s="1">
        <f t="shared" si="123"/>
        <v>-0.61709662273144361</v>
      </c>
      <c r="BT535" s="1">
        <f t="shared" si="124"/>
        <v>-21.754859482539803</v>
      </c>
      <c r="BU535" s="1">
        <f t="shared" si="125"/>
        <v>-5.8946885041799932</v>
      </c>
    </row>
    <row r="536" spans="49:73">
      <c r="AW536" s="1">
        <v>526</v>
      </c>
      <c r="AX536" s="1">
        <f t="shared" si="126"/>
        <v>263</v>
      </c>
      <c r="AZ536" s="1">
        <f t="shared" si="127"/>
        <v>141605.30415030778</v>
      </c>
      <c r="BA536" s="1">
        <f t="shared" si="128"/>
        <v>25256.201485671307</v>
      </c>
      <c r="BC536" s="1">
        <f t="shared" si="129"/>
        <v>-73.89819866869334</v>
      </c>
      <c r="BD536" s="1">
        <f t="shared" si="130"/>
        <v>1045.5476466061432</v>
      </c>
      <c r="BF536" s="1">
        <f t="shared" si="118"/>
        <v>-62.437109043061589</v>
      </c>
      <c r="BG536" s="1">
        <f t="shared" si="119"/>
        <v>-11.558030625349559</v>
      </c>
      <c r="BJ536" s="1">
        <f t="shared" si="120"/>
        <v>-33.966555798092912</v>
      </c>
      <c r="BK536" s="1">
        <f t="shared" si="121"/>
        <v>-4.9596274828585116</v>
      </c>
      <c r="BO536" s="1">
        <f t="shared" si="122"/>
        <v>-6.7669220622559578</v>
      </c>
      <c r="BP536" s="1">
        <f t="shared" si="123"/>
        <v>-0.63882511135643727</v>
      </c>
      <c r="BT536" s="1">
        <f t="shared" si="124"/>
        <v>-21.703631182712719</v>
      </c>
      <c r="BU536" s="1">
        <f t="shared" si="125"/>
        <v>-5.95957803113461</v>
      </c>
    </row>
    <row r="537" spans="49:73">
      <c r="AW537" s="1">
        <v>527</v>
      </c>
      <c r="AX537" s="1">
        <f t="shared" si="126"/>
        <v>263.5</v>
      </c>
      <c r="AZ537" s="1">
        <f t="shared" si="127"/>
        <v>141560.55041234306</v>
      </c>
      <c r="BA537" s="1">
        <f t="shared" si="128"/>
        <v>25777.530555146212</v>
      </c>
      <c r="BC537" s="1">
        <f t="shared" si="129"/>
        <v>-105.11675319022413</v>
      </c>
      <c r="BD537" s="1">
        <f t="shared" si="130"/>
        <v>1039.7686312934684</v>
      </c>
      <c r="BF537" s="1">
        <f t="shared" si="118"/>
        <v>-62.348222738659743</v>
      </c>
      <c r="BG537" s="1">
        <f t="shared" si="119"/>
        <v>-11.787269408526383</v>
      </c>
      <c r="BJ537" s="1">
        <f t="shared" si="120"/>
        <v>-33.927597606785348</v>
      </c>
      <c r="BK537" s="1">
        <f t="shared" si="121"/>
        <v>-5.1012659930977033</v>
      </c>
      <c r="BO537" s="1">
        <f t="shared" si="122"/>
        <v>-6.7643885305265785</v>
      </c>
      <c r="BP537" s="1">
        <f t="shared" si="123"/>
        <v>-0.66059038827779315</v>
      </c>
      <c r="BT537" s="1">
        <f t="shared" si="124"/>
        <v>-21.65623660134781</v>
      </c>
      <c r="BU537" s="1">
        <f t="shared" si="125"/>
        <v>-6.0254130271508863</v>
      </c>
    </row>
    <row r="538" spans="49:73">
      <c r="AW538" s="1">
        <v>528</v>
      </c>
      <c r="AX538" s="1">
        <f t="shared" si="126"/>
        <v>264</v>
      </c>
      <c r="AZ538" s="1">
        <f t="shared" si="127"/>
        <v>141500.19850790562</v>
      </c>
      <c r="BA538" s="1">
        <f t="shared" si="128"/>
        <v>26295.94146211688</v>
      </c>
      <c r="BC538" s="1">
        <f t="shared" si="129"/>
        <v>-136.290864559554</v>
      </c>
      <c r="BD538" s="1">
        <f t="shared" si="130"/>
        <v>1033.8749965892052</v>
      </c>
      <c r="BF538" s="1">
        <f t="shared" si="118"/>
        <v>-62.271141372095627</v>
      </c>
      <c r="BG538" s="1">
        <f t="shared" si="119"/>
        <v>-12.018246570132092</v>
      </c>
      <c r="BJ538" s="1">
        <f t="shared" si="120"/>
        <v>-33.895543347632234</v>
      </c>
      <c r="BK538" s="1">
        <f t="shared" si="121"/>
        <v>-5.2436017094020366</v>
      </c>
      <c r="BO538" s="1">
        <f t="shared" si="122"/>
        <v>-6.7629644941072726</v>
      </c>
      <c r="BP538" s="1">
        <f t="shared" si="123"/>
        <v>-0.68240704670683217</v>
      </c>
      <c r="BT538" s="1">
        <f t="shared" si="124"/>
        <v>-21.612633530356124</v>
      </c>
      <c r="BU538" s="1">
        <f t="shared" si="125"/>
        <v>-6.092237814023223</v>
      </c>
    </row>
    <row r="539" spans="49:73">
      <c r="AW539" s="1">
        <v>529</v>
      </c>
      <c r="AX539" s="1">
        <f t="shared" si="126"/>
        <v>264.5</v>
      </c>
      <c r="AZ539" s="1">
        <f t="shared" si="127"/>
        <v>141424.26918295433</v>
      </c>
      <c r="BA539" s="1">
        <f t="shared" si="128"/>
        <v>26811.376679590216</v>
      </c>
      <c r="BC539" s="1">
        <f t="shared" si="129"/>
        <v>-167.42643524560179</v>
      </c>
      <c r="BD539" s="1">
        <f t="shared" si="130"/>
        <v>1027.8658733041391</v>
      </c>
      <c r="BF539" s="1">
        <f t="shared" si="118"/>
        <v>-62.20579785139391</v>
      </c>
      <c r="BG539" s="1">
        <f t="shared" si="119"/>
        <v>-12.2511470325496</v>
      </c>
      <c r="BJ539" s="1">
        <f t="shared" si="120"/>
        <v>-33.870364822575574</v>
      </c>
      <c r="BK539" s="1">
        <f t="shared" si="121"/>
        <v>-5.3867598114044872</v>
      </c>
      <c r="BO539" s="1">
        <f t="shared" si="122"/>
        <v>-6.762649450676312</v>
      </c>
      <c r="BP539" s="1">
        <f t="shared" si="123"/>
        <v>-0.70428968235557254</v>
      </c>
      <c r="BT539" s="1">
        <f t="shared" si="124"/>
        <v>-21.572783578142023</v>
      </c>
      <c r="BU539" s="1">
        <f t="shared" si="125"/>
        <v>-6.1600975387895405</v>
      </c>
    </row>
    <row r="540" spans="49:73">
      <c r="AW540" s="1">
        <v>530</v>
      </c>
      <c r="AX540" s="1">
        <f t="shared" si="126"/>
        <v>265</v>
      </c>
      <c r="AZ540" s="1">
        <f t="shared" si="127"/>
        <v>141332.78024060011</v>
      </c>
      <c r="BA540" s="1">
        <f t="shared" si="128"/>
        <v>27323.778222863217</v>
      </c>
      <c r="BC540" s="1">
        <f t="shared" si="129"/>
        <v>-198.52933417129876</v>
      </c>
      <c r="BD540" s="1">
        <f t="shared" si="130"/>
        <v>1021.7402997878643</v>
      </c>
      <c r="BF540" s="1">
        <f t="shared" si="118"/>
        <v>-62.152137217644167</v>
      </c>
      <c r="BG540" s="1">
        <f t="shared" si="119"/>
        <v>-12.486157245063946</v>
      </c>
      <c r="BJ540" s="1">
        <f t="shared" si="120"/>
        <v>-33.85204119753157</v>
      </c>
      <c r="BK540" s="1">
        <f t="shared" si="121"/>
        <v>-5.5308660673592724</v>
      </c>
      <c r="BO540" s="1">
        <f t="shared" si="122"/>
        <v>-6.7634439368222159</v>
      </c>
      <c r="BP540" s="1">
        <f t="shared" si="123"/>
        <v>-0.72625292026543165</v>
      </c>
      <c r="BT540" s="1">
        <f t="shared" si="124"/>
        <v>-21.536652083290384</v>
      </c>
      <c r="BU540" s="1">
        <f t="shared" si="125"/>
        <v>-6.2290382574392424</v>
      </c>
    </row>
    <row r="541" spans="49:73">
      <c r="AW541" s="1">
        <v>531</v>
      </c>
      <c r="AX541" s="1">
        <f t="shared" si="126"/>
        <v>265.5</v>
      </c>
      <c r="AZ541" s="1">
        <f t="shared" si="127"/>
        <v>141225.74655636225</v>
      </c>
      <c r="BA541" s="1">
        <f t="shared" si="128"/>
        <v>27833.087603101518</v>
      </c>
      <c r="BC541" s="1">
        <f t="shared" si="129"/>
        <v>-229.60540278012084</v>
      </c>
      <c r="BD541" s="1">
        <f t="shared" si="130"/>
        <v>1015.4972211653323</v>
      </c>
      <c r="BF541" s="1">
        <f t="shared" si="118"/>
        <v>-62.110116525791128</v>
      </c>
      <c r="BG541" s="1">
        <f t="shared" si="119"/>
        <v>-12.723465583949574</v>
      </c>
      <c r="BJ541" s="1">
        <f t="shared" si="120"/>
        <v>-33.840558958291503</v>
      </c>
      <c r="BK541" s="1">
        <f t="shared" si="121"/>
        <v>-5.6760471218624193</v>
      </c>
      <c r="BO541" s="1">
        <f t="shared" si="122"/>
        <v>-6.7653495300502726</v>
      </c>
      <c r="BP541" s="1">
        <f t="shared" si="123"/>
        <v>-0.74831144163945107</v>
      </c>
      <c r="BT541" s="1">
        <f t="shared" si="124"/>
        <v>-21.504208037449356</v>
      </c>
      <c r="BU541" s="1">
        <f t="shared" si="125"/>
        <v>-6.2991070204477033</v>
      </c>
    </row>
    <row r="542" spans="49:73">
      <c r="AW542" s="1">
        <v>532</v>
      </c>
      <c r="AX542" s="1">
        <f t="shared" si="126"/>
        <v>266</v>
      </c>
      <c r="AZ542" s="1">
        <f t="shared" si="127"/>
        <v>141103.18009040647</v>
      </c>
      <c r="BA542" s="1">
        <f t="shared" si="128"/>
        <v>28339.245780486188</v>
      </c>
      <c r="BC542" s="1">
        <f t="shared" si="129"/>
        <v>-260.66046104301643</v>
      </c>
      <c r="BD542" s="1">
        <f t="shared" si="130"/>
        <v>1009.1354883733576</v>
      </c>
      <c r="BF542" s="1">
        <f t="shared" si="118"/>
        <v>-62.079704754999817</v>
      </c>
      <c r="BG542" s="1">
        <f t="shared" si="119"/>
        <v>-12.963262756656409</v>
      </c>
      <c r="BJ542" s="1">
        <f t="shared" si="120"/>
        <v>-33.835911884720872</v>
      </c>
      <c r="BK542" s="1">
        <f t="shared" si="121"/>
        <v>-5.8224307854359099</v>
      </c>
      <c r="BO542" s="1">
        <f t="shared" si="122"/>
        <v>-6.7683688531995649</v>
      </c>
      <c r="BP542" s="1">
        <f t="shared" si="123"/>
        <v>-0.77048001077419992</v>
      </c>
      <c r="BT542" s="1">
        <f t="shared" si="124"/>
        <v>-21.475424017079384</v>
      </c>
      <c r="BU542" s="1">
        <f t="shared" si="125"/>
        <v>-6.3703519604462979</v>
      </c>
    </row>
    <row r="543" spans="49:73">
      <c r="AW543" s="1">
        <v>533</v>
      </c>
      <c r="AX543" s="1">
        <f t="shared" si="126"/>
        <v>266.5</v>
      </c>
      <c r="AZ543" s="1">
        <f t="shared" si="127"/>
        <v>140965.0898967906</v>
      </c>
      <c r="BA543" s="1">
        <f t="shared" si="128"/>
        <v>28842.193116828286</v>
      </c>
      <c r="BC543" s="1">
        <f t="shared" si="129"/>
        <v>-291.70031342051635</v>
      </c>
      <c r="BD543" s="1">
        <f t="shared" si="130"/>
        <v>1002.6538569950294</v>
      </c>
      <c r="BF543" s="1">
        <f t="shared" si="118"/>
        <v>-62.060882748243543</v>
      </c>
      <c r="BG543" s="1">
        <f t="shared" si="119"/>
        <v>-13.205742211762129</v>
      </c>
      <c r="BJ543" s="1">
        <f t="shared" si="120"/>
        <v>-33.838101043162851</v>
      </c>
      <c r="BK543" s="1">
        <f t="shared" si="121"/>
        <v>-5.9701463272263551</v>
      </c>
      <c r="BO543" s="1">
        <f t="shared" si="122"/>
        <v>-6.7725055812920809</v>
      </c>
      <c r="BP543" s="1">
        <f t="shared" si="123"/>
        <v>-0.79277350218811082</v>
      </c>
      <c r="BT543" s="1">
        <f t="shared" si="124"/>
        <v>-21.450276123788608</v>
      </c>
      <c r="BU543" s="1">
        <f t="shared" si="125"/>
        <v>-6.4428223823476625</v>
      </c>
    </row>
    <row r="544" spans="49:73">
      <c r="AW544" s="1">
        <v>534</v>
      </c>
      <c r="AX544" s="1">
        <f t="shared" si="126"/>
        <v>267</v>
      </c>
      <c r="AZ544" s="1">
        <f t="shared" si="127"/>
        <v>140811.4821297368</v>
      </c>
      <c r="BA544" s="1">
        <f t="shared" si="128"/>
        <v>29341.869327549332</v>
      </c>
      <c r="BC544" s="1">
        <f t="shared" si="129"/>
        <v>-322.73075479463813</v>
      </c>
      <c r="BD544" s="1">
        <f t="shared" si="130"/>
        <v>996.05098588914836</v>
      </c>
      <c r="BF544" s="1">
        <f t="shared" si="118"/>
        <v>-62.053643180891214</v>
      </c>
      <c r="BG544" s="1">
        <f t="shared" si="119"/>
        <v>-13.451100556383629</v>
      </c>
      <c r="BJ544" s="1">
        <f t="shared" si="120"/>
        <v>-33.847134797040084</v>
      </c>
      <c r="BK544" s="1">
        <f t="shared" si="121"/>
        <v>-6.1193247720857844</v>
      </c>
      <c r="BO544" s="1">
        <f t="shared" si="122"/>
        <v>-6.777764450844515</v>
      </c>
      <c r="BP544" s="1">
        <f t="shared" si="123"/>
        <v>-0.81520692804374151</v>
      </c>
      <c r="BT544" s="1">
        <f t="shared" si="124"/>
        <v>-21.428743933006615</v>
      </c>
      <c r="BU544" s="1">
        <f t="shared" si="125"/>
        <v>-6.5165688562541044</v>
      </c>
    </row>
    <row r="545" spans="49:73">
      <c r="AW545" s="1">
        <v>535</v>
      </c>
      <c r="AX545" s="1">
        <f t="shared" si="126"/>
        <v>267.5</v>
      </c>
      <c r="AZ545" s="1">
        <f t="shared" si="127"/>
        <v>140642.36004694187</v>
      </c>
      <c r="BA545" s="1">
        <f t="shared" si="128"/>
        <v>29838.213432924356</v>
      </c>
      <c r="BC545" s="1">
        <f t="shared" si="129"/>
        <v>-353.75757638508372</v>
      </c>
      <c r="BD545" s="1">
        <f t="shared" si="130"/>
        <v>989.32543561095656</v>
      </c>
      <c r="BF545" s="1">
        <f t="shared" si="118"/>
        <v>-62.057990558194774</v>
      </c>
      <c r="BG545" s="1">
        <f t="shared" si="119"/>
        <v>-13.699537982779066</v>
      </c>
      <c r="BJ545" s="1">
        <f t="shared" si="120"/>
        <v>-33.863028835717223</v>
      </c>
      <c r="BK545" s="1">
        <f t="shared" si="121"/>
        <v>-6.2700992033245457</v>
      </c>
      <c r="BO545" s="1">
        <f t="shared" si="122"/>
        <v>-6.7841512716843342</v>
      </c>
      <c r="BP545" s="1">
        <f t="shared" si="123"/>
        <v>-0.83779546596297094</v>
      </c>
      <c r="BT545" s="1">
        <f t="shared" si="124"/>
        <v>-21.41081045079321</v>
      </c>
      <c r="BU545" s="1">
        <f t="shared" si="125"/>
        <v>-6.5916433134915504</v>
      </c>
    </row>
    <row r="546" spans="49:73">
      <c r="AW546" s="1">
        <v>536</v>
      </c>
      <c r="AX546" s="1">
        <f t="shared" si="126"/>
        <v>268</v>
      </c>
      <c r="AZ546" s="1">
        <f t="shared" si="127"/>
        <v>140457.72400992954</v>
      </c>
      <c r="BA546" s="1">
        <f t="shared" si="128"/>
        <v>30331.163708481985</v>
      </c>
      <c r="BC546" s="1">
        <f t="shared" si="129"/>
        <v>-384.78657166418111</v>
      </c>
      <c r="BD546" s="1">
        <f t="shared" si="130"/>
        <v>982.47566661956705</v>
      </c>
      <c r="BF546" s="1">
        <f t="shared" si="118"/>
        <v>-62.073941241711026</v>
      </c>
      <c r="BG546" s="1">
        <f t="shared" si="119"/>
        <v>-13.95125870592079</v>
      </c>
      <c r="BJ546" s="1">
        <f t="shared" si="120"/>
        <v>-33.885806221785828</v>
      </c>
      <c r="BK546" s="1">
        <f t="shared" si="121"/>
        <v>-6.4226050724627335</v>
      </c>
      <c r="BO546" s="1">
        <f t="shared" si="122"/>
        <v>-6.7916729413233412</v>
      </c>
      <c r="BP546" s="1">
        <f t="shared" si="123"/>
        <v>-0.86055448733628626</v>
      </c>
      <c r="BT546" s="1">
        <f t="shared" si="124"/>
        <v>-21.396462078601857</v>
      </c>
      <c r="BU546" s="1">
        <f t="shared" si="125"/>
        <v>-6.6680991461217705</v>
      </c>
    </row>
    <row r="547" spans="49:73">
      <c r="AW547" s="1">
        <v>537</v>
      </c>
      <c r="AX547" s="1">
        <f t="shared" si="126"/>
        <v>268.5</v>
      </c>
      <c r="AZ547" s="1">
        <f t="shared" si="127"/>
        <v>140257.57148144225</v>
      </c>
      <c r="BA547" s="1">
        <f t="shared" si="128"/>
        <v>30820.657634453528</v>
      </c>
      <c r="BC547" s="1">
        <f t="shared" si="129"/>
        <v>-415.82354228503664</v>
      </c>
      <c r="BD547" s="1">
        <f t="shared" si="130"/>
        <v>975.50003726660668</v>
      </c>
      <c r="BF547" s="1">
        <f t="shared" si="118"/>
        <v>-62.101523504816249</v>
      </c>
      <c r="BG547" s="1">
        <f t="shared" si="119"/>
        <v>-14.2064714138823</v>
      </c>
      <c r="BJ547" s="1">
        <f t="shared" si="120"/>
        <v>-33.915497456998239</v>
      </c>
      <c r="BK547" s="1">
        <f t="shared" si="121"/>
        <v>-6.5769805173463798</v>
      </c>
      <c r="BO547" s="1">
        <f t="shared" si="122"/>
        <v>-6.8003374619531716</v>
      </c>
      <c r="BP547" s="1">
        <f t="shared" si="123"/>
        <v>-0.88349958622997959</v>
      </c>
      <c r="BT547" s="1">
        <f t="shared" si="124"/>
        <v>-21.385688585864841</v>
      </c>
      <c r="BU547" s="1">
        <f t="shared" si="125"/>
        <v>-6.7459913103059401</v>
      </c>
    </row>
    <row r="548" spans="49:73">
      <c r="AW548" s="1">
        <v>538</v>
      </c>
      <c r="AX548" s="1">
        <f t="shared" si="126"/>
        <v>269</v>
      </c>
      <c r="AZ548" s="1">
        <f t="shared" si="127"/>
        <v>140041.89701986164</v>
      </c>
      <c r="BA548" s="1">
        <f t="shared" si="128"/>
        <v>31306.631844160096</v>
      </c>
      <c r="BC548" s="1">
        <f t="shared" si="129"/>
        <v>-446.87430403744474</v>
      </c>
      <c r="BD548" s="1">
        <f t="shared" si="130"/>
        <v>968.39680155966551</v>
      </c>
      <c r="BF548" s="1">
        <f t="shared" si="118"/>
        <v>-62.140777617601415</v>
      </c>
      <c r="BG548" s="1">
        <f t="shared" si="119"/>
        <v>-14.465389732955614</v>
      </c>
      <c r="BJ548" s="1">
        <f t="shared" si="120"/>
        <v>-33.952140567172677</v>
      </c>
      <c r="BK548" s="1">
        <f t="shared" si="121"/>
        <v>-6.733366690049202</v>
      </c>
      <c r="BO548" s="1">
        <f t="shared" si="122"/>
        <v>-6.8101539601380532</v>
      </c>
      <c r="BP548" s="1">
        <f t="shared" si="123"/>
        <v>-0.90664660899828575</v>
      </c>
      <c r="BT548" s="1">
        <f t="shared" si="124"/>
        <v>-21.37848309029069</v>
      </c>
      <c r="BU548" s="1">
        <f t="shared" si="125"/>
        <v>-6.8253764339081258</v>
      </c>
    </row>
    <row r="549" spans="49:73">
      <c r="AW549" s="1">
        <v>539</v>
      </c>
      <c r="AX549" s="1">
        <f t="shared" si="126"/>
        <v>269.5</v>
      </c>
      <c r="AZ549" s="1">
        <f t="shared" si="127"/>
        <v>139810.69227064072</v>
      </c>
      <c r="BA549" s="1">
        <f t="shared" si="128"/>
        <v>31789.022071223306</v>
      </c>
      <c r="BC549" s="1">
        <f t="shared" si="129"/>
        <v>-477.94469284624546</v>
      </c>
      <c r="BD549" s="1">
        <f t="shared" si="130"/>
        <v>961.1641066931877</v>
      </c>
      <c r="BF549" s="1">
        <f t="shared" si="118"/>
        <v>-62.191755961572397</v>
      </c>
      <c r="BG549" s="1">
        <f t="shared" si="119"/>
        <v>-14.728232709504715</v>
      </c>
      <c r="BJ549" s="1">
        <f t="shared" si="120"/>
        <v>-33.995781206476707</v>
      </c>
      <c r="BK549" s="1">
        <f t="shared" si="121"/>
        <v>-6.8919080960433838</v>
      </c>
      <c r="BO549" s="1">
        <f t="shared" si="122"/>
        <v>-6.8211327092942486</v>
      </c>
      <c r="BP549" s="1">
        <f t="shared" si="123"/>
        <v>-0.93001168471166229</v>
      </c>
      <c r="BT549" s="1">
        <f t="shared" si="124"/>
        <v>-21.374842045801447</v>
      </c>
      <c r="BU549" s="1">
        <f t="shared" si="125"/>
        <v>-6.906312928749669</v>
      </c>
    </row>
    <row r="550" spans="49:73">
      <c r="AW550" s="1">
        <v>540</v>
      </c>
      <c r="AX550" s="1">
        <f t="shared" si="126"/>
        <v>270</v>
      </c>
      <c r="AZ550" s="1">
        <f t="shared" si="127"/>
        <v>139563.94595472238</v>
      </c>
      <c r="BA550" s="1">
        <f t="shared" si="128"/>
        <v>32267.763095481208</v>
      </c>
      <c r="BC550" s="1">
        <f t="shared" si="129"/>
        <v>-509.04057082703167</v>
      </c>
      <c r="BD550" s="1">
        <f t="shared" si="130"/>
        <v>953.79999033843535</v>
      </c>
      <c r="BF550" s="1">
        <f t="shared" si="118"/>
        <v>-62.254523174709789</v>
      </c>
      <c r="BG550" s="1">
        <f t="shared" si="119"/>
        <v>-14.995225310662022</v>
      </c>
      <c r="BJ550" s="1">
        <f t="shared" si="120"/>
        <v>-34.04647278158189</v>
      </c>
      <c r="BK550" s="1">
        <f t="shared" si="121"/>
        <v>-7.0527529461958469</v>
      </c>
      <c r="BO550" s="1">
        <f t="shared" si="122"/>
        <v>-6.8332851550578333</v>
      </c>
      <c r="BP550" s="1">
        <f t="shared" si="123"/>
        <v>-0.95361125651701828</v>
      </c>
      <c r="BT550" s="1">
        <f t="shared" si="124"/>
        <v>-21.374765238070069</v>
      </c>
      <c r="BU550" s="1">
        <f t="shared" si="125"/>
        <v>-6.9888611079491563</v>
      </c>
    </row>
    <row r="551" spans="49:73">
      <c r="AW551" s="1">
        <v>541</v>
      </c>
      <c r="AX551" s="1">
        <f t="shared" si="126"/>
        <v>270.5</v>
      </c>
      <c r="AZ551" s="1">
        <f t="shared" si="127"/>
        <v>139301.64385391204</v>
      </c>
      <c r="BA551" s="1">
        <f t="shared" si="128"/>
        <v>32742.788687486591</v>
      </c>
      <c r="BC551" s="1">
        <f t="shared" si="129"/>
        <v>-540.16783241438657</v>
      </c>
      <c r="BD551" s="1">
        <f t="shared" si="130"/>
        <v>946.3023776831044</v>
      </c>
      <c r="BF551" s="1">
        <f t="shared" si="118"/>
        <v>-62.329156327578055</v>
      </c>
      <c r="BG551" s="1">
        <f t="shared" si="119"/>
        <v>-15.266598946090692</v>
      </c>
      <c r="BJ551" s="1">
        <f t="shared" si="120"/>
        <v>-34.10427659627787</v>
      </c>
      <c r="BK551" s="1">
        <f t="shared" si="121"/>
        <v>-7.2160535232323815</v>
      </c>
      <c r="BO551" s="1">
        <f t="shared" si="122"/>
        <v>-6.8466239436552758</v>
      </c>
      <c r="BP551" s="1">
        <f t="shared" si="123"/>
        <v>-0.97746211405096051</v>
      </c>
      <c r="BT551" s="1">
        <f t="shared" si="124"/>
        <v>-21.37825578764491</v>
      </c>
      <c r="BU551" s="1">
        <f t="shared" si="125"/>
        <v>-7.0730833088073508</v>
      </c>
    </row>
    <row r="552" spans="49:73">
      <c r="AW552" s="1">
        <v>542</v>
      </c>
      <c r="AX552" s="1">
        <f t="shared" si="126"/>
        <v>271</v>
      </c>
      <c r="AZ552" s="1">
        <f t="shared" si="127"/>
        <v>139023.76879316391</v>
      </c>
      <c r="BA552" s="1">
        <f t="shared" si="128"/>
        <v>33214.031551459884</v>
      </c>
      <c r="BC552" s="1">
        <f t="shared" si="129"/>
        <v>-571.33241057817554</v>
      </c>
      <c r="BD552" s="1">
        <f t="shared" si="130"/>
        <v>938.66907821005907</v>
      </c>
      <c r="BF552" s="1">
        <f t="shared" si="118"/>
        <v>-62.415745131333004</v>
      </c>
      <c r="BG552" s="1">
        <f t="shared" si="119"/>
        <v>-15.54259201317296</v>
      </c>
      <c r="BJ552" s="1">
        <f t="shared" si="120"/>
        <v>-34.169262017236882</v>
      </c>
      <c r="BK552" s="1">
        <f t="shared" si="121"/>
        <v>-7.3819665644110639</v>
      </c>
      <c r="BO552" s="1">
        <f t="shared" si="122"/>
        <v>-6.8611629534084431</v>
      </c>
      <c r="BP552" s="1">
        <f t="shared" si="123"/>
        <v>-1.0015814270336811</v>
      </c>
      <c r="BT552" s="1">
        <f t="shared" si="124"/>
        <v>-21.385320160687677</v>
      </c>
      <c r="BU552" s="1">
        <f t="shared" si="125"/>
        <v>-7.1590440217282154</v>
      </c>
    </row>
    <row r="553" spans="49:73">
      <c r="AW553" s="1">
        <v>543</v>
      </c>
      <c r="AX553" s="1">
        <f t="shared" si="126"/>
        <v>271.5</v>
      </c>
      <c r="AZ553" s="1">
        <f t="shared" si="127"/>
        <v>138730.3006197334</v>
      </c>
      <c r="BA553" s="1">
        <f t="shared" si="128"/>
        <v>33681.423266563266</v>
      </c>
      <c r="BC553" s="1">
        <f t="shared" si="129"/>
        <v>-602.54028314384209</v>
      </c>
      <c r="BD553" s="1">
        <f t="shared" si="130"/>
        <v>930.89778220347262</v>
      </c>
      <c r="BF553" s="1">
        <f t="shared" si="118"/>
        <v>-62.514392178608212</v>
      </c>
      <c r="BG553" s="1">
        <f t="shared" si="119"/>
        <v>-15.82345046813148</v>
      </c>
      <c r="BJ553" s="1">
        <f t="shared" si="120"/>
        <v>-34.241506661712926</v>
      </c>
      <c r="BK553" s="1">
        <f t="shared" si="121"/>
        <v>-7.5506536622560505</v>
      </c>
      <c r="BO553" s="1">
        <f t="shared" si="122"/>
        <v>-6.8769173295181751</v>
      </c>
      <c r="BP553" s="1">
        <f t="shared" si="123"/>
        <v>-1.0259867801777327</v>
      </c>
      <c r="BT553" s="1">
        <f t="shared" si="124"/>
        <v>-21.395968187377115</v>
      </c>
      <c r="BU553" s="1">
        <f t="shared" si="125"/>
        <v>-7.2468100256976955</v>
      </c>
    </row>
    <row r="554" spans="49:73">
      <c r="AW554" s="1">
        <v>544</v>
      </c>
      <c r="AX554" s="1">
        <f t="shared" si="126"/>
        <v>272</v>
      </c>
      <c r="AZ554" s="1">
        <f t="shared" si="127"/>
        <v>138421.21617913916</v>
      </c>
      <c r="BA554" s="1">
        <f t="shared" si="128"/>
        <v>34144.89422635649</v>
      </c>
      <c r="BC554" s="1">
        <f t="shared" si="129"/>
        <v>-633.79747923314619</v>
      </c>
      <c r="BD554" s="1">
        <f t="shared" si="130"/>
        <v>922.98605696940683</v>
      </c>
      <c r="BF554" s="1">
        <f t="shared" si="118"/>
        <v>-62.625213218428286</v>
      </c>
      <c r="BG554" s="1">
        <f t="shared" si="119"/>
        <v>-16.109428425762953</v>
      </c>
      <c r="BJ554" s="1">
        <f t="shared" si="120"/>
        <v>-34.321096608072708</v>
      </c>
      <c r="BK554" s="1">
        <f t="shared" si="121"/>
        <v>-7.7222816853299054</v>
      </c>
      <c r="BO554" s="1">
        <f t="shared" si="122"/>
        <v>-6.8939035222903753</v>
      </c>
      <c r="BP554" s="1">
        <f t="shared" si="123"/>
        <v>-1.0506962095543233</v>
      </c>
      <c r="BT554" s="1">
        <f t="shared" si="124"/>
        <v>-21.410213088065209</v>
      </c>
      <c r="BU554" s="1">
        <f t="shared" si="125"/>
        <v>-7.336450530878726</v>
      </c>
    </row>
    <row r="555" spans="49:73">
      <c r="AW555" s="1">
        <v>545</v>
      </c>
      <c r="AX555" s="1">
        <f t="shared" si="126"/>
        <v>272.5</v>
      </c>
      <c r="AZ555" s="1">
        <f t="shared" si="127"/>
        <v>138096.4892878703</v>
      </c>
      <c r="BA555" s="1">
        <f t="shared" si="128"/>
        <v>34604.373576287973</v>
      </c>
      <c r="BC555" s="1">
        <f t="shared" si="129"/>
        <v>-665.11008584236038</v>
      </c>
      <c r="BD555" s="1">
        <f t="shared" si="130"/>
        <v>914.9313427565254</v>
      </c>
      <c r="BF555" s="1">
        <f t="shared" si="118"/>
        <v>-62.748337466467881</v>
      </c>
      <c r="BG555" s="1">
        <f t="shared" si="119"/>
        <v>-16.400788790656033</v>
      </c>
      <c r="BJ555" s="1">
        <f t="shared" si="120"/>
        <v>-34.408126630176582</v>
      </c>
      <c r="BK555" s="1">
        <f t="shared" si="121"/>
        <v>-7.8970232211662976</v>
      </c>
      <c r="BO555" s="1">
        <f t="shared" si="122"/>
        <v>-6.9121393289834421</v>
      </c>
      <c r="BP555" s="1">
        <f t="shared" si="123"/>
        <v>-1.0757282405682702</v>
      </c>
      <c r="BT555" s="1">
        <f t="shared" si="124"/>
        <v>-21.428071507307855</v>
      </c>
      <c r="BU555" s="1">
        <f t="shared" si="125"/>
        <v>-7.428037328921465</v>
      </c>
    </row>
    <row r="556" spans="49:73">
      <c r="AW556" s="1">
        <v>546</v>
      </c>
      <c r="AX556" s="1">
        <f t="shared" si="126"/>
        <v>273</v>
      </c>
      <c r="AZ556" s="1">
        <f t="shared" si="127"/>
        <v>137756.0907027658</v>
      </c>
      <c r="BA556" s="1">
        <f t="shared" si="128"/>
        <v>35059.789149067401</v>
      </c>
      <c r="BC556" s="1">
        <f t="shared" si="129"/>
        <v>-696.48425457559426</v>
      </c>
      <c r="BD556" s="1">
        <f t="shared" si="130"/>
        <v>906.73094836119742</v>
      </c>
      <c r="BF556" s="1">
        <f t="shared" si="118"/>
        <v>-62.883907952134372</v>
      </c>
      <c r="BG556" s="1">
        <f t="shared" si="119"/>
        <v>-16.697803922974966</v>
      </c>
      <c r="BJ556" s="1">
        <f t="shared" si="120"/>
        <v>-34.502700456734608</v>
      </c>
      <c r="BK556" s="1">
        <f t="shared" si="121"/>
        <v>-8.0750570436413387</v>
      </c>
      <c r="BO556" s="1">
        <f t="shared" si="122"/>
        <v>-6.9316439394781488</v>
      </c>
      <c r="BP556" s="1">
        <f t="shared" si="123"/>
        <v>-1.1011019277031813</v>
      </c>
      <c r="BT556" s="1">
        <f t="shared" si="124"/>
        <v>-21.449563555921614</v>
      </c>
      <c r="BU556" s="1">
        <f t="shared" si="125"/>
        <v>-7.5216449516304458</v>
      </c>
    </row>
    <row r="557" spans="49:73">
      <c r="AW557" s="1">
        <v>547</v>
      </c>
      <c r="AX557" s="1">
        <f t="shared" si="126"/>
        <v>273.5</v>
      </c>
      <c r="AZ557" s="1">
        <f t="shared" si="127"/>
        <v>137399.988086984</v>
      </c>
      <c r="BA557" s="1">
        <f t="shared" si="128"/>
        <v>35511.06739775763</v>
      </c>
      <c r="BC557" s="1">
        <f t="shared" si="129"/>
        <v>-727.92620855166149</v>
      </c>
      <c r="BD557" s="1">
        <f t="shared" si="130"/>
        <v>898.38204639970991</v>
      </c>
      <c r="BF557" s="1">
        <f t="shared" si="118"/>
        <v>-63.032081904157721</v>
      </c>
      <c r="BG557" s="1">
        <f t="shared" si="119"/>
        <v>-17.000756342134252</v>
      </c>
      <c r="BJ557" s="1">
        <f t="shared" si="120"/>
        <v>-34.604931056911575</v>
      </c>
      <c r="BK557" s="1">
        <f t="shared" si="121"/>
        <v>-8.256568607244807</v>
      </c>
      <c r="BO557" s="1">
        <f t="shared" si="122"/>
        <v>-6.9524379859890759</v>
      </c>
      <c r="BP557" s="1">
        <f t="shared" si="123"/>
        <v>-1.1268368962091717</v>
      </c>
      <c r="BT557" s="1">
        <f t="shared" si="124"/>
        <v>-21.474712861257071</v>
      </c>
      <c r="BU557" s="1">
        <f t="shared" si="125"/>
        <v>-7.6173508386802729</v>
      </c>
    </row>
    <row r="558" spans="49:73">
      <c r="AW558" s="1">
        <v>548</v>
      </c>
      <c r="AX558" s="1">
        <f t="shared" si="126"/>
        <v>274</v>
      </c>
      <c r="AZ558" s="1">
        <f t="shared" si="127"/>
        <v>137028.14597247014</v>
      </c>
      <c r="BA558" s="1">
        <f t="shared" si="128"/>
        <v>35958.133326414718</v>
      </c>
      <c r="BC558" s="1">
        <f t="shared" si="129"/>
        <v>-759.4422495037403</v>
      </c>
      <c r="BD558" s="1">
        <f t="shared" si="130"/>
        <v>889.88166822864275</v>
      </c>
      <c r="BF558" s="1">
        <f t="shared" si="118"/>
        <v>-63.19303117655933</v>
      </c>
      <c r="BG558" s="1">
        <f t="shared" si="119"/>
        <v>-17.309939471953179</v>
      </c>
      <c r="BJ558" s="1">
        <f t="shared" si="120"/>
        <v>-34.714940953584069</v>
      </c>
      <c r="BK558" s="1">
        <f t="shared" si="121"/>
        <v>-8.4417505709106084</v>
      </c>
      <c r="BO558" s="1">
        <f t="shared" si="122"/>
        <v>-6.9745435970621035</v>
      </c>
      <c r="BP558" s="1">
        <f t="shared" si="123"/>
        <v>-1.1529533859182852</v>
      </c>
      <c r="BT558" s="1">
        <f t="shared" si="124"/>
        <v>-21.503546625913156</v>
      </c>
      <c r="BU558" s="1">
        <f t="shared" si="125"/>
        <v>-7.7152355151242862</v>
      </c>
    </row>
    <row r="559" spans="49:73">
      <c r="AW559" s="1">
        <v>549</v>
      </c>
      <c r="AX559" s="1">
        <f t="shared" si="126"/>
        <v>274.5</v>
      </c>
      <c r="AZ559" s="1">
        <f t="shared" si="127"/>
        <v>136640.52571882121</v>
      </c>
      <c r="BA559" s="1">
        <f t="shared" si="128"/>
        <v>36400.910418095045</v>
      </c>
      <c r="BC559" s="1">
        <f t="shared" si="129"/>
        <v>-791.03876509201996</v>
      </c>
      <c r="BD559" s="1">
        <f t="shared" si="130"/>
        <v>881.22669849266617</v>
      </c>
      <c r="BF559" s="1">
        <f t="shared" si="118"/>
        <v>-63.366942717084846</v>
      </c>
      <c r="BG559" s="1">
        <f t="shared" si="119"/>
        <v>-17.625658431176369</v>
      </c>
      <c r="BJ559" s="1">
        <f t="shared" si="120"/>
        <v>-34.832862565804071</v>
      </c>
      <c r="BK559" s="1">
        <f t="shared" si="121"/>
        <v>-8.630803354289732</v>
      </c>
      <c r="BO559" s="1">
        <f t="shared" si="122"/>
        <v>-6.9979844561241427</v>
      </c>
      <c r="BP559" s="1">
        <f t="shared" si="123"/>
        <v>-1.1794722973861671</v>
      </c>
      <c r="BT559" s="1">
        <f t="shared" si="124"/>
        <v>-21.536095695156632</v>
      </c>
      <c r="BU559" s="1">
        <f t="shared" si="125"/>
        <v>-7.8153827795004673</v>
      </c>
    </row>
    <row r="560" spans="49:73">
      <c r="AW560" s="1">
        <v>550</v>
      </c>
      <c r="AX560" s="1">
        <f t="shared" si="126"/>
        <v>275</v>
      </c>
      <c r="AZ560" s="1">
        <f t="shared" si="127"/>
        <v>136237.08546843557</v>
      </c>
      <c r="BA560" s="1">
        <f t="shared" si="128"/>
        <v>36839.320560037486</v>
      </c>
      <c r="BC560" s="1">
        <f t="shared" si="129"/>
        <v>-822.72223645056238</v>
      </c>
      <c r="BD560" s="1">
        <f t="shared" si="130"/>
        <v>872.41386927707799</v>
      </c>
      <c r="BF560" s="1">
        <f t="shared" si="118"/>
        <v>-63.554019080424546</v>
      </c>
      <c r="BG560" s="1">
        <f t="shared" si="119"/>
        <v>-17.948230873578993</v>
      </c>
      <c r="BJ560" s="1">
        <f t="shared" si="120"/>
        <v>-34.958838582193714</v>
      </c>
      <c r="BK560" s="1">
        <f t="shared" si="121"/>
        <v>-8.823935729600775</v>
      </c>
      <c r="BO560" s="1">
        <f t="shared" si="122"/>
        <v>-7.0227858648808716</v>
      </c>
      <c r="BP560" s="1">
        <f t="shared" si="123"/>
        <v>-1.2064152405743489</v>
      </c>
      <c r="BT560" s="1">
        <f t="shared" si="124"/>
        <v>-21.572394633349958</v>
      </c>
      <c r="BU560" s="1">
        <f t="shared" si="125"/>
        <v>-7.91787990340387</v>
      </c>
    </row>
    <row r="561" spans="49:73">
      <c r="AW561" s="1">
        <v>551</v>
      </c>
      <c r="AX561" s="1">
        <f t="shared" si="126"/>
        <v>275.5</v>
      </c>
      <c r="AZ561" s="1">
        <f t="shared" si="127"/>
        <v>135817.78009782522</v>
      </c>
      <c r="BA561" s="1">
        <f t="shared" si="128"/>
        <v>37273.28396581683</v>
      </c>
      <c r="BC561" s="1">
        <f t="shared" si="129"/>
        <v>-854.49924599077463</v>
      </c>
      <c r="BD561" s="1">
        <f t="shared" si="130"/>
        <v>863.43975384028852</v>
      </c>
      <c r="BF561" s="1">
        <f t="shared" si="118"/>
        <v>-63.754478988783596</v>
      </c>
      <c r="BG561" s="1">
        <f t="shared" si="119"/>
        <v>-18.27798788224159</v>
      </c>
      <c r="BJ561" s="1">
        <f t="shared" si="120"/>
        <v>-35.093022367167947</v>
      </c>
      <c r="BK561" s="1">
        <f t="shared" si="121"/>
        <v>-9.0213654524714251</v>
      </c>
      <c r="BO561" s="1">
        <f t="shared" si="122"/>
        <v>-7.0489748118848938</v>
      </c>
      <c r="BP561" s="1">
        <f t="shared" si="123"/>
        <v>-1.2338045863041418</v>
      </c>
      <c r="BT561" s="1">
        <f t="shared" si="124"/>
        <v>-21.612481809730753</v>
      </c>
      <c r="BU561" s="1">
        <f t="shared" si="125"/>
        <v>-8.0228178434660222</v>
      </c>
    </row>
    <row r="562" spans="49:73">
      <c r="AW562" s="1">
        <v>552</v>
      </c>
      <c r="AX562" s="1">
        <f t="shared" si="126"/>
        <v>276</v>
      </c>
      <c r="AZ562" s="1">
        <f t="shared" si="127"/>
        <v>135382.56116495625</v>
      </c>
      <c r="BA562" s="1">
        <f t="shared" si="128"/>
        <v>37702.71909425169</v>
      </c>
      <c r="BC562" s="1">
        <f t="shared" si="129"/>
        <v>-886.37648548516643</v>
      </c>
      <c r="BD562" s="1">
        <f t="shared" si="130"/>
        <v>854.3007598991677</v>
      </c>
      <c r="BF562" s="1">
        <f t="shared" si="118"/>
        <v>-63.968557942633794</v>
      </c>
      <c r="BG562" s="1">
        <f t="shared" si="119"/>
        <v>-18.615274922989503</v>
      </c>
      <c r="BJ562" s="1">
        <f t="shared" si="120"/>
        <v>-35.23557840207026</v>
      </c>
      <c r="BK562" s="1">
        <f t="shared" si="121"/>
        <v>-9.2233199354949811</v>
      </c>
      <c r="BO562" s="1">
        <f t="shared" si="122"/>
        <v>-7.0765800466300401</v>
      </c>
      <c r="BP562" s="1">
        <f t="shared" si="123"/>
        <v>-1.2616635207322864</v>
      </c>
      <c r="BT562" s="1">
        <f t="shared" si="124"/>
        <v>-21.656399493933495</v>
      </c>
      <c r="BU562" s="1">
        <f t="shared" si="125"/>
        <v>-8.1302914667622357</v>
      </c>
    </row>
    <row r="563" spans="49:73">
      <c r="AW563" s="1">
        <v>553</v>
      </c>
      <c r="AX563" s="1">
        <f t="shared" si="126"/>
        <v>276.5</v>
      </c>
      <c r="AZ563" s="1">
        <f t="shared" si="127"/>
        <v>134931.37685247083</v>
      </c>
      <c r="BA563" s="1">
        <f t="shared" si="128"/>
        <v>38127.542564835901</v>
      </c>
      <c r="BC563" s="1">
        <f t="shared" si="129"/>
        <v>-918.36076445648337</v>
      </c>
      <c r="BD563" s="1">
        <f t="shared" si="130"/>
        <v>844.99312243767292</v>
      </c>
      <c r="BF563" s="1">
        <f t="shared" si="118"/>
        <v>-64.196508884779519</v>
      </c>
      <c r="BG563" s="1">
        <f t="shared" si="119"/>
        <v>-18.960452862451852</v>
      </c>
      <c r="BJ563" s="1">
        <f t="shared" si="120"/>
        <v>-35.386682763524128</v>
      </c>
      <c r="BK563" s="1">
        <f t="shared" si="121"/>
        <v>-9.4300369685763492</v>
      </c>
      <c r="BO563" s="1">
        <f t="shared" si="122"/>
        <v>-7.1056321595621998</v>
      </c>
      <c r="BP563" s="1">
        <f t="shared" si="123"/>
        <v>-1.2900161031194322</v>
      </c>
      <c r="BT563" s="1">
        <f t="shared" si="124"/>
        <v>-21.704193961693186</v>
      </c>
      <c r="BU563" s="1">
        <f t="shared" si="125"/>
        <v>-8.2403997907560687</v>
      </c>
    </row>
    <row r="564" spans="49:73">
      <c r="AW564" s="1">
        <v>554</v>
      </c>
      <c r="AX564" s="1">
        <f t="shared" si="126"/>
        <v>277</v>
      </c>
      <c r="AZ564" s="1">
        <f t="shared" si="127"/>
        <v>134464.17190663196</v>
      </c>
      <c r="BA564" s="1">
        <f t="shared" si="128"/>
        <v>38547.669069446936</v>
      </c>
      <c r="BC564" s="1">
        <f t="shared" si="129"/>
        <v>-950.45901889887318</v>
      </c>
      <c r="BD564" s="1">
        <f t="shared" si="130"/>
        <v>835.51289600644702</v>
      </c>
      <c r="BF564" s="1">
        <f t="shared" si="118"/>
        <v>-64.438602921166151</v>
      </c>
      <c r="BG564" s="1">
        <f t="shared" si="119"/>
        <v>-19.313899056696407</v>
      </c>
      <c r="BJ564" s="1">
        <f t="shared" si="120"/>
        <v>-35.546523641518576</v>
      </c>
      <c r="BK564" s="1">
        <f t="shared" si="121"/>
        <v>-9.6417654905272325</v>
      </c>
      <c r="BO564" s="1">
        <f t="shared" si="122"/>
        <v>-7.1361636684353291</v>
      </c>
      <c r="BP564" s="1">
        <f t="shared" si="123"/>
        <v>-1.3188873271857771</v>
      </c>
      <c r="BT564" s="1">
        <f t="shared" si="124"/>
        <v>-21.755915611212249</v>
      </c>
      <c r="BU564" s="1">
        <f t="shared" si="125"/>
        <v>-8.3532462389833988</v>
      </c>
    </row>
    <row r="565" spans="49:73">
      <c r="AW565" s="1">
        <v>555</v>
      </c>
      <c r="AX565" s="1">
        <f t="shared" si="126"/>
        <v>277.5</v>
      </c>
      <c r="AZ565" s="1">
        <f t="shared" si="127"/>
        <v>133980.88757181738</v>
      </c>
      <c r="BA565" s="1">
        <f t="shared" si="128"/>
        <v>38963.011280068073</v>
      </c>
      <c r="BC565" s="1">
        <f t="shared" si="129"/>
        <v>-982.67832035945628</v>
      </c>
      <c r="BD565" s="1">
        <f t="shared" si="130"/>
        <v>825.85594647809887</v>
      </c>
      <c r="BF565" s="1">
        <f t="shared" si="118"/>
        <v>-64.695130102227438</v>
      </c>
      <c r="BG565" s="1">
        <f t="shared" si="119"/>
        <v>-19.676008516971422</v>
      </c>
      <c r="BJ565" s="1">
        <f t="shared" si="120"/>
        <v>-35.715301900007582</v>
      </c>
      <c r="BK565" s="1">
        <f t="shared" si="121"/>
        <v>-9.8587664168077698</v>
      </c>
      <c r="BO565" s="1">
        <f t="shared" si="122"/>
        <v>-7.1682091114824162</v>
      </c>
      <c r="BP565" s="1">
        <f t="shared" si="123"/>
        <v>-1.3483031863738306</v>
      </c>
      <c r="BT565" s="1">
        <f t="shared" si="124"/>
        <v>-21.811619090737434</v>
      </c>
      <c r="BU565" s="1">
        <f t="shared" si="125"/>
        <v>-8.4689389137898221</v>
      </c>
    </row>
    <row r="566" spans="49:73">
      <c r="AW566" s="1">
        <v>556</v>
      </c>
      <c r="AX566" s="1">
        <f t="shared" si="126"/>
        <v>278</v>
      </c>
      <c r="AZ566" s="1">
        <f t="shared" si="127"/>
        <v>133481.46152037487</v>
      </c>
      <c r="BA566" s="1">
        <f t="shared" si="128"/>
        <v>39373.4797522425</v>
      </c>
      <c r="BC566" s="1">
        <f t="shared" si="129"/>
        <v>-1015.02588541057</v>
      </c>
      <c r="BD566" s="1">
        <f t="shared" si="130"/>
        <v>816.01794221961313</v>
      </c>
      <c r="BF566" s="1">
        <f t="shared" si="118"/>
        <v>-64.966400268922442</v>
      </c>
      <c r="BG566" s="1">
        <f t="shared" si="119"/>
        <v>-20.047195159710071</v>
      </c>
      <c r="BJ566" s="1">
        <f t="shared" si="120"/>
        <v>-35.893231683058652</v>
      </c>
      <c r="BK566" s="1">
        <f t="shared" si="121"/>
        <v>-10.081313528792659</v>
      </c>
      <c r="BO566" s="1">
        <f t="shared" si="122"/>
        <v>-7.201805147919532</v>
      </c>
      <c r="BP566" s="1">
        <f t="shared" si="123"/>
        <v>-1.3782907433672549</v>
      </c>
      <c r="BT566" s="1">
        <f t="shared" si="124"/>
        <v>-21.871363437944257</v>
      </c>
      <c r="BU566" s="1">
        <f t="shared" si="125"/>
        <v>-8.5875908875501565</v>
      </c>
    </row>
    <row r="567" spans="49:73">
      <c r="AW567" s="1">
        <v>557</v>
      </c>
      <c r="AX567" s="1">
        <f t="shared" si="126"/>
        <v>278.5</v>
      </c>
      <c r="AZ567" s="1">
        <f t="shared" si="127"/>
        <v>132965.82777763598</v>
      </c>
      <c r="BA567" s="1">
        <f t="shared" si="128"/>
        <v>39778.98282395734</v>
      </c>
      <c r="BC567" s="1">
        <f t="shared" si="129"/>
        <v>-1047.5090855450312</v>
      </c>
      <c r="BD567" s="1">
        <f t="shared" si="130"/>
        <v>805.99434463975808</v>
      </c>
      <c r="BF567" s="1">
        <f t="shared" si="118"/>
        <v>-65.252743968038232</v>
      </c>
      <c r="BG567" s="1">
        <f t="shared" si="119"/>
        <v>-20.427893148661994</v>
      </c>
      <c r="BJ567" s="1">
        <f t="shared" si="120"/>
        <v>-36.080541069897521</v>
      </c>
      <c r="BK567" s="1">
        <f t="shared" si="121"/>
        <v>-10.309694430485781</v>
      </c>
      <c r="BO567" s="1">
        <f t="shared" si="122"/>
        <v>-7.2369906663503585</v>
      </c>
      <c r="BP567" s="1">
        <f t="shared" si="123"/>
        <v>-1.4088782042461847</v>
      </c>
      <c r="BT567" s="1">
        <f t="shared" si="124"/>
        <v>-21.935212231790345</v>
      </c>
      <c r="BU567" s="1">
        <f t="shared" si="125"/>
        <v>-8.7093205139300274</v>
      </c>
    </row>
    <row r="568" spans="49:73">
      <c r="AW568" s="1">
        <v>558</v>
      </c>
      <c r="AX568" s="1">
        <f t="shared" si="126"/>
        <v>279</v>
      </c>
      <c r="AZ568" s="1">
        <f t="shared" si="127"/>
        <v>132433.91664186746</v>
      </c>
      <c r="BA568" s="1">
        <f t="shared" si="128"/>
        <v>40179.426509633631</v>
      </c>
      <c r="BC568" s="1">
        <f t="shared" si="129"/>
        <v>-1080.1354575290504</v>
      </c>
      <c r="BD568" s="1">
        <f t="shared" si="130"/>
        <v>795.78039806542711</v>
      </c>
      <c r="BF568" s="1">
        <f t="shared" si="118"/>
        <v>-65.554513441777573</v>
      </c>
      <c r="BG568" s="1">
        <f t="shared" si="119"/>
        <v>-20.818558337801978</v>
      </c>
      <c r="BJ568" s="1">
        <f t="shared" si="120"/>
        <v>-36.277472782510408</v>
      </c>
      <c r="BK568" s="1">
        <f t="shared" si="121"/>
        <v>-10.544211579211535</v>
      </c>
      <c r="BO568" s="1">
        <f t="shared" si="122"/>
        <v>-7.2738069016961413</v>
      </c>
      <c r="BP568" s="1">
        <f t="shared" si="123"/>
        <v>-1.4400949976949649</v>
      </c>
      <c r="BT568" s="1">
        <f t="shared" si="124"/>
        <v>-22.003233757571021</v>
      </c>
      <c r="BU568" s="1">
        <f t="shared" si="125"/>
        <v>-8.8342517608954783</v>
      </c>
    </row>
    <row r="569" spans="49:73">
      <c r="AW569" s="1">
        <v>559</v>
      </c>
      <c r="AX569" s="1">
        <f t="shared" si="126"/>
        <v>279.5</v>
      </c>
      <c r="AZ569" s="1">
        <f t="shared" si="127"/>
        <v>131885.6545989227</v>
      </c>
      <c r="BA569" s="1">
        <f t="shared" si="128"/>
        <v>40574.714388874119</v>
      </c>
      <c r="BC569" s="1">
        <f t="shared" si="129"/>
        <v>-1112.9127142499392</v>
      </c>
      <c r="BD569" s="1">
        <f t="shared" si="130"/>
        <v>785.37111889652613</v>
      </c>
      <c r="BF569" s="1">
        <f t="shared" si="118"/>
        <v>-65.872083697143665</v>
      </c>
      <c r="BG569" s="1">
        <f t="shared" si="119"/>
        <v>-21.219669824544063</v>
      </c>
      <c r="BJ569" s="1">
        <f t="shared" si="120"/>
        <v>-36.484284949829771</v>
      </c>
      <c r="BK569" s="1">
        <f t="shared" si="121"/>
        <v>-10.78518339749283</v>
      </c>
      <c r="BO569" s="1">
        <f t="shared" si="122"/>
        <v>-7.3122975613376076</v>
      </c>
      <c r="BP569" s="1">
        <f t="shared" si="123"/>
        <v>-1.4719718597173155</v>
      </c>
      <c r="BT569" s="1">
        <f t="shared" si="124"/>
        <v>-22.075501185976286</v>
      </c>
      <c r="BU569" s="1">
        <f t="shared" si="125"/>
        <v>-8.962514567333919</v>
      </c>
    </row>
    <row r="570" spans="49:73">
      <c r="AW570" s="1">
        <v>560</v>
      </c>
      <c r="AX570" s="1">
        <f t="shared" si="126"/>
        <v>280</v>
      </c>
      <c r="AZ570" s="1">
        <f t="shared" si="127"/>
        <v>131320.96423133559</v>
      </c>
      <c r="BA570" s="1">
        <f t="shared" si="128"/>
        <v>40964.747489594316</v>
      </c>
      <c r="BC570" s="1">
        <f t="shared" si="129"/>
        <v>-1145.8487560985111</v>
      </c>
      <c r="BD570" s="1">
        <f t="shared" si="130"/>
        <v>774.76128398425408</v>
      </c>
      <c r="BF570" s="1">
        <f t="shared" si="118"/>
        <v>-66.205853661181862</v>
      </c>
      <c r="BG570" s="1">
        <f t="shared" si="119"/>
        <v>-21.63173162377554</v>
      </c>
      <c r="BJ570" s="1">
        <f t="shared" si="120"/>
        <v>-36.701251932919206</v>
      </c>
      <c r="BK570" s="1">
        <f t="shared" si="121"/>
        <v>-11.032945474087105</v>
      </c>
      <c r="BO570" s="1">
        <f t="shared" si="122"/>
        <v>-7.3525089612258796</v>
      </c>
      <c r="BP570" s="1">
        <f t="shared" si="123"/>
        <v>-1.5045409243578762</v>
      </c>
      <c r="BT570" s="1">
        <f t="shared" si="124"/>
        <v>-22.15209276703677</v>
      </c>
      <c r="BU570" s="1">
        <f t="shared" si="125"/>
        <v>-9.0942452253305586</v>
      </c>
    </row>
    <row r="571" spans="49:73">
      <c r="AW571" s="1">
        <v>561</v>
      </c>
      <c r="AX571" s="1">
        <f t="shared" si="126"/>
        <v>280.5</v>
      </c>
      <c r="AZ571" s="1">
        <f t="shared" si="127"/>
        <v>130739.76412157869</v>
      </c>
      <c r="BA571" s="1">
        <f t="shared" si="128"/>
        <v>41349.424165133467</v>
      </c>
      <c r="BC571" s="1">
        <f t="shared" si="129"/>
        <v>-1178.9516829291019</v>
      </c>
      <c r="BD571" s="1">
        <f t="shared" si="130"/>
        <v>763.94541817236632</v>
      </c>
      <c r="BF571" s="1">
        <f t="shared" si="118"/>
        <v>-66.556247428731723</v>
      </c>
      <c r="BG571" s="1">
        <f t="shared" si="119"/>
        <v>-22.055274474325721</v>
      </c>
      <c r="BJ571" s="1">
        <f t="shared" si="120"/>
        <v>-36.928665216009058</v>
      </c>
      <c r="BK571" s="1">
        <f t="shared" si="121"/>
        <v>-11.287851863008653</v>
      </c>
      <c r="BO571" s="1">
        <f t="shared" si="122"/>
        <v>-7.3944901727951278</v>
      </c>
      <c r="BP571" s="1">
        <f t="shared" si="123"/>
        <v>-1.5378358209775189</v>
      </c>
      <c r="BT571" s="1">
        <f t="shared" si="124"/>
        <v>-22.233092039927534</v>
      </c>
      <c r="BU571" s="1">
        <f t="shared" si="125"/>
        <v>-9.2295867903395514</v>
      </c>
    </row>
    <row r="572" spans="49:73">
      <c r="AW572" s="1">
        <v>562</v>
      </c>
      <c r="AX572" s="1">
        <f t="shared" si="126"/>
        <v>281</v>
      </c>
      <c r="AZ572" s="1">
        <f t="shared" si="127"/>
        <v>130141.96874918554</v>
      </c>
      <c r="BA572" s="1">
        <f t="shared" si="128"/>
        <v>41728.639964910362</v>
      </c>
      <c r="BC572" s="1">
        <f t="shared" si="129"/>
        <v>-1212.2298066434678</v>
      </c>
      <c r="BD572" s="1">
        <f t="shared" si="130"/>
        <v>752.9177809352035</v>
      </c>
      <c r="BF572" s="1">
        <f t="shared" si="118"/>
        <v>-66.923715610000613</v>
      </c>
      <c r="BG572" s="1">
        <f t="shared" si="119"/>
        <v>-22.490857790719708</v>
      </c>
      <c r="BJ572" s="1">
        <f t="shared" si="120"/>
        <v>-37.166834368710965</v>
      </c>
      <c r="BK572" s="1">
        <f t="shared" si="121"/>
        <v>-11.550276490327137</v>
      </c>
      <c r="BO572" s="1">
        <f t="shared" si="122"/>
        <v>-7.4382931815951485</v>
      </c>
      <c r="BP572" s="1">
        <f t="shared" si="123"/>
        <v>-1.5718917786840347</v>
      </c>
      <c r="BT572" s="1">
        <f t="shared" si="124"/>
        <v>-22.318588059694505</v>
      </c>
      <c r="BU572" s="1">
        <f t="shared" si="125"/>
        <v>-9.3686895217085358</v>
      </c>
    </row>
    <row r="573" spans="49:73">
      <c r="AW573" s="1">
        <v>563</v>
      </c>
      <c r="AX573" s="1">
        <f t="shared" si="126"/>
        <v>281.5</v>
      </c>
      <c r="AZ573" s="1">
        <f t="shared" si="127"/>
        <v>129527.48838141255</v>
      </c>
      <c r="BA573" s="1">
        <f t="shared" si="128"/>
        <v>42102.287498154117</v>
      </c>
      <c r="BC573" s="1">
        <f t="shared" si="129"/>
        <v>-1245.6916644484681</v>
      </c>
      <c r="BD573" s="1">
        <f t="shared" si="130"/>
        <v>741.67235203984364</v>
      </c>
      <c r="BF573" s="1">
        <f t="shared" si="118"/>
        <v>-67.308736785996274</v>
      </c>
      <c r="BG573" s="1">
        <f t="shared" si="119"/>
        <v>-22.939071774454234</v>
      </c>
      <c r="BJ573" s="1">
        <f t="shared" si="120"/>
        <v>-37.416088085264256</v>
      </c>
      <c r="BK573" s="1">
        <f t="shared" si="121"/>
        <v>-11.820614679613959</v>
      </c>
      <c r="BO573" s="1">
        <f t="shared" si="122"/>
        <v>-7.4839730586582371</v>
      </c>
      <c r="BP573" s="1">
        <f t="shared" si="123"/>
        <v>-1.6067457385805448</v>
      </c>
      <c r="BT573" s="1">
        <f t="shared" si="124"/>
        <v>-22.408675642073788</v>
      </c>
      <c r="BU573" s="1">
        <f t="shared" si="125"/>
        <v>-9.5117113562597311</v>
      </c>
    </row>
    <row r="574" spans="49:73">
      <c r="AW574" s="1">
        <v>564</v>
      </c>
      <c r="AX574" s="1">
        <f t="shared" si="126"/>
        <v>282</v>
      </c>
      <c r="AZ574" s="1">
        <f t="shared" si="127"/>
        <v>128896.22895709006</v>
      </c>
      <c r="BA574" s="1">
        <f t="shared" si="128"/>
        <v>42470.256290202226</v>
      </c>
      <c r="BC574" s="1">
        <f t="shared" si="129"/>
        <v>-1279.3460328414662</v>
      </c>
      <c r="BD574" s="1">
        <f t="shared" si="130"/>
        <v>730.20281615261649</v>
      </c>
      <c r="BF574" s="1">
        <f t="shared" si="118"/>
        <v>-67.71181908066292</v>
      </c>
      <c r="BG574" s="1">
        <f t="shared" si="119"/>
        <v>-23.400539700593015</v>
      </c>
      <c r="BJ574" s="1">
        <f t="shared" si="120"/>
        <v>-37.676775307257273</v>
      </c>
      <c r="BK574" s="1">
        <f t="shared" si="121"/>
        <v>-12.09928480812985</v>
      </c>
      <c r="BO574" s="1">
        <f t="shared" si="122"/>
        <v>-7.5315881457186284</v>
      </c>
      <c r="BP574" s="1">
        <f t="shared" si="123"/>
        <v>-1.6424364745611499</v>
      </c>
      <c r="BT574" s="1">
        <f t="shared" si="124"/>
        <v>-22.503455627687018</v>
      </c>
      <c r="BU574" s="1">
        <f t="shared" si="125"/>
        <v>-9.6588184179020136</v>
      </c>
    </row>
    <row r="575" spans="49:73">
      <c r="AW575" s="1">
        <v>565</v>
      </c>
      <c r="AX575" s="1">
        <f t="shared" si="126"/>
        <v>282.5</v>
      </c>
      <c r="AZ575" s="1">
        <f t="shared" si="127"/>
        <v>128248.09196328424</v>
      </c>
      <c r="BA575" s="1">
        <f t="shared" si="128"/>
        <v>42832.432630815958</v>
      </c>
      <c r="BC575" s="1">
        <f t="shared" si="129"/>
        <v>-1313.2019423817976</v>
      </c>
      <c r="BD575" s="1">
        <f t="shared" si="130"/>
        <v>718.50254630231996</v>
      </c>
      <c r="BF575" s="1">
        <f t="shared" si="118"/>
        <v>-68.133501859447648</v>
      </c>
      <c r="BG575" s="1">
        <f t="shared" si="119"/>
        <v>-23.875920397230693</v>
      </c>
      <c r="BJ575" s="1">
        <f t="shared" si="120"/>
        <v>-37.949266436905717</v>
      </c>
      <c r="BK575" s="1">
        <f t="shared" si="121"/>
        <v>-12.386730107221148</v>
      </c>
      <c r="BO575" s="1">
        <f t="shared" si="122"/>
        <v>-7.5812002555235614</v>
      </c>
      <c r="BP575" s="1">
        <f t="shared" si="123"/>
        <v>-1.6790047234594292</v>
      </c>
      <c r="BT575" s="1">
        <f t="shared" si="124"/>
        <v>-22.603035167018373</v>
      </c>
      <c r="BU575" s="1">
        <f t="shared" si="125"/>
        <v>-9.8101855665501194</v>
      </c>
    </row>
    <row r="576" spans="49:73">
      <c r="AW576" s="1">
        <v>566</v>
      </c>
      <c r="AX576" s="1">
        <f t="shared" si="126"/>
        <v>283</v>
      </c>
      <c r="AZ576" s="1">
        <f t="shared" si="127"/>
        <v>127582.97430436091</v>
      </c>
      <c r="BA576" s="1">
        <f t="shared" si="128"/>
        <v>43188.699413917464</v>
      </c>
      <c r="BC576" s="1">
        <f t="shared" si="129"/>
        <v>-1347.2686933115215</v>
      </c>
      <c r="BD576" s="1">
        <f t="shared" si="130"/>
        <v>706.56458610370464</v>
      </c>
      <c r="BF576" s="1">
        <f t="shared" si="118"/>
        <v>-68.574357565012747</v>
      </c>
      <c r="BG576" s="1">
        <f t="shared" si="119"/>
        <v>-24.365910937354016</v>
      </c>
      <c r="BJ576" s="1">
        <f t="shared" si="120"/>
        <v>-38.233954648686044</v>
      </c>
      <c r="BK576" s="1">
        <f t="shared" si="121"/>
        <v>-12.683420621946844</v>
      </c>
      <c r="BO576" s="1">
        <f t="shared" si="122"/>
        <v>-7.6328748886045217</v>
      </c>
      <c r="BP576" s="1">
        <f t="shared" si="123"/>
        <v>-1.7164933254394283</v>
      </c>
      <c r="BT576" s="1">
        <f t="shared" si="124"/>
        <v>-22.70752802772218</v>
      </c>
      <c r="BU576" s="1">
        <f t="shared" si="125"/>
        <v>-9.9659969899677456</v>
      </c>
    </row>
    <row r="577" spans="49:73">
      <c r="AW577" s="1">
        <v>567</v>
      </c>
      <c r="AX577" s="1">
        <f t="shared" si="126"/>
        <v>283.5</v>
      </c>
      <c r="AZ577" s="1">
        <f t="shared" si="127"/>
        <v>126900.76816300952</v>
      </c>
      <c r="BA577" s="1">
        <f t="shared" si="128"/>
        <v>43538.935968102145</v>
      </c>
      <c r="BC577" s="1">
        <f t="shared" si="129"/>
        <v>-1381.5558720940278</v>
      </c>
      <c r="BD577" s="1">
        <f t="shared" si="130"/>
        <v>694.38163063502759</v>
      </c>
      <c r="BF577" s="1">
        <f t="shared" si="118"/>
        <v>-69.034993701893967</v>
      </c>
      <c r="BG577" s="1">
        <f t="shared" si="119"/>
        <v>-24.871249564856232</v>
      </c>
      <c r="BJ577" s="1">
        <f t="shared" si="120"/>
        <v>-38.531257307915617</v>
      </c>
      <c r="BK577" s="1">
        <f t="shared" si="121"/>
        <v>-12.989855346717141</v>
      </c>
      <c r="BO577" s="1">
        <f t="shared" si="122"/>
        <v>-7.6866814680268227</v>
      </c>
      <c r="BP577" s="1">
        <f t="shared" si="123"/>
        <v>-1.7549473756139649</v>
      </c>
      <c r="BT577" s="1">
        <f t="shared" si="124"/>
        <v>-22.817054925951531</v>
      </c>
      <c r="BU577" s="1">
        <f t="shared" si="125"/>
        <v>-10.126446842525127</v>
      </c>
    </row>
    <row r="578" spans="49:73">
      <c r="AW578" s="1">
        <v>568</v>
      </c>
      <c r="AX578" s="1">
        <f t="shared" si="126"/>
        <v>284</v>
      </c>
      <c r="AZ578" s="1">
        <f t="shared" si="127"/>
        <v>126201.36085274977</v>
      </c>
      <c r="BA578" s="1">
        <f t="shared" si="128"/>
        <v>43883.017877224054</v>
      </c>
      <c r="BC578" s="1">
        <f t="shared" si="129"/>
        <v>-1416.0733689449748</v>
      </c>
      <c r="BD578" s="1">
        <f t="shared" si="130"/>
        <v>681.94600585259946</v>
      </c>
      <c r="BF578" s="1">
        <f t="shared" si="118"/>
        <v>-69.51605498312729</v>
      </c>
      <c r="BG578" s="1">
        <f t="shared" si="119"/>
        <v>-25.392718878986223</v>
      </c>
      <c r="BJ578" s="1">
        <f t="shared" si="120"/>
        <v>-38.841617505751302</v>
      </c>
      <c r="BK578" s="1">
        <f t="shared" si="121"/>
        <v>-13.306564555716408</v>
      </c>
      <c r="BO578" s="1">
        <f t="shared" si="122"/>
        <v>-7.7426935938021151</v>
      </c>
      <c r="BP578" s="1">
        <f t="shared" si="123"/>
        <v>-1.7944143879816081</v>
      </c>
      <c r="BT578" s="1">
        <f t="shared" si="124"/>
        <v>-22.931743883573876</v>
      </c>
      <c r="BU578" s="1">
        <f t="shared" si="125"/>
        <v>-10.291739935288209</v>
      </c>
    </row>
    <row r="579" spans="49:73">
      <c r="AW579" s="1">
        <v>569</v>
      </c>
      <c r="AX579" s="1">
        <f t="shared" si="126"/>
        <v>284.5</v>
      </c>
      <c r="AZ579" s="1">
        <f t="shared" si="127"/>
        <v>125484.63466140439</v>
      </c>
      <c r="BA579" s="1">
        <f t="shared" si="128"/>
        <v>44220.816790290482</v>
      </c>
      <c r="BC579" s="1">
        <f t="shared" si="129"/>
        <v>-1450.8313964365384</v>
      </c>
      <c r="BD579" s="1">
        <f t="shared" si="130"/>
        <v>669.24964641310635</v>
      </c>
      <c r="BF579" s="1">
        <f t="shared" si="118"/>
        <v>-70.018225653203771</v>
      </c>
      <c r="BG579" s="1">
        <f t="shared" si="119"/>
        <v>-25.931149304364048</v>
      </c>
      <c r="BJ579" s="1">
        <f t="shared" si="120"/>
        <v>-39.165505721052739</v>
      </c>
      <c r="BK579" s="1">
        <f t="shared" si="121"/>
        <v>-13.634112349142624</v>
      </c>
      <c r="BO579" s="1">
        <f t="shared" si="122"/>
        <v>-7.8009893188324364</v>
      </c>
      <c r="BP579" s="1">
        <f t="shared" si="123"/>
        <v>-1.8349444728928377</v>
      </c>
      <c r="BT579" s="1">
        <f t="shared" si="124"/>
        <v>-23.051730613318593</v>
      </c>
      <c r="BU579" s="1">
        <f t="shared" si="125"/>
        <v>-10.462092482328586</v>
      </c>
    </row>
    <row r="580" spans="49:73">
      <c r="AW580" s="1">
        <v>570</v>
      </c>
      <c r="AX580" s="1">
        <f t="shared" si="126"/>
        <v>285</v>
      </c>
      <c r="AZ580" s="1">
        <f t="shared" si="127"/>
        <v>124750.46668497946</v>
      </c>
      <c r="BA580" s="1">
        <f t="shared" si="128"/>
        <v>44552.200219833991</v>
      </c>
      <c r="BC580" s="1">
        <f t="shared" si="129"/>
        <v>-1485.8405092631403</v>
      </c>
      <c r="BD580" s="1">
        <f t="shared" si="130"/>
        <v>656.28407176092435</v>
      </c>
      <c r="BF580" s="1">
        <f t="shared" si="118"/>
        <v>-70.542232003214565</v>
      </c>
      <c r="BG580" s="1">
        <f t="shared" si="119"/>
        <v>-26.487422876929507</v>
      </c>
      <c r="BJ580" s="1">
        <f t="shared" si="120"/>
        <v>-39.503421620643635</v>
      </c>
      <c r="BK580" s="1">
        <f t="shared" si="121"/>
        <v>-13.973099438863793</v>
      </c>
      <c r="BO580" s="1">
        <f t="shared" si="122"/>
        <v>-7.8616514484663309</v>
      </c>
      <c r="BP580" s="1">
        <f t="shared" si="123"/>
        <v>-1.8765905293909775</v>
      </c>
      <c r="BT580" s="1">
        <f t="shared" si="124"/>
        <v>-23.17715893410459</v>
      </c>
      <c r="BU580" s="1">
        <f t="shared" si="125"/>
        <v>-10.637732908674735</v>
      </c>
    </row>
    <row r="581" spans="49:73">
      <c r="AW581" s="1">
        <v>571</v>
      </c>
      <c r="AX581" s="1">
        <f t="shared" si="126"/>
        <v>285.5</v>
      </c>
      <c r="AZ581" s="1">
        <f t="shared" si="127"/>
        <v>123998.7286513475</v>
      </c>
      <c r="BA581" s="1">
        <f t="shared" si="128"/>
        <v>44877.031327854835</v>
      </c>
      <c r="BC581" s="1">
        <f t="shared" si="129"/>
        <v>-1521.1116252647475</v>
      </c>
      <c r="BD581" s="1">
        <f t="shared" si="130"/>
        <v>643.04036032245961</v>
      </c>
      <c r="BF581" s="1">
        <f t="shared" si="118"/>
        <v>-71.088845095725461</v>
      </c>
      <c r="BG581" s="1">
        <f t="shared" si="119"/>
        <v>-27.062477379865939</v>
      </c>
      <c r="BJ581" s="1">
        <f t="shared" si="120"/>
        <v>-39.855896010719484</v>
      </c>
      <c r="BK581" s="1">
        <f t="shared" si="121"/>
        <v>-14.324166200017146</v>
      </c>
      <c r="BO581" s="1">
        <f t="shared" si="122"/>
        <v>-7.9247678659831742</v>
      </c>
      <c r="BP581" s="1">
        <f t="shared" si="123"/>
        <v>-1.9194084539251663</v>
      </c>
      <c r="BT581" s="1">
        <f t="shared" si="124"/>
        <v>-23.308181219022803</v>
      </c>
      <c r="BU581" s="1">
        <f t="shared" si="125"/>
        <v>-10.81890272592363</v>
      </c>
    </row>
    <row r="582" spans="49:73">
      <c r="AW582" s="1">
        <v>572</v>
      </c>
      <c r="AX582" s="1">
        <f t="shared" si="126"/>
        <v>286</v>
      </c>
      <c r="AZ582" s="1">
        <f t="shared" si="127"/>
        <v>123229.28673307816</v>
      </c>
      <c r="BA582" s="1">
        <f t="shared" si="128"/>
        <v>45195.168698343579</v>
      </c>
      <c r="BC582" s="1">
        <f t="shared" si="129"/>
        <v>-1556.6560478126103</v>
      </c>
      <c r="BD582" s="1">
        <f t="shared" si="130"/>
        <v>629.50912163252667</v>
      </c>
      <c r="BF582" s="1">
        <f t="shared" si="118"/>
        <v>-71.658883718768138</v>
      </c>
      <c r="BG582" s="1">
        <f t="shared" si="119"/>
        <v>-27.65731086771212</v>
      </c>
      <c r="BJ582" s="1">
        <f t="shared" si="120"/>
        <v>-40.223492953484005</v>
      </c>
      <c r="BK582" s="1">
        <f t="shared" si="121"/>
        <v>-14.687996018404743</v>
      </c>
      <c r="BO582" s="1">
        <f t="shared" si="122"/>
        <v>-7.9904318865869035</v>
      </c>
      <c r="BP582" s="1">
        <f t="shared" si="123"/>
        <v>-1.9634573671035553</v>
      </c>
      <c r="BT582" s="1">
        <f t="shared" si="124"/>
        <v>-23.444958878697228</v>
      </c>
      <c r="BU582" s="1">
        <f t="shared" si="125"/>
        <v>-11.005857482203822</v>
      </c>
    </row>
    <row r="583" spans="49:73">
      <c r="AW583" s="1">
        <v>573</v>
      </c>
      <c r="AX583" s="1">
        <f t="shared" si="126"/>
        <v>286.5</v>
      </c>
      <c r="AZ583" s="1">
        <f t="shared" si="127"/>
        <v>122442.00134870701</v>
      </c>
      <c r="BA583" s="1">
        <f t="shared" si="128"/>
        <v>45506.466095301374</v>
      </c>
      <c r="BC583" s="1">
        <f t="shared" si="129"/>
        <v>-1592.4854896719944</v>
      </c>
      <c r="BD583" s="1">
        <f t="shared" si="130"/>
        <v>615.68046619867062</v>
      </c>
      <c r="BF583" s="1">
        <f t="shared" si="118"/>
        <v>-72.253217590435298</v>
      </c>
      <c r="BG583" s="1">
        <f t="shared" si="119"/>
        <v>-28.27298662163939</v>
      </c>
      <c r="BJ583" s="1">
        <f t="shared" si="120"/>
        <v>-40.606812064615539</v>
      </c>
      <c r="BK583" s="1">
        <f t="shared" si="121"/>
        <v>-15.065318967351127</v>
      </c>
      <c r="BO583" s="1">
        <f t="shared" si="122"/>
        <v>-8.0587426427942148</v>
      </c>
      <c r="BP583" s="1">
        <f t="shared" si="123"/>
        <v>-2.0087998603491224</v>
      </c>
      <c r="BT583" s="1">
        <f t="shared" si="124"/>
        <v>-23.587662883025541</v>
      </c>
      <c r="BU583" s="1">
        <f t="shared" si="125"/>
        <v>-11.198867793939142</v>
      </c>
    </row>
    <row r="584" spans="49:73">
      <c r="AW584" s="1">
        <v>574</v>
      </c>
      <c r="AX584" s="1">
        <f t="shared" si="126"/>
        <v>287</v>
      </c>
      <c r="AZ584" s="1">
        <f t="shared" si="127"/>
        <v>121636.72695167222</v>
      </c>
      <c r="BA584" s="1">
        <f t="shared" si="128"/>
        <v>45810.772205073001</v>
      </c>
      <c r="BC584" s="1">
        <f t="shared" si="129"/>
        <v>-1628.612098467212</v>
      </c>
      <c r="BD584" s="1">
        <f t="shared" si="130"/>
        <v>601.54397288785094</v>
      </c>
      <c r="BF584" s="1">
        <f t="shared" si="118"/>
        <v>-72.872770837873148</v>
      </c>
      <c r="BG584" s="1">
        <f t="shared" si="119"/>
        <v>-28.910638584293487</v>
      </c>
      <c r="BJ584" s="1">
        <f t="shared" si="120"/>
        <v>-41.00649100882476</v>
      </c>
      <c r="BK584" s="1">
        <f t="shared" si="121"/>
        <v>-15.456915852037012</v>
      </c>
      <c r="BO584" s="1">
        <f t="shared" si="122"/>
        <v>-8.1298055044407196</v>
      </c>
      <c r="BP584" s="1">
        <f t="shared" si="123"/>
        <v>-2.0555022645391476</v>
      </c>
      <c r="BT584" s="1">
        <f t="shared" si="124"/>
        <v>-23.736474324607666</v>
      </c>
      <c r="BU584" s="1">
        <f t="shared" si="125"/>
        <v>-11.398220467717326</v>
      </c>
    </row>
    <row r="585" spans="49:73">
      <c r="AW585" s="1">
        <v>575</v>
      </c>
      <c r="AX585" s="1">
        <f t="shared" si="126"/>
        <v>287.5</v>
      </c>
      <c r="AZ585" s="1">
        <f t="shared" si="127"/>
        <v>120813.31180608388</v>
      </c>
      <c r="BA585" s="1">
        <f t="shared" si="128"/>
        <v>46107.930361693892</v>
      </c>
      <c r="BC585" s="1">
        <f t="shared" si="129"/>
        <v>-1665.0484838861487</v>
      </c>
      <c r="BD585" s="1">
        <f t="shared" si="130"/>
        <v>587.08865359570416</v>
      </c>
      <c r="BF585" s="1">
        <f t="shared" si="118"/>
        <v>-73.518525777080654</v>
      </c>
      <c r="BG585" s="1">
        <f t="shared" si="119"/>
        <v>-29.571477328811326</v>
      </c>
      <c r="BJ585" s="1">
        <f t="shared" si="120"/>
        <v>-41.423208212648341</v>
      </c>
      <c r="BK585" s="1">
        <f t="shared" si="121"/>
        <v>-15.863622664317246</v>
      </c>
      <c r="BO585" s="1">
        <f t="shared" si="122"/>
        <v>-8.2037325369172116</v>
      </c>
      <c r="BP585" s="1">
        <f t="shared" si="123"/>
        <v>-2.1036349429583598</v>
      </c>
      <c r="BT585" s="1">
        <f t="shared" si="124"/>
        <v>-23.891585027515109</v>
      </c>
      <c r="BU585" s="1">
        <f t="shared" si="125"/>
        <v>-11.604219721535722</v>
      </c>
    </row>
    <row r="586" spans="49:73">
      <c r="AW586" s="1">
        <v>576</v>
      </c>
      <c r="AX586" s="1">
        <f t="shared" si="126"/>
        <v>288</v>
      </c>
      <c r="AZ586" s="1">
        <f t="shared" si="127"/>
        <v>119971.59774841867</v>
      </c>
      <c r="BA586" s="1">
        <f t="shared" si="128"/>
        <v>46397.778253825643</v>
      </c>
      <c r="BC586" s="1">
        <f t="shared" si="129"/>
        <v>-1701.8077467746891</v>
      </c>
      <c r="BD586" s="1">
        <f t="shared" si="130"/>
        <v>572.30291493129846</v>
      </c>
      <c r="BF586" s="1">
        <f t="shared" si="118"/>
        <v>-74.191527022829987</v>
      </c>
      <c r="BG586" s="1">
        <f t="shared" si="119"/>
        <v>-30.256796623726935</v>
      </c>
      <c r="BJ586" s="1">
        <f t="shared" si="120"/>
        <v>-41.857685815704947</v>
      </c>
      <c r="BK586" s="1">
        <f t="shared" si="121"/>
        <v>-16.286335496757108</v>
      </c>
      <c r="BO586" s="1">
        <f t="shared" si="122"/>
        <v>-8.2806430016881976</v>
      </c>
      <c r="BP586" s="1">
        <f t="shared" si="123"/>
        <v>-2.1532726111783287</v>
      </c>
      <c r="BT586" s="1">
        <f t="shared" si="124"/>
        <v>-24.053198205436843</v>
      </c>
      <c r="BU586" s="1">
        <f t="shared" si="125"/>
        <v>-11.8171885157915</v>
      </c>
    </row>
    <row r="587" spans="49:73">
      <c r="AW587" s="1">
        <v>577</v>
      </c>
      <c r="AX587" s="1">
        <f t="shared" si="126"/>
        <v>288.5</v>
      </c>
      <c r="AZ587" s="1">
        <f t="shared" si="127"/>
        <v>119111.41993415347</v>
      </c>
      <c r="BA587" s="1">
        <f t="shared" si="128"/>
        <v>46680.147611713321</v>
      </c>
      <c r="BC587" s="1">
        <f t="shared" si="129"/>
        <v>-1738.9035102861042</v>
      </c>
      <c r="BD587" s="1">
        <f t="shared" si="130"/>
        <v>557.17451661943494</v>
      </c>
      <c r="BF587" s="1">
        <f t="shared" ref="BF587:BF650" si="131">BJ587 + BO587 + BT587</f>
        <v>-74.892885961294397</v>
      </c>
      <c r="BG587" s="1">
        <f t="shared" ref="BG587:BG650" si="132">BK587 + BP587 + BU587</f>
        <v>-30.967980663637796</v>
      </c>
      <c r="BJ587" s="1">
        <f t="shared" ref="BJ587:BJ650" si="133">$M$22*($M$18 - AZ587)/ (SQRT(($M$18 - AZ587)^2 + ($N$18 - BA587)^2 )^2 + $M$23^2)^(3/2)</f>
        <v>-42.310692883986988</v>
      </c>
      <c r="BK587" s="1">
        <f t="shared" ref="BK587:BK650" si="134">$M$22*($N$18 - BA587)/ (SQRT(($M$18 - AZ587)^2 + ($N$18 - BA587)^2 )^2 + $M$23^2)^(3/2)</f>
        <v>-16.726015971215311</v>
      </c>
      <c r="BO587" s="1">
        <f t="shared" ref="BO587:BO650" si="135">$M$30*($M$26 - AZ587)/ (SQRT(($M$26 - AZ587)^2 + ($N$26 - BA587)^2 )^2 + $M$31^2)^(3/2)</f>
        <v>-8.3606639036433155</v>
      </c>
      <c r="BP587" s="1">
        <f t="shared" ref="BP587:BP650" si="136">$M$30*($N$26 - BA587)/ (SQRT(($M$26 - AZ587)^2 + ($N$26 - BA587)^2 )^2 + $M$31^2)^(3/2)</f>
        <v>-2.2044946867965147</v>
      </c>
      <c r="BT587" s="1">
        <f t="shared" ref="BT587:BT650" si="137">$M$38*($M$34 - AZ587)/ (SQRT(($M$34 - AZ587)^2 + ($N$34 - BA587)^2 )^2 + $M$39^2)^(3/2)</f>
        <v>-24.221529173664091</v>
      </c>
      <c r="BU587" s="1">
        <f t="shared" ref="BU587:BU650" si="138">$M$38*($N$34 - BA587)/ (SQRT(($M$34 - AZ587)^2 + ($N$34 - BA587)^2 )^2 + $M$39^2)^(3/2)</f>
        <v>-12.037470005625972</v>
      </c>
    </row>
    <row r="588" spans="49:73">
      <c r="AW588" s="1">
        <v>578</v>
      </c>
      <c r="AX588" s="1">
        <f t="shared" ref="AX588:AX651" si="139">AX587+$M$5</f>
        <v>289</v>
      </c>
      <c r="AZ588" s="1">
        <f t="shared" ref="AZ588:AZ651" si="140">AZ587 + BC587 * $M$5 + 0.5 * BF587 * POWER($M$5, 2)</f>
        <v>118232.60656826526</v>
      </c>
      <c r="BA588" s="1">
        <f t="shared" ref="BA588:BA651" si="141">BA587+BD587*$M$5+0.5*BG587* POWER($M$5, 2)</f>
        <v>46954.863872440081</v>
      </c>
      <c r="BC588" s="1">
        <f t="shared" ref="BC588:BC651" si="142">BC587 + BF587 * $M$5</f>
        <v>-1776.3499532667513</v>
      </c>
      <c r="BD588" s="1">
        <f t="shared" ref="BD588:BD651" si="143">BD587+BG587*$M$5</f>
        <v>541.69052628761608</v>
      </c>
      <c r="BF588" s="1">
        <f t="shared" si="131"/>
        <v>-75.6237856216284</v>
      </c>
      <c r="BG588" s="1">
        <f t="shared" si="132"/>
        <v>-31.706512044874771</v>
      </c>
      <c r="BJ588" s="1">
        <f t="shared" si="133"/>
        <v>-42.783048911365562</v>
      </c>
      <c r="BK588" s="1">
        <f t="shared" si="134"/>
        <v>-17.183697244894184</v>
      </c>
      <c r="BO588" s="1">
        <f t="shared" si="135"/>
        <v>-8.4439305904063726</v>
      </c>
      <c r="BP588" s="1">
        <f t="shared" si="136"/>
        <v>-2.2573856723355581</v>
      </c>
      <c r="BT588" s="1">
        <f t="shared" si="137"/>
        <v>-24.396806119856468</v>
      </c>
      <c r="BU588" s="1">
        <f t="shared" si="138"/>
        <v>-12.265429127645026</v>
      </c>
    </row>
    <row r="589" spans="49:73">
      <c r="AW589" s="1">
        <v>579</v>
      </c>
      <c r="AX589" s="1">
        <f t="shared" si="139"/>
        <v>289.5</v>
      </c>
      <c r="AZ589" s="1">
        <f t="shared" si="140"/>
        <v>117334.97861842917</v>
      </c>
      <c r="BA589" s="1">
        <f t="shared" si="141"/>
        <v>47221.745821578275</v>
      </c>
      <c r="BC589" s="1">
        <f t="shared" si="142"/>
        <v>-1814.1618460775655</v>
      </c>
      <c r="BD589" s="1">
        <f t="shared" si="143"/>
        <v>525.83727026517874</v>
      </c>
      <c r="BF589" s="1">
        <f t="shared" si="131"/>
        <v>-76.385485986866584</v>
      </c>
      <c r="BG589" s="1">
        <f t="shared" si="132"/>
        <v>-32.473980576219844</v>
      </c>
      <c r="BJ589" s="1">
        <f t="shared" si="133"/>
        <v>-43.275627638424119</v>
      </c>
      <c r="BK589" s="1">
        <f t="shared" si="134"/>
        <v>-17.66049066555486</v>
      </c>
      <c r="BO589" s="1">
        <f t="shared" si="135"/>
        <v>-8.5305874093766043</v>
      </c>
      <c r="BP589" s="1">
        <f t="shared" si="136"/>
        <v>-2.312035575021111</v>
      </c>
      <c r="BT589" s="1">
        <f t="shared" si="137"/>
        <v>-24.579270939065868</v>
      </c>
      <c r="BU589" s="1">
        <f t="shared" si="138"/>
        <v>-12.501454335643874</v>
      </c>
    </row>
    <row r="590" spans="49:73">
      <c r="AW590" s="1">
        <v>580</v>
      </c>
      <c r="AX590" s="1">
        <f t="shared" si="139"/>
        <v>290</v>
      </c>
      <c r="AZ590" s="1">
        <f t="shared" si="140"/>
        <v>116418.34950964204</v>
      </c>
      <c r="BA590" s="1">
        <f t="shared" si="141"/>
        <v>47480.605209138841</v>
      </c>
      <c r="BC590" s="1">
        <f t="shared" si="142"/>
        <v>-1852.3545890709988</v>
      </c>
      <c r="BD590" s="1">
        <f t="shared" si="143"/>
        <v>509.60027997706879</v>
      </c>
      <c r="BF590" s="1">
        <f t="shared" si="131"/>
        <v>-77.179329789134997</v>
      </c>
      <c r="BG590" s="1">
        <f t="shared" si="132"/>
        <v>-33.27209302718142</v>
      </c>
      <c r="BJ590" s="1">
        <f t="shared" si="133"/>
        <v>-43.789361221009649</v>
      </c>
      <c r="BK590" s="1">
        <f t="shared" si="134"/>
        <v>-18.157593157747264</v>
      </c>
      <c r="BO590" s="1">
        <f t="shared" si="135"/>
        <v>-8.6207884290264118</v>
      </c>
      <c r="BP590" s="1">
        <f t="shared" si="136"/>
        <v>-2.3685403676359065</v>
      </c>
      <c r="BT590" s="1">
        <f t="shared" si="137"/>
        <v>-24.769180139098932</v>
      </c>
      <c r="BU590" s="1">
        <f t="shared" si="138"/>
        <v>-12.74595950179825</v>
      </c>
    </row>
    <row r="591" spans="49:73">
      <c r="AW591" s="1">
        <v>581</v>
      </c>
      <c r="AX591" s="1">
        <f t="shared" si="139"/>
        <v>290.5</v>
      </c>
      <c r="AZ591" s="1">
        <f t="shared" si="140"/>
        <v>115482.52479888289</v>
      </c>
      <c r="BA591" s="1">
        <f t="shared" si="141"/>
        <v>47731.246337498975</v>
      </c>
      <c r="BC591" s="1">
        <f t="shared" si="142"/>
        <v>-1890.9442539655663</v>
      </c>
      <c r="BD591" s="1">
        <f t="shared" si="143"/>
        <v>492.96423346347808</v>
      </c>
      <c r="BF591" s="1">
        <f t="shared" si="131"/>
        <v>-78.006748839360625</v>
      </c>
      <c r="BG591" s="1">
        <f t="shared" si="132"/>
        <v>-34.102683930749336</v>
      </c>
      <c r="BJ591" s="1">
        <f t="shared" si="133"/>
        <v>-44.325244784554584</v>
      </c>
      <c r="BK591" s="1">
        <f t="shared" si="134"/>
        <v>-18.676295433677311</v>
      </c>
      <c r="BO591" s="1">
        <f t="shared" si="135"/>
        <v>-8.7146982318354436</v>
      </c>
      <c r="BP591" s="1">
        <f t="shared" si="136"/>
        <v>-2.4270024951960525</v>
      </c>
      <c r="BT591" s="1">
        <f t="shared" si="137"/>
        <v>-24.966805822970603</v>
      </c>
      <c r="BU591" s="1">
        <f t="shared" si="138"/>
        <v>-12.999386001875971</v>
      </c>
    </row>
    <row r="592" spans="49:73">
      <c r="AW592" s="1">
        <v>582</v>
      </c>
      <c r="AX592" s="1">
        <f t="shared" si="139"/>
        <v>291</v>
      </c>
      <c r="AZ592" s="1">
        <f t="shared" si="140"/>
        <v>114527.30182829518</v>
      </c>
      <c r="BA592" s="1">
        <f t="shared" si="141"/>
        <v>47973.46561873937</v>
      </c>
      <c r="BC592" s="1">
        <f t="shared" si="142"/>
        <v>-1929.9476283852466</v>
      </c>
      <c r="BD592" s="1">
        <f t="shared" si="143"/>
        <v>475.91289149810342</v>
      </c>
      <c r="BF592" s="1">
        <f t="shared" si="131"/>
        <v>-78.869270947540997</v>
      </c>
      <c r="BG592" s="1">
        <f t="shared" si="132"/>
        <v>-34.96772757427302</v>
      </c>
      <c r="BJ592" s="1">
        <f t="shared" si="133"/>
        <v>-44.884341404344973</v>
      </c>
      <c r="BK592" s="1">
        <f t="shared" si="134"/>
        <v>-19.217991136024786</v>
      </c>
      <c r="BO592" s="1">
        <f t="shared" si="135"/>
        <v>-8.8124927872295498</v>
      </c>
      <c r="BP592" s="1">
        <f t="shared" si="136"/>
        <v>-2.4875314328267071</v>
      </c>
      <c r="BT592" s="1">
        <f t="shared" si="137"/>
        <v>-25.172436755966473</v>
      </c>
      <c r="BU592" s="1">
        <f t="shared" si="138"/>
        <v>-13.262205005421526</v>
      </c>
    </row>
    <row r="593" spans="49:73">
      <c r="AW593" s="1">
        <v>583</v>
      </c>
      <c r="AX593" s="1">
        <f t="shared" si="139"/>
        <v>291.5</v>
      </c>
      <c r="AZ593" s="1">
        <f t="shared" si="140"/>
        <v>113552.46935523412</v>
      </c>
      <c r="BA593" s="1">
        <f t="shared" si="141"/>
        <v>48207.051098541633</v>
      </c>
      <c r="BC593" s="1">
        <f t="shared" si="142"/>
        <v>-1969.382263859017</v>
      </c>
      <c r="BD593" s="1">
        <f t="shared" si="143"/>
        <v>458.42902771096692</v>
      </c>
      <c r="BF593" s="1">
        <f t="shared" si="131"/>
        <v>-79.768527496219178</v>
      </c>
      <c r="BG593" s="1">
        <f t="shared" si="132"/>
        <v>-35.869351331517741</v>
      </c>
      <c r="BJ593" s="1">
        <f t="shared" si="133"/>
        <v>-45.467787556508</v>
      </c>
      <c r="BK593" s="1">
        <f t="shared" si="134"/>
        <v>-19.784187035965754</v>
      </c>
      <c r="BO593" s="1">
        <f t="shared" si="135"/>
        <v>-8.9143604140275396</v>
      </c>
      <c r="BP593" s="1">
        <f t="shared" si="136"/>
        <v>-2.5502443009393794</v>
      </c>
      <c r="BT593" s="1">
        <f t="shared" si="137"/>
        <v>-25.386379525683637</v>
      </c>
      <c r="BU593" s="1">
        <f t="shared" si="138"/>
        <v>-13.534919994612608</v>
      </c>
    </row>
    <row r="594" spans="49:73">
      <c r="AW594" s="1">
        <v>584</v>
      </c>
      <c r="AX594" s="1">
        <f t="shared" si="139"/>
        <v>292</v>
      </c>
      <c r="AZ594" s="1">
        <f t="shared" si="140"/>
        <v>112557.80715736758</v>
      </c>
      <c r="BA594" s="1">
        <f t="shared" si="141"/>
        <v>48431.781943480681</v>
      </c>
      <c r="BC594" s="1">
        <f t="shared" si="142"/>
        <v>-2009.2665276071266</v>
      </c>
      <c r="BD594" s="1">
        <f t="shared" si="143"/>
        <v>440.49435204520807</v>
      </c>
      <c r="BF594" s="1">
        <f t="shared" si="131"/>
        <v>-80.706261737239515</v>
      </c>
      <c r="BG594" s="1">
        <f t="shared" si="132"/>
        <v>-36.809850511562217</v>
      </c>
      <c r="BJ594" s="1">
        <f t="shared" si="133"/>
        <v>-46.076799089634186</v>
      </c>
      <c r="BK594" s="1">
        <f t="shared" si="134"/>
        <v>-20.376514428262901</v>
      </c>
      <c r="BO594" s="1">
        <f t="shared" si="135"/>
        <v>-9.0205028432134764</v>
      </c>
      <c r="BP594" s="1">
        <f t="shared" si="136"/>
        <v>-2.6152665446507402</v>
      </c>
      <c r="BT594" s="1">
        <f t="shared" si="137"/>
        <v>-25.608959804391844</v>
      </c>
      <c r="BU594" s="1">
        <f t="shared" si="138"/>
        <v>-13.818069538648579</v>
      </c>
    </row>
    <row r="595" spans="49:73">
      <c r="AW595" s="1">
        <v>585</v>
      </c>
      <c r="AX595" s="1">
        <f t="shared" si="139"/>
        <v>292.5</v>
      </c>
      <c r="AZ595" s="1">
        <f t="shared" si="140"/>
        <v>111543.08561084686</v>
      </c>
      <c r="BA595" s="1">
        <f t="shared" si="141"/>
        <v>48647.427888189341</v>
      </c>
      <c r="BC595" s="1">
        <f t="shared" si="142"/>
        <v>-2049.6196584757463</v>
      </c>
      <c r="BD595" s="1">
        <f t="shared" si="143"/>
        <v>422.08942678942697</v>
      </c>
      <c r="BF595" s="1">
        <f t="shared" si="131"/>
        <v>-81.684337890266931</v>
      </c>
      <c r="BG595" s="1">
        <f t="shared" si="132"/>
        <v>-37.791704926603728</v>
      </c>
      <c r="BJ595" s="1">
        <f t="shared" si="133"/>
        <v>-46.712677772744804</v>
      </c>
      <c r="BK595" s="1">
        <f t="shared" si="134"/>
        <v>-20.996741887084621</v>
      </c>
      <c r="BO595" s="1">
        <f t="shared" si="135"/>
        <v>-9.1311363933725378</v>
      </c>
      <c r="BP595" s="1">
        <f t="shared" si="136"/>
        <v>-2.6827326853505649</v>
      </c>
      <c r="BT595" s="1">
        <f t="shared" si="137"/>
        <v>-25.840523724149584</v>
      </c>
      <c r="BU595" s="1">
        <f t="shared" si="138"/>
        <v>-14.112230354168545</v>
      </c>
    </row>
    <row r="596" spans="49:73">
      <c r="AW596" s="1">
        <v>586</v>
      </c>
      <c r="AX596" s="1">
        <f t="shared" si="139"/>
        <v>293</v>
      </c>
      <c r="AZ596" s="1">
        <f t="shared" si="140"/>
        <v>110508.06523937271</v>
      </c>
      <c r="BA596" s="1">
        <f t="shared" si="141"/>
        <v>48853.748638468234</v>
      </c>
      <c r="BC596" s="1">
        <f t="shared" si="142"/>
        <v>-2090.4618274208797</v>
      </c>
      <c r="BD596" s="1">
        <f t="shared" si="143"/>
        <v>403.19357432612509</v>
      </c>
      <c r="BF596" s="1">
        <f t="shared" si="131"/>
        <v>-82.704751130960716</v>
      </c>
      <c r="BG596" s="1">
        <f t="shared" si="132"/>
        <v>-38.817597411598157</v>
      </c>
      <c r="BJ596" s="1">
        <f t="shared" si="133"/>
        <v>-47.376818481724563</v>
      </c>
      <c r="BK596" s="1">
        <f t="shared" si="134"/>
        <v>-21.6467895717572</v>
      </c>
      <c r="BO596" s="1">
        <f t="shared" si="135"/>
        <v>-9.2464932728908575</v>
      </c>
      <c r="BP596" s="1">
        <f t="shared" si="136"/>
        <v>-2.7527871534471586</v>
      </c>
      <c r="BT596" s="1">
        <f t="shared" si="137"/>
        <v>-26.081439376345291</v>
      </c>
      <c r="BU596" s="1">
        <f t="shared" si="138"/>
        <v>-14.418020686393797</v>
      </c>
    </row>
    <row r="597" spans="49:73">
      <c r="AW597" s="1">
        <v>587</v>
      </c>
      <c r="AX597" s="1">
        <f t="shared" si="139"/>
        <v>293.5</v>
      </c>
      <c r="AZ597" s="1">
        <f t="shared" si="140"/>
        <v>109452.49623177089</v>
      </c>
      <c r="BA597" s="1">
        <f t="shared" si="141"/>
        <v>49050.493225954851</v>
      </c>
      <c r="BC597" s="1">
        <f t="shared" si="142"/>
        <v>-2131.8142029863602</v>
      </c>
      <c r="BD597" s="1">
        <f t="shared" si="143"/>
        <v>383.784775620326</v>
      </c>
      <c r="BF597" s="1">
        <f t="shared" si="131"/>
        <v>-83.769638567392747</v>
      </c>
      <c r="BG597" s="1">
        <f t="shared" si="132"/>
        <v>-39.890434564902677</v>
      </c>
      <c r="BJ597" s="1">
        <f t="shared" si="133"/>
        <v>-48.07071709356503</v>
      </c>
      <c r="BK597" s="1">
        <f t="shared" si="134"/>
        <v>-22.328745301727665</v>
      </c>
      <c r="BO597" s="1">
        <f t="shared" si="135"/>
        <v>-9.3668230250760569</v>
      </c>
      <c r="BP597" s="1">
        <f t="shared" si="136"/>
        <v>-2.8255852126216405</v>
      </c>
      <c r="BT597" s="1">
        <f t="shared" si="137"/>
        <v>-26.332098448751655</v>
      </c>
      <c r="BU597" s="1">
        <f t="shared" si="138"/>
        <v>-14.736104050553376</v>
      </c>
    </row>
    <row r="598" spans="49:73">
      <c r="AW598" s="1">
        <v>588</v>
      </c>
      <c r="AX598" s="1">
        <f t="shared" si="139"/>
        <v>294</v>
      </c>
      <c r="AZ598" s="1">
        <f t="shared" si="140"/>
        <v>108376.11792545678</v>
      </c>
      <c r="BA598" s="1">
        <f t="shared" si="141"/>
        <v>49237.399309444401</v>
      </c>
      <c r="BC598" s="1">
        <f t="shared" si="142"/>
        <v>-2173.6990222700565</v>
      </c>
      <c r="BD598" s="1">
        <f t="shared" si="143"/>
        <v>363.83955833787468</v>
      </c>
      <c r="BF598" s="1">
        <f t="shared" si="131"/>
        <v>-84.881291315267802</v>
      </c>
      <c r="BG598" s="1">
        <f t="shared" si="132"/>
        <v>-41.013370021664599</v>
      </c>
      <c r="BJ598" s="1">
        <f t="shared" si="133"/>
        <v>-48.795979165758816</v>
      </c>
      <c r="BK598" s="1">
        <f t="shared" si="134"/>
        <v>-23.044882655452742</v>
      </c>
      <c r="BO598" s="1">
        <f t="shared" si="135"/>
        <v>-9.4923941347470144</v>
      </c>
      <c r="BP598" s="1">
        <f t="shared" si="136"/>
        <v>-2.9012939874375108</v>
      </c>
      <c r="BT598" s="1">
        <f t="shared" si="137"/>
        <v>-26.59291801476197</v>
      </c>
      <c r="BU598" s="1">
        <f t="shared" si="138"/>
        <v>-15.067193378774348</v>
      </c>
    </row>
    <row r="599" spans="49:73">
      <c r="AW599" s="1">
        <v>589</v>
      </c>
      <c r="AX599" s="1">
        <f t="shared" si="139"/>
        <v>294.5</v>
      </c>
      <c r="AZ599" s="1">
        <f t="shared" si="140"/>
        <v>107278.65825290733</v>
      </c>
      <c r="BA599" s="1">
        <f t="shared" si="141"/>
        <v>49414.192417360631</v>
      </c>
      <c r="BC599" s="1">
        <f t="shared" si="142"/>
        <v>-2216.1396679276904</v>
      </c>
      <c r="BD599" s="1">
        <f t="shared" si="143"/>
        <v>343.33287332704236</v>
      </c>
      <c r="BF599" s="1">
        <f t="shared" si="131"/>
        <v>-86.042167796070288</v>
      </c>
      <c r="BG599" s="1">
        <f t="shared" si="132"/>
        <v>-42.189830621943258</v>
      </c>
      <c r="BJ599" s="1">
        <f t="shared" si="133"/>
        <v>-49.554329487108717</v>
      </c>
      <c r="BK599" s="1">
        <f t="shared" si="134"/>
        <v>-23.79768138984624</v>
      </c>
      <c r="BO599" s="1">
        <f t="shared" si="135"/>
        <v>-9.6234958176433381</v>
      </c>
      <c r="BP599" s="1">
        <f t="shared" si="136"/>
        <v>-2.9800936079210723</v>
      </c>
      <c r="BT599" s="1">
        <f t="shared" si="137"/>
        <v>-26.864342491318229</v>
      </c>
      <c r="BU599" s="1">
        <f t="shared" si="138"/>
        <v>-15.412055624175949</v>
      </c>
    </row>
    <row r="600" spans="49:73">
      <c r="AW600" s="1">
        <v>590</v>
      </c>
      <c r="AX600" s="1">
        <f t="shared" si="139"/>
        <v>295</v>
      </c>
      <c r="AZ600" s="1">
        <f t="shared" si="140"/>
        <v>106159.83314796898</v>
      </c>
      <c r="BA600" s="1">
        <f t="shared" si="141"/>
        <v>49580.585125196412</v>
      </c>
      <c r="BC600" s="1">
        <f t="shared" si="142"/>
        <v>-2259.1607518257256</v>
      </c>
      <c r="BD600" s="1">
        <f t="shared" si="143"/>
        <v>322.23795801607071</v>
      </c>
      <c r="BF600" s="1">
        <f t="shared" si="131"/>
        <v>-87.254908397465698</v>
      </c>
      <c r="BG600" s="1">
        <f t="shared" si="132"/>
        <v>-43.423545894923294</v>
      </c>
      <c r="BJ600" s="1">
        <f t="shared" si="133"/>
        <v>-50.347622596077329</v>
      </c>
      <c r="BK600" s="1">
        <f t="shared" si="134"/>
        <v>-24.589850526601641</v>
      </c>
      <c r="BO600" s="1">
        <f t="shared" si="135"/>
        <v>-9.7604400172894827</v>
      </c>
      <c r="BP600" s="1">
        <f t="shared" si="136"/>
        <v>-3.0621784867977153</v>
      </c>
      <c r="BT600" s="1">
        <f t="shared" si="137"/>
        <v>-27.146845784098883</v>
      </c>
      <c r="BU600" s="1">
        <f t="shared" si="138"/>
        <v>-15.77151688152394</v>
      </c>
    </row>
    <row r="601" spans="49:73">
      <c r="AW601" s="1">
        <v>591</v>
      </c>
      <c r="AX601" s="1">
        <f t="shared" si="139"/>
        <v>295.5</v>
      </c>
      <c r="AZ601" s="1">
        <f t="shared" si="140"/>
        <v>105019.34590850644</v>
      </c>
      <c r="BA601" s="1">
        <f t="shared" si="141"/>
        <v>49736.276160967587</v>
      </c>
      <c r="BC601" s="1">
        <f t="shared" si="142"/>
        <v>-2302.7882060244583</v>
      </c>
      <c r="BD601" s="1">
        <f t="shared" si="143"/>
        <v>300.52618506860904</v>
      </c>
      <c r="BF601" s="1">
        <f t="shared" si="131"/>
        <v>-88.522351652421975</v>
      </c>
      <c r="BG601" s="1">
        <f t="shared" si="132"/>
        <v>-44.718581351000246</v>
      </c>
      <c r="BJ601" s="1">
        <f t="shared" si="133"/>
        <v>-51.17785437368601</v>
      </c>
      <c r="BK601" s="1">
        <f t="shared" si="134"/>
        <v>-25.424354510783346</v>
      </c>
      <c r="BO601" s="1">
        <f t="shared" si="135"/>
        <v>-9.9035636378116898</v>
      </c>
      <c r="BP601" s="1">
        <f t="shared" si="136"/>
        <v>-3.1477587474965816</v>
      </c>
      <c r="BT601" s="1">
        <f t="shared" si="137"/>
        <v>-27.440933640924268</v>
      </c>
      <c r="BU601" s="1">
        <f t="shared" si="138"/>
        <v>-16.146468092720319</v>
      </c>
    </row>
    <row r="602" spans="49:73">
      <c r="AW602" s="1">
        <v>592</v>
      </c>
      <c r="AX602" s="1">
        <f t="shared" si="139"/>
        <v>296</v>
      </c>
      <c r="AZ602" s="1">
        <f t="shared" si="140"/>
        <v>103856.88651153767</v>
      </c>
      <c r="BA602" s="1">
        <f t="shared" si="141"/>
        <v>49880.949430833018</v>
      </c>
      <c r="BC602" s="1">
        <f t="shared" si="142"/>
        <v>-2347.0493818506693</v>
      </c>
      <c r="BD602" s="1">
        <f t="shared" si="143"/>
        <v>278.16689439310892</v>
      </c>
      <c r="BF602" s="1">
        <f t="shared" si="131"/>
        <v>-89.847552112714695</v>
      </c>
      <c r="BG602" s="1">
        <f t="shared" si="132"/>
        <v>-46.079376157247268</v>
      </c>
      <c r="BJ602" s="1">
        <f t="shared" si="133"/>
        <v>-52.047174829909601</v>
      </c>
      <c r="BK602" s="1">
        <f t="shared" si="134"/>
        <v>-26.304442917525112</v>
      </c>
      <c r="BO602" s="1">
        <f t="shared" si="135"/>
        <v>-10.053231045762026</v>
      </c>
      <c r="BP602" s="1">
        <f t="shared" si="136"/>
        <v>-3.2370618238911386</v>
      </c>
      <c r="BT602" s="1">
        <f t="shared" si="137"/>
        <v>-27.747146237043065</v>
      </c>
      <c r="BU602" s="1">
        <f t="shared" si="138"/>
        <v>-16.537871415831017</v>
      </c>
    </row>
    <row r="603" spans="49:73">
      <c r="AW603" s="1">
        <v>593</v>
      </c>
      <c r="AX603" s="1">
        <f t="shared" si="139"/>
        <v>296.5</v>
      </c>
      <c r="AZ603" s="1">
        <f t="shared" si="140"/>
        <v>102672.13087659824</v>
      </c>
      <c r="BA603" s="1">
        <f t="shared" si="141"/>
        <v>50014.272956009918</v>
      </c>
      <c r="BC603" s="1">
        <f t="shared" si="142"/>
        <v>-2391.9731579070267</v>
      </c>
      <c r="BD603" s="1">
        <f t="shared" si="143"/>
        <v>255.12720631448528</v>
      </c>
      <c r="BF603" s="1">
        <f t="shared" si="131"/>
        <v>-91.233800113963127</v>
      </c>
      <c r="BG603" s="1">
        <f t="shared" si="132"/>
        <v>-47.510785871641403</v>
      </c>
      <c r="BJ603" s="1">
        <f t="shared" si="133"/>
        <v>-52.957902215474725</v>
      </c>
      <c r="BK603" s="1">
        <f t="shared" si="134"/>
        <v>-27.233684266915283</v>
      </c>
      <c r="BO603" s="1">
        <f t="shared" si="135"/>
        <v>-10.209836879395109</v>
      </c>
      <c r="BP603" s="1">
        <f t="shared" si="136"/>
        <v>-3.3303342561108802</v>
      </c>
      <c r="BT603" s="1">
        <f t="shared" si="137"/>
        <v>-28.066061019093297</v>
      </c>
      <c r="BU603" s="1">
        <f t="shared" si="138"/>
        <v>-16.946767348615236</v>
      </c>
    </row>
    <row r="604" spans="49:73">
      <c r="AW604" s="1">
        <v>594</v>
      </c>
      <c r="AX604" s="1">
        <f t="shared" si="139"/>
        <v>297</v>
      </c>
      <c r="AZ604" s="1">
        <f t="shared" si="140"/>
        <v>101464.74007263048</v>
      </c>
      <c r="BA604" s="1">
        <f t="shared" si="141"/>
        <v>50135.897710933205</v>
      </c>
      <c r="BC604" s="1">
        <f t="shared" si="142"/>
        <v>-2437.5900579640083</v>
      </c>
      <c r="BD604" s="1">
        <f t="shared" si="143"/>
        <v>231.37181337866457</v>
      </c>
      <c r="BF604" s="1">
        <f t="shared" si="131"/>
        <v>-92.684643653299531</v>
      </c>
      <c r="BG604" s="1">
        <f t="shared" si="132"/>
        <v>-49.018131030917374</v>
      </c>
      <c r="BJ604" s="1">
        <f t="shared" si="133"/>
        <v>-53.912538604942576</v>
      </c>
      <c r="BK604" s="1">
        <f t="shared" si="134"/>
        <v>-28.216004608223475</v>
      </c>
      <c r="BO604" s="1">
        <f t="shared" si="135"/>
        <v>-10.373809210243177</v>
      </c>
      <c r="BP604" s="1">
        <f t="shared" si="136"/>
        <v>-3.4278437107434718</v>
      </c>
      <c r="BT604" s="1">
        <f t="shared" si="137"/>
        <v>-28.398295838113782</v>
      </c>
      <c r="BU604" s="1">
        <f t="shared" si="138"/>
        <v>-17.374282711950425</v>
      </c>
    </row>
    <row r="605" spans="49:73">
      <c r="AW605" s="1">
        <v>595</v>
      </c>
      <c r="AX605" s="1">
        <f t="shared" si="139"/>
        <v>297.5</v>
      </c>
      <c r="AZ605" s="1">
        <f t="shared" si="140"/>
        <v>100234.35946319181</v>
      </c>
      <c r="BA605" s="1">
        <f t="shared" si="141"/>
        <v>50245.456351243673</v>
      </c>
      <c r="BC605" s="1">
        <f t="shared" si="142"/>
        <v>-2483.9323797906582</v>
      </c>
      <c r="BD605" s="1">
        <f t="shared" si="143"/>
        <v>206.86274786320587</v>
      </c>
      <c r="BF605" s="1">
        <f t="shared" si="131"/>
        <v>-94.203912627319255</v>
      </c>
      <c r="BG605" s="1">
        <f t="shared" si="132"/>
        <v>-50.607252530325269</v>
      </c>
      <c r="BJ605" s="1">
        <f t="shared" si="133"/>
        <v>-54.913787111751979</v>
      </c>
      <c r="BK605" s="1">
        <f t="shared" si="134"/>
        <v>-29.255731656257961</v>
      </c>
      <c r="BO605" s="1">
        <f t="shared" si="135"/>
        <v>-10.545613109452045</v>
      </c>
      <c r="BP605" s="1">
        <f t="shared" si="136"/>
        <v>-3.5298812584724071</v>
      </c>
      <c r="BT605" s="1">
        <f t="shared" si="137"/>
        <v>-28.744512406115231</v>
      </c>
      <c r="BU605" s="1">
        <f t="shared" si="138"/>
        <v>-17.821639615594904</v>
      </c>
    </row>
    <row r="606" spans="49:73">
      <c r="AW606" s="1">
        <v>596</v>
      </c>
      <c r="AX606" s="1">
        <f t="shared" si="139"/>
        <v>298</v>
      </c>
      <c r="AZ606" s="1">
        <f t="shared" si="140"/>
        <v>98980.617784218062</v>
      </c>
      <c r="BA606" s="1">
        <f t="shared" si="141"/>
        <v>50342.561818608985</v>
      </c>
      <c r="BC606" s="1">
        <f t="shared" si="142"/>
        <v>-2531.0343361043178</v>
      </c>
      <c r="BD606" s="1">
        <f t="shared" si="143"/>
        <v>181.55912159804325</v>
      </c>
      <c r="BF606" s="1">
        <f t="shared" si="131"/>
        <v>-95.795745707214508</v>
      </c>
      <c r="BG606" s="1">
        <f t="shared" si="132"/>
        <v>-52.284574906271004</v>
      </c>
      <c r="BJ606" s="1">
        <f t="shared" si="133"/>
        <v>-55.964570911263642</v>
      </c>
      <c r="BK606" s="1">
        <f t="shared" si="134"/>
        <v>-30.357645409515161</v>
      </c>
      <c r="BO606" s="1">
        <f t="shared" si="135"/>
        <v>-10.725754680449546</v>
      </c>
      <c r="BP606" s="1">
        <f t="shared" si="136"/>
        <v>-3.6367639478223128</v>
      </c>
      <c r="BT606" s="1">
        <f t="shared" si="137"/>
        <v>-29.105420115501317</v>
      </c>
      <c r="BU606" s="1">
        <f t="shared" si="138"/>
        <v>-18.29016554893353</v>
      </c>
    </row>
    <row r="607" spans="49:73">
      <c r="AW607" s="1">
        <v>597</v>
      </c>
      <c r="AX607" s="1">
        <f t="shared" si="139"/>
        <v>298.5</v>
      </c>
      <c r="AZ607" s="1">
        <f t="shared" si="140"/>
        <v>97703.126147952498</v>
      </c>
      <c r="BA607" s="1">
        <f t="shared" si="141"/>
        <v>50426.805807544719</v>
      </c>
      <c r="BC607" s="1">
        <f t="shared" si="142"/>
        <v>-2578.932208957925</v>
      </c>
      <c r="BD607" s="1">
        <f t="shared" si="143"/>
        <v>155.41683414490774</v>
      </c>
      <c r="BF607" s="1">
        <f t="shared" si="131"/>
        <v>-97.464620159883992</v>
      </c>
      <c r="BG607" s="1">
        <f t="shared" si="132"/>
        <v>-54.057178841478823</v>
      </c>
      <c r="BJ607" s="1">
        <f t="shared" si="133"/>
        <v>-57.06805426330758</v>
      </c>
      <c r="BK607" s="1">
        <f t="shared" si="134"/>
        <v>-31.527036357725493</v>
      </c>
      <c r="BO607" s="1">
        <f t="shared" si="135"/>
        <v>-10.914785630429526</v>
      </c>
      <c r="BP607" s="1">
        <f t="shared" si="136"/>
        <v>-3.7488377203992362</v>
      </c>
      <c r="BT607" s="1">
        <f t="shared" si="137"/>
        <v>-29.481780266146892</v>
      </c>
      <c r="BU607" s="1">
        <f t="shared" si="138"/>
        <v>-18.781304763354093</v>
      </c>
    </row>
    <row r="608" spans="49:73">
      <c r="AW608" s="1">
        <v>598</v>
      </c>
      <c r="AX608" s="1">
        <f t="shared" si="139"/>
        <v>299</v>
      </c>
      <c r="AZ608" s="1">
        <f t="shared" si="140"/>
        <v>96401.476965953538</v>
      </c>
      <c r="BA608" s="1">
        <f t="shared" si="141"/>
        <v>50497.757077261987</v>
      </c>
      <c r="BC608" s="1">
        <f t="shared" si="142"/>
        <v>-2627.6645190378672</v>
      </c>
      <c r="BD608" s="1">
        <f t="shared" si="143"/>
        <v>128.38824472416832</v>
      </c>
      <c r="BF608" s="1">
        <f t="shared" si="131"/>
        <v>-99.215384958176799</v>
      </c>
      <c r="BG608" s="1">
        <f t="shared" si="132"/>
        <v>-55.932884465336713</v>
      </c>
      <c r="BJ608" s="1">
        <f t="shared" si="133"/>
        <v>-58.227665740541489</v>
      </c>
      <c r="BK608" s="1">
        <f t="shared" si="134"/>
        <v>-32.769772602740488</v>
      </c>
      <c r="BO608" s="1">
        <f t="shared" si="135"/>
        <v>-11.113308466276784</v>
      </c>
      <c r="BP608" s="1">
        <f t="shared" si="136"/>
        <v>-3.8664807210616083</v>
      </c>
      <c r="BT608" s="1">
        <f t="shared" si="137"/>
        <v>-29.874410751358532</v>
      </c>
      <c r="BU608" s="1">
        <f t="shared" si="138"/>
        <v>-19.296631141534622</v>
      </c>
    </row>
    <row r="609" spans="49:73">
      <c r="AW609" s="1">
        <v>599</v>
      </c>
      <c r="AX609" s="1">
        <f t="shared" si="139"/>
        <v>299.5</v>
      </c>
      <c r="AZ609" s="1">
        <f t="shared" si="140"/>
        <v>95075.242783314825</v>
      </c>
      <c r="BA609" s="1">
        <f t="shared" si="141"/>
        <v>50554.959589065904</v>
      </c>
      <c r="BC609" s="1">
        <f t="shared" si="142"/>
        <v>-2677.2722115169554</v>
      </c>
      <c r="BD609" s="1">
        <f t="shared" si="143"/>
        <v>100.42180249149996</v>
      </c>
      <c r="BF609" s="1">
        <f t="shared" si="131"/>
        <v>-101.05329755974358</v>
      </c>
      <c r="BG609" s="1">
        <f t="shared" si="132"/>
        <v>-57.920347329981716</v>
      </c>
      <c r="BJ609" s="1">
        <f t="shared" si="133"/>
        <v>-59.44712388191887</v>
      </c>
      <c r="BK609" s="1">
        <f t="shared" si="134"/>
        <v>-34.09237748067661</v>
      </c>
      <c r="BO609" s="1">
        <f t="shared" si="135"/>
        <v>-11.321982416430924</v>
      </c>
      <c r="BP609" s="1">
        <f t="shared" si="136"/>
        <v>-3.9901070661312255</v>
      </c>
      <c r="BT609" s="1">
        <f t="shared" si="137"/>
        <v>-30.284191261393783</v>
      </c>
      <c r="BU609" s="1">
        <f t="shared" si="138"/>
        <v>-19.837862783173883</v>
      </c>
    </row>
    <row r="610" spans="49:73">
      <c r="AW610" s="1">
        <v>600</v>
      </c>
      <c r="AX610" s="1">
        <f t="shared" si="139"/>
        <v>300</v>
      </c>
      <c r="AZ610" s="1">
        <f t="shared" si="140"/>
        <v>93723.975015361386</v>
      </c>
      <c r="BA610" s="1">
        <f t="shared" si="141"/>
        <v>50597.930446895407</v>
      </c>
      <c r="BC610" s="1">
        <f t="shared" si="142"/>
        <v>-2727.7988602968271</v>
      </c>
      <c r="BD610" s="1">
        <f t="shared" si="143"/>
        <v>71.461628826509099</v>
      </c>
      <c r="BF610" s="1">
        <f t="shared" si="131"/>
        <v>-102.98406477130783</v>
      </c>
      <c r="BG610" s="1">
        <f t="shared" si="132"/>
        <v>-60.029169318758179</v>
      </c>
      <c r="BJ610" s="1">
        <f t="shared" si="133"/>
        <v>-60.730465499968112</v>
      </c>
      <c r="BK610" s="1">
        <f t="shared" si="134"/>
        <v>-35.502119596506368</v>
      </c>
      <c r="BO610" s="1">
        <f t="shared" si="135"/>
        <v>-11.54153019943486</v>
      </c>
      <c r="BP610" s="1">
        <f t="shared" si="136"/>
        <v>-4.120171144423221</v>
      </c>
      <c r="BT610" s="1">
        <f t="shared" si="137"/>
        <v>-30.712069071904867</v>
      </c>
      <c r="BU610" s="1">
        <f t="shared" si="138"/>
        <v>-20.406878577828589</v>
      </c>
    </row>
    <row r="611" spans="49:73">
      <c r="AW611" s="1">
        <v>601</v>
      </c>
      <c r="AX611" s="1">
        <f t="shared" si="139"/>
        <v>300.5</v>
      </c>
      <c r="AZ611" s="1">
        <f t="shared" si="140"/>
        <v>92347.20257711655</v>
      </c>
      <c r="BA611" s="1">
        <f t="shared" si="141"/>
        <v>50626.15761514382</v>
      </c>
      <c r="BC611" s="1">
        <f t="shared" si="142"/>
        <v>-2779.2908926824812</v>
      </c>
      <c r="BD611" s="1">
        <f t="shared" si="143"/>
        <v>41.447044167130009</v>
      </c>
      <c r="BF611" s="1">
        <f t="shared" si="131"/>
        <v>-105.01388815200873</v>
      </c>
      <c r="BG611" s="1">
        <f t="shared" si="132"/>
        <v>-62.270027204826469</v>
      </c>
      <c r="BJ611" s="1">
        <f t="shared" si="133"/>
        <v>-62.082076873811218</v>
      </c>
      <c r="BK611" s="1">
        <f t="shared" si="134"/>
        <v>-37.007117579723925</v>
      </c>
      <c r="BO611" s="1">
        <f t="shared" si="135"/>
        <v>-11.772745783368638</v>
      </c>
      <c r="BP611" s="1">
        <f t="shared" si="136"/>
        <v>-4.2571725400092237</v>
      </c>
      <c r="BT611" s="1">
        <f t="shared" si="137"/>
        <v>-31.159065494828877</v>
      </c>
      <c r="BU611" s="1">
        <f t="shared" si="138"/>
        <v>-21.005737085093322</v>
      </c>
    </row>
    <row r="612" spans="49:73">
      <c r="AW612" s="1">
        <v>602</v>
      </c>
      <c r="AX612" s="1">
        <f t="shared" si="139"/>
        <v>301</v>
      </c>
      <c r="AZ612" s="1">
        <f t="shared" si="140"/>
        <v>90944.430394756317</v>
      </c>
      <c r="BA612" s="1">
        <f t="shared" si="141"/>
        <v>50639.097383826782</v>
      </c>
      <c r="BC612" s="1">
        <f t="shared" si="142"/>
        <v>-2831.7978367584856</v>
      </c>
      <c r="BD612" s="1">
        <f t="shared" si="143"/>
        <v>10.312030564716775</v>
      </c>
      <c r="BF612" s="1">
        <f t="shared" si="131"/>
        <v>-107.14951444315362</v>
      </c>
      <c r="BG612" s="1">
        <f t="shared" si="132"/>
        <v>-64.65482214534083</v>
      </c>
      <c r="BJ612" s="1">
        <f t="shared" si="133"/>
        <v>-63.5067280529668</v>
      </c>
      <c r="BK612" s="1">
        <f t="shared" si="134"/>
        <v>-38.61646236020286</v>
      </c>
      <c r="BO612" s="1">
        <f t="shared" si="135"/>
        <v>-12.016503309045417</v>
      </c>
      <c r="BP612" s="1">
        <f t="shared" si="136"/>
        <v>-4.4016616828063357</v>
      </c>
      <c r="BT612" s="1">
        <f t="shared" si="137"/>
        <v>-31.626283081141413</v>
      </c>
      <c r="BU612" s="1">
        <f t="shared" si="138"/>
        <v>-21.636698102331643</v>
      </c>
    </row>
    <row r="613" spans="49:73">
      <c r="AW613" s="1">
        <v>603</v>
      </c>
      <c r="AX613" s="1">
        <f t="shared" si="139"/>
        <v>301.5</v>
      </c>
      <c r="AZ613" s="1">
        <f t="shared" si="140"/>
        <v>89515.137787071682</v>
      </c>
      <c r="BA613" s="1">
        <f t="shared" si="141"/>
        <v>50636.171546340971</v>
      </c>
      <c r="BC613" s="1">
        <f t="shared" si="142"/>
        <v>-2885.3725939800624</v>
      </c>
      <c r="BD613" s="1">
        <f t="shared" si="143"/>
        <v>-22.01538050795364</v>
      </c>
      <c r="BF613" s="1">
        <f t="shared" si="131"/>
        <v>-109.39829153835657</v>
      </c>
      <c r="BG613" s="1">
        <f t="shared" si="132"/>
        <v>-67.196854098274684</v>
      </c>
      <c r="BJ613" s="1">
        <f t="shared" si="133"/>
        <v>-65.009610474395117</v>
      </c>
      <c r="BK613" s="1">
        <f t="shared" si="134"/>
        <v>-40.340360371203147</v>
      </c>
      <c r="BO613" s="1">
        <f t="shared" si="135"/>
        <v>-12.273767385094928</v>
      </c>
      <c r="BP613" s="1">
        <f t="shared" si="136"/>
        <v>-4.5542463540550004</v>
      </c>
      <c r="BT613" s="1">
        <f t="shared" si="137"/>
        <v>-32.114913678866529</v>
      </c>
      <c r="BU613" s="1">
        <f t="shared" si="138"/>
        <v>-22.302247373016542</v>
      </c>
    </row>
    <row r="614" spans="49:73">
      <c r="AW614" s="1">
        <v>604</v>
      </c>
      <c r="AX614" s="1">
        <f t="shared" si="139"/>
        <v>302</v>
      </c>
      <c r="AZ614" s="1">
        <f t="shared" si="140"/>
        <v>88058.776703639363</v>
      </c>
      <c r="BA614" s="1">
        <f t="shared" si="141"/>
        <v>50616.764249324704</v>
      </c>
      <c r="BC614" s="1">
        <f t="shared" si="142"/>
        <v>-2940.0717397492408</v>
      </c>
      <c r="BD614" s="1">
        <f t="shared" si="143"/>
        <v>-55.613807557090979</v>
      </c>
      <c r="BF614" s="1">
        <f t="shared" si="131"/>
        <v>-111.76823052134472</v>
      </c>
      <c r="BG614" s="1">
        <f t="shared" si="132"/>
        <v>-69.911026019862604</v>
      </c>
      <c r="BJ614" s="1">
        <f t="shared" si="133"/>
        <v>-66.596378048578515</v>
      </c>
      <c r="BK614" s="1">
        <f t="shared" si="134"/>
        <v>-42.190301842817533</v>
      </c>
      <c r="BO614" s="1">
        <f t="shared" si="135"/>
        <v>-12.545605006569794</v>
      </c>
      <c r="BP614" s="1">
        <f t="shared" si="136"/>
        <v>-4.7155991994478246</v>
      </c>
      <c r="BT614" s="1">
        <f t="shared" si="137"/>
        <v>-32.626247466196418</v>
      </c>
      <c r="BU614" s="1">
        <f t="shared" si="138"/>
        <v>-23.005124977597244</v>
      </c>
    </row>
    <row r="615" spans="49:73">
      <c r="AW615" s="1">
        <v>605</v>
      </c>
      <c r="AX615" s="1">
        <f t="shared" si="139"/>
        <v>302.5</v>
      </c>
      <c r="AZ615" s="1">
        <f t="shared" si="140"/>
        <v>86574.769804949581</v>
      </c>
      <c r="BA615" s="1">
        <f t="shared" si="141"/>
        <v>50580.218467293678</v>
      </c>
      <c r="BC615" s="1">
        <f t="shared" si="142"/>
        <v>-2995.9558550099132</v>
      </c>
      <c r="BD615" s="1">
        <f t="shared" si="143"/>
        <v>-90.569320567022288</v>
      </c>
      <c r="BF615" s="1">
        <f t="shared" si="131"/>
        <v>-114.26807428937252</v>
      </c>
      <c r="BG615" s="1">
        <f t="shared" si="132"/>
        <v>-72.814083786286432</v>
      </c>
      <c r="BJ615" s="1">
        <f t="shared" si="133"/>
        <v>-68.273191787658021</v>
      </c>
      <c r="BK615" s="1">
        <f t="shared" si="134"/>
        <v>-44.17925929430821</v>
      </c>
      <c r="BO615" s="1">
        <f t="shared" si="135"/>
        <v>-12.833199402693246</v>
      </c>
      <c r="BP615" s="1">
        <f t="shared" si="136"/>
        <v>-4.886466434304686</v>
      </c>
      <c r="BT615" s="1">
        <f t="shared" si="137"/>
        <v>-33.161683099021239</v>
      </c>
      <c r="BU615" s="1">
        <f t="shared" si="138"/>
        <v>-23.748358057673538</v>
      </c>
    </row>
    <row r="616" spans="49:73">
      <c r="AW616" s="1">
        <v>606</v>
      </c>
      <c r="AX616" s="1">
        <f t="shared" si="139"/>
        <v>303</v>
      </c>
      <c r="AZ616" s="1">
        <f t="shared" si="140"/>
        <v>85062.508368158451</v>
      </c>
      <c r="BA616" s="1">
        <f t="shared" si="141"/>
        <v>50525.832046536882</v>
      </c>
      <c r="BC616" s="1">
        <f t="shared" si="142"/>
        <v>-3053.0898921545995</v>
      </c>
      <c r="BD616" s="1">
        <f t="shared" si="143"/>
        <v>-126.9763624601655</v>
      </c>
      <c r="BF616" s="1">
        <f t="shared" si="131"/>
        <v>-116.90737323401984</v>
      </c>
      <c r="BG616" s="1">
        <f t="shared" si="132"/>
        <v>-75.924899142586156</v>
      </c>
      <c r="BJ616" s="1">
        <f t="shared" si="133"/>
        <v>-70.046767912131756</v>
      </c>
      <c r="BK616" s="1">
        <f t="shared" si="134"/>
        <v>-46.321922520052915</v>
      </c>
      <c r="BO616" s="1">
        <f t="shared" si="135"/>
        <v>-13.137866186690088</v>
      </c>
      <c r="BP616" s="1">
        <f t="shared" si="136"/>
        <v>-5.0676779643026419</v>
      </c>
      <c r="BT616" s="1">
        <f t="shared" si="137"/>
        <v>-33.72273913519799</v>
      </c>
      <c r="BU616" s="1">
        <f t="shared" si="138"/>
        <v>-24.535298658230598</v>
      </c>
    </row>
    <row r="617" spans="49:73">
      <c r="AW617" s="1">
        <v>607</v>
      </c>
      <c r="AX617" s="1">
        <f t="shared" si="139"/>
        <v>303.5</v>
      </c>
      <c r="AZ617" s="1">
        <f t="shared" si="140"/>
        <v>83521.350000426901</v>
      </c>
      <c r="BA617" s="1">
        <f t="shared" si="141"/>
        <v>50452.853252913977</v>
      </c>
      <c r="BC617" s="1">
        <f t="shared" si="142"/>
        <v>-3111.5435787716096</v>
      </c>
      <c r="BD617" s="1">
        <f t="shared" si="143"/>
        <v>-164.93881203145858</v>
      </c>
      <c r="BF617" s="1">
        <f t="shared" si="131"/>
        <v>-119.69656834702545</v>
      </c>
      <c r="BG617" s="1">
        <f t="shared" si="132"/>
        <v>-79.264804691584885</v>
      </c>
      <c r="BJ617" s="1">
        <f t="shared" si="133"/>
        <v>-71.92442915671235</v>
      </c>
      <c r="BK617" s="1">
        <f t="shared" si="134"/>
        <v>-48.634977859367133</v>
      </c>
      <c r="BO617" s="1">
        <f t="shared" si="135"/>
        <v>-13.461072265052154</v>
      </c>
      <c r="BP617" s="1">
        <f t="shared" si="136"/>
        <v>-5.2601591938549834</v>
      </c>
      <c r="BT617" s="1">
        <f t="shared" si="137"/>
        <v>-34.311066925260945</v>
      </c>
      <c r="BU617" s="1">
        <f t="shared" si="138"/>
        <v>-25.369667638362777</v>
      </c>
    </row>
    <row r="618" spans="49:73">
      <c r="AW618" s="1">
        <v>608</v>
      </c>
      <c r="AX618" s="1">
        <f t="shared" si="139"/>
        <v>304</v>
      </c>
      <c r="AZ618" s="1">
        <f t="shared" si="140"/>
        <v>81950.616139997714</v>
      </c>
      <c r="BA618" s="1">
        <f t="shared" si="141"/>
        <v>50360.4757463118</v>
      </c>
      <c r="BC618" s="1">
        <f t="shared" si="142"/>
        <v>-3171.3918629451223</v>
      </c>
      <c r="BD618" s="1">
        <f t="shared" si="143"/>
        <v>-204.57121437725101</v>
      </c>
      <c r="BF618" s="1">
        <f t="shared" si="131"/>
        <v>-122.64708192503367</v>
      </c>
      <c r="BG618" s="1">
        <f t="shared" si="132"/>
        <v>-82.857992096171202</v>
      </c>
      <c r="BJ618" s="1">
        <f t="shared" si="133"/>
        <v>-73.914158663119338</v>
      </c>
      <c r="BK618" s="1">
        <f t="shared" si="134"/>
        <v>-51.137441434489425</v>
      </c>
      <c r="BO618" s="1">
        <f t="shared" si="135"/>
        <v>-13.804458070029666</v>
      </c>
      <c r="BP618" s="1">
        <f t="shared" si="136"/>
        <v>-5.4649448548827868</v>
      </c>
      <c r="BT618" s="1">
        <f t="shared" si="137"/>
        <v>-34.928465191884669</v>
      </c>
      <c r="BU618" s="1">
        <f t="shared" si="138"/>
        <v>-26.255605806798989</v>
      </c>
    </row>
    <row r="619" spans="49:73">
      <c r="AW619" s="1">
        <v>609</v>
      </c>
      <c r="AX619" s="1">
        <f t="shared" si="139"/>
        <v>304.5</v>
      </c>
      <c r="AZ619" s="1">
        <f t="shared" si="140"/>
        <v>80349.589323284512</v>
      </c>
      <c r="BA619" s="1">
        <f t="shared" si="141"/>
        <v>50247.832890111153</v>
      </c>
      <c r="BC619" s="1">
        <f t="shared" si="142"/>
        <v>-3232.715403907639</v>
      </c>
      <c r="BD619" s="1">
        <f t="shared" si="143"/>
        <v>-246.0002104253366</v>
      </c>
      <c r="BF619" s="1">
        <f t="shared" si="131"/>
        <v>-125.77141571652264</v>
      </c>
      <c r="BG619" s="1">
        <f t="shared" si="132"/>
        <v>-86.731987411355391</v>
      </c>
      <c r="BJ619" s="1">
        <f t="shared" si="133"/>
        <v>-76.02465534296546</v>
      </c>
      <c r="BK619" s="1">
        <f t="shared" si="134"/>
        <v>-53.851058450790283</v>
      </c>
      <c r="BO619" s="1">
        <f t="shared" si="135"/>
        <v>-14.16986381415208</v>
      </c>
      <c r="BP619" s="1">
        <f t="shared" si="136"/>
        <v>-5.6831952648090756</v>
      </c>
      <c r="BT619" s="1">
        <f t="shared" si="137"/>
        <v>-35.5768965594051</v>
      </c>
      <c r="BU619" s="1">
        <f t="shared" si="138"/>
        <v>-27.197733695756035</v>
      </c>
    </row>
    <row r="620" spans="49:73">
      <c r="AW620" s="1">
        <v>610</v>
      </c>
      <c r="AX620" s="1">
        <f t="shared" si="139"/>
        <v>305</v>
      </c>
      <c r="AZ620" s="1">
        <f t="shared" si="140"/>
        <v>78717.510194366128</v>
      </c>
      <c r="BA620" s="1">
        <f t="shared" si="141"/>
        <v>50113.991286472068</v>
      </c>
      <c r="BC620" s="1">
        <f t="shared" si="142"/>
        <v>-3295.6011117659004</v>
      </c>
      <c r="BD620" s="1">
        <f t="shared" si="143"/>
        <v>-289.36620413101429</v>
      </c>
      <c r="BF620" s="1">
        <f t="shared" si="131"/>
        <v>-129.08325581606124</v>
      </c>
      <c r="BG620" s="1">
        <f t="shared" si="132"/>
        <v>-90.918220961784641</v>
      </c>
      <c r="BJ620" s="1">
        <f t="shared" si="133"/>
        <v>-78.265388836689553</v>
      </c>
      <c r="BK620" s="1">
        <f t="shared" si="134"/>
        <v>-56.800783733487485</v>
      </c>
      <c r="BO620" s="1">
        <f t="shared" si="135"/>
        <v>-14.559360637913498</v>
      </c>
      <c r="BP620" s="1">
        <f t="shared" si="136"/>
        <v>-5.916215518563571</v>
      </c>
      <c r="BT620" s="1">
        <f t="shared" si="137"/>
        <v>-36.258506341458194</v>
      </c>
      <c r="BU620" s="1">
        <f t="shared" si="138"/>
        <v>-28.201221709733584</v>
      </c>
    </row>
    <row r="621" spans="49:73">
      <c r="AW621" s="1">
        <v>611</v>
      </c>
      <c r="AX621" s="1">
        <f t="shared" si="139"/>
        <v>305.5</v>
      </c>
      <c r="AZ621" s="1">
        <f t="shared" si="140"/>
        <v>77053.57423150618</v>
      </c>
      <c r="BA621" s="1">
        <f t="shared" si="141"/>
        <v>49957.94340678634</v>
      </c>
      <c r="BC621" s="1">
        <f t="shared" si="142"/>
        <v>-3360.1427396739309</v>
      </c>
      <c r="BD621" s="1">
        <f t="shared" si="143"/>
        <v>-334.82531461190661</v>
      </c>
      <c r="BF621" s="1">
        <f t="shared" si="131"/>
        <v>-132.59758275980266</v>
      </c>
      <c r="BG621" s="1">
        <f t="shared" si="132"/>
        <v>-95.45271366595334</v>
      </c>
      <c r="BJ621" s="1">
        <f t="shared" si="133"/>
        <v>-80.646651065565408</v>
      </c>
      <c r="BK621" s="1">
        <f t="shared" si="134"/>
        <v>-60.015362630826495</v>
      </c>
      <c r="BO621" s="1">
        <f t="shared" si="135"/>
        <v>-14.975287743174428</v>
      </c>
      <c r="BP621" s="1">
        <f t="shared" si="136"/>
        <v>-6.1654782410667179</v>
      </c>
      <c r="BT621" s="1">
        <f t="shared" si="137"/>
        <v>-36.975643951062807</v>
      </c>
      <c r="BU621" s="1">
        <f t="shared" si="138"/>
        <v>-29.271872794060133</v>
      </c>
    </row>
    <row r="622" spans="49:73">
      <c r="AW622" s="1">
        <v>612</v>
      </c>
      <c r="AX622" s="1">
        <f t="shared" si="139"/>
        <v>306</v>
      </c>
      <c r="AZ622" s="1">
        <f t="shared" si="140"/>
        <v>75356.928163824239</v>
      </c>
      <c r="BA622" s="1">
        <f t="shared" si="141"/>
        <v>49778.599160272141</v>
      </c>
      <c r="BC622" s="1">
        <f t="shared" si="142"/>
        <v>-3426.4415310538325</v>
      </c>
      <c r="BD622" s="1">
        <f t="shared" si="143"/>
        <v>-382.55167144488325</v>
      </c>
      <c r="BF622" s="1">
        <f t="shared" si="131"/>
        <v>-136.33078395287248</v>
      </c>
      <c r="BG622" s="1">
        <f t="shared" si="132"/>
        <v>-100.37690748579887</v>
      </c>
      <c r="BJ622" s="1">
        <f t="shared" si="133"/>
        <v>-83.179599696210673</v>
      </c>
      <c r="BK622" s="1">
        <f t="shared" si="134"/>
        <v>-63.528036517137522</v>
      </c>
      <c r="BO622" s="1">
        <f t="shared" si="135"/>
        <v>-15.420296891273754</v>
      </c>
      <c r="BP622" s="1">
        <f t="shared" si="136"/>
        <v>-6.4326506818313725</v>
      </c>
      <c r="BT622" s="1">
        <f t="shared" si="137"/>
        <v>-37.73088736538805</v>
      </c>
      <c r="BU622" s="1">
        <f t="shared" si="138"/>
        <v>-30.416220286829965</v>
      </c>
    </row>
    <row r="623" spans="49:73">
      <c r="AW623" s="1">
        <v>613</v>
      </c>
      <c r="AX623" s="1">
        <f t="shared" si="139"/>
        <v>306.5</v>
      </c>
      <c r="AZ623" s="1">
        <f t="shared" si="140"/>
        <v>73626.666050303218</v>
      </c>
      <c r="BA623" s="1">
        <f t="shared" si="141"/>
        <v>49574.776211113975</v>
      </c>
      <c r="BC623" s="1">
        <f t="shared" si="142"/>
        <v>-3494.6069230302687</v>
      </c>
      <c r="BD623" s="1">
        <f t="shared" si="143"/>
        <v>-432.74012518778267</v>
      </c>
      <c r="BF623" s="1">
        <f t="shared" si="131"/>
        <v>-140.30076352464192</v>
      </c>
      <c r="BG623" s="1">
        <f t="shared" si="132"/>
        <v>-105.73867515730996</v>
      </c>
      <c r="BJ623" s="1">
        <f t="shared" si="133"/>
        <v>-85.876286346795936</v>
      </c>
      <c r="BK623" s="1">
        <f t="shared" si="134"/>
        <v>-67.377403743385457</v>
      </c>
      <c r="BO623" s="1">
        <f t="shared" si="135"/>
        <v>-15.897406018124883</v>
      </c>
      <c r="BP623" s="1">
        <f t="shared" si="136"/>
        <v>-6.7196271323651526</v>
      </c>
      <c r="BT623" s="1">
        <f t="shared" si="137"/>
        <v>-38.527071159721103</v>
      </c>
      <c r="BU623" s="1">
        <f t="shared" si="138"/>
        <v>-31.641644281559351</v>
      </c>
    </row>
    <row r="624" spans="49:73">
      <c r="AW624" s="1">
        <v>614</v>
      </c>
      <c r="AX624" s="1">
        <f t="shared" si="139"/>
        <v>307</v>
      </c>
      <c r="AZ624" s="1">
        <f t="shared" si="140"/>
        <v>71861.824993347502</v>
      </c>
      <c r="BA624" s="1">
        <f t="shared" si="141"/>
        <v>49345.188814125417</v>
      </c>
      <c r="BC624" s="1">
        <f t="shared" si="142"/>
        <v>-3564.7573047925898</v>
      </c>
      <c r="BD624" s="1">
        <f t="shared" si="143"/>
        <v>-485.60946276643767</v>
      </c>
      <c r="BF624" s="1">
        <f t="shared" si="131"/>
        <v>-144.52704159879957</v>
      </c>
      <c r="BG624" s="1">
        <f t="shared" si="132"/>
        <v>-111.59355407880332</v>
      </c>
      <c r="BJ624" s="1">
        <f t="shared" si="133"/>
        <v>-88.749658664884763</v>
      </c>
      <c r="BK624" s="1">
        <f t="shared" si="134"/>
        <v>-71.60847549228474</v>
      </c>
      <c r="BO624" s="1">
        <f t="shared" si="135"/>
        <v>-16.410064208766062</v>
      </c>
      <c r="BP624" s="1">
        <f t="shared" si="136"/>
        <v>-7.0285679039424682</v>
      </c>
      <c r="BT624" s="1">
        <f t="shared" si="137"/>
        <v>-39.367318725148749</v>
      </c>
      <c r="BU624" s="1">
        <f t="shared" si="138"/>
        <v>-32.956510682576102</v>
      </c>
    </row>
    <row r="625" spans="49:73">
      <c r="AW625" s="1">
        <v>615</v>
      </c>
      <c r="AX625" s="1">
        <f t="shared" si="139"/>
        <v>307.5</v>
      </c>
      <c r="AZ625" s="1">
        <f t="shared" si="140"/>
        <v>70061.380460751359</v>
      </c>
      <c r="BA625" s="1">
        <f t="shared" si="141"/>
        <v>49088.434888482348</v>
      </c>
      <c r="BC625" s="1">
        <f t="shared" si="142"/>
        <v>-3637.0208255919897</v>
      </c>
      <c r="BD625" s="1">
        <f t="shared" si="143"/>
        <v>-541.40623980583928</v>
      </c>
      <c r="BF625" s="1">
        <f t="shared" si="131"/>
        <v>-149.03083022827349</v>
      </c>
      <c r="BG625" s="1">
        <f t="shared" si="132"/>
        <v>-118.00626192732065</v>
      </c>
      <c r="BJ625" s="1">
        <f t="shared" si="133"/>
        <v>-91.813519899069959</v>
      </c>
      <c r="BK625" s="1">
        <f t="shared" si="134"/>
        <v>-76.273977246762101</v>
      </c>
      <c r="BO625" s="1">
        <f t="shared" si="135"/>
        <v>-16.962230922777778</v>
      </c>
      <c r="BP625" s="1">
        <f t="shared" si="136"/>
        <v>-7.3619464369341685</v>
      </c>
      <c r="BT625" s="1">
        <f t="shared" si="137"/>
        <v>-40.25507940642575</v>
      </c>
      <c r="BU625" s="1">
        <f t="shared" si="138"/>
        <v>-34.370338243624396</v>
      </c>
    </row>
    <row r="626" spans="49:73">
      <c r="AW626" s="1">
        <v>616</v>
      </c>
      <c r="AX626" s="1">
        <f t="shared" si="139"/>
        <v>308</v>
      </c>
      <c r="AZ626" s="1">
        <f t="shared" si="140"/>
        <v>68224.241194176837</v>
      </c>
      <c r="BA626" s="1">
        <f t="shared" si="141"/>
        <v>48802.980985838512</v>
      </c>
      <c r="BC626" s="1">
        <f t="shared" si="142"/>
        <v>-3711.5362407061266</v>
      </c>
      <c r="BD626" s="1">
        <f t="shared" si="143"/>
        <v>-600.40937076949956</v>
      </c>
      <c r="BF626" s="1">
        <f t="shared" si="131"/>
        <v>-153.83506603179421</v>
      </c>
      <c r="BG626" s="1">
        <f t="shared" si="132"/>
        <v>-125.05256821500269</v>
      </c>
      <c r="BJ626" s="1">
        <f t="shared" si="133"/>
        <v>-95.08242135752235</v>
      </c>
      <c r="BK626" s="1">
        <f t="shared" si="134"/>
        <v>-81.43596133745794</v>
      </c>
      <c r="BO626" s="1">
        <f t="shared" si="135"/>
        <v>-17.558473228500358</v>
      </c>
      <c r="BP626" s="1">
        <f t="shared" si="136"/>
        <v>-7.7226065489903455</v>
      </c>
      <c r="BT626" s="1">
        <f t="shared" si="137"/>
        <v>-41.194171445771495</v>
      </c>
      <c r="BU626" s="1">
        <f t="shared" si="138"/>
        <v>-35.894000328554412</v>
      </c>
    </row>
    <row r="627" spans="49:73">
      <c r="AW627" s="1">
        <v>617</v>
      </c>
      <c r="AX627" s="1">
        <f t="shared" si="139"/>
        <v>308.5</v>
      </c>
      <c r="AZ627" s="1">
        <f t="shared" si="140"/>
        <v>66349.243690569798</v>
      </c>
      <c r="BA627" s="1">
        <f t="shared" si="141"/>
        <v>48487.144729426887</v>
      </c>
      <c r="BC627" s="1">
        <f t="shared" si="142"/>
        <v>-3788.4537737220235</v>
      </c>
      <c r="BD627" s="1">
        <f t="shared" si="143"/>
        <v>-662.93565487700096</v>
      </c>
      <c r="BF627" s="1">
        <f t="shared" si="131"/>
        <v>-158.96436856798692</v>
      </c>
      <c r="BG627" s="1">
        <f t="shared" si="132"/>
        <v>-132.82161788619894</v>
      </c>
      <c r="BJ627" s="1">
        <f t="shared" si="133"/>
        <v>-98.571450794825381</v>
      </c>
      <c r="BK627" s="1">
        <f t="shared" si="134"/>
        <v>-87.167815442457766</v>
      </c>
      <c r="BO627" s="1">
        <f t="shared" si="135"/>
        <v>-18.20408597154174</v>
      </c>
      <c r="BP627" s="1">
        <f t="shared" si="136"/>
        <v>-8.1138324032613589</v>
      </c>
      <c r="BT627" s="1">
        <f t="shared" si="137"/>
        <v>-42.188831801619806</v>
      </c>
      <c r="BU627" s="1">
        <f t="shared" si="138"/>
        <v>-37.539970040479822</v>
      </c>
    </row>
    <row r="628" spans="49:73">
      <c r="AW628" s="1">
        <v>618</v>
      </c>
      <c r="AX628" s="1">
        <f t="shared" si="139"/>
        <v>309</v>
      </c>
      <c r="AZ628" s="1">
        <f t="shared" si="140"/>
        <v>64435.146257637789</v>
      </c>
      <c r="BA628" s="1">
        <f t="shared" si="141"/>
        <v>48139.074199752613</v>
      </c>
      <c r="BC628" s="1">
        <f t="shared" si="142"/>
        <v>-3867.9359580060168</v>
      </c>
      <c r="BD628" s="1">
        <f t="shared" si="143"/>
        <v>-729.34646382010044</v>
      </c>
      <c r="BF628" s="1">
        <f t="shared" si="131"/>
        <v>-164.44487665423574</v>
      </c>
      <c r="BG628" s="1">
        <f t="shared" si="132"/>
        <v>-141.41883191491704</v>
      </c>
      <c r="BJ628" s="1">
        <f t="shared" si="133"/>
        <v>-102.29586112567073</v>
      </c>
      <c r="BK628" s="1">
        <f t="shared" si="134"/>
        <v>-93.556777477674089</v>
      </c>
      <c r="BO628" s="1">
        <f t="shared" si="135"/>
        <v>-18.905241391418457</v>
      </c>
      <c r="BP628" s="1">
        <f t="shared" si="136"/>
        <v>-8.5394345382130545</v>
      </c>
      <c r="BT628" s="1">
        <f t="shared" si="137"/>
        <v>-43.243774137146552</v>
      </c>
      <c r="BU628" s="1">
        <f t="shared" si="138"/>
        <v>-39.322619899029895</v>
      </c>
    </row>
    <row r="629" spans="49:73">
      <c r="AW629" s="1">
        <v>619</v>
      </c>
      <c r="AX629" s="1">
        <f t="shared" si="139"/>
        <v>309.5</v>
      </c>
      <c r="AZ629" s="1">
        <f t="shared" si="140"/>
        <v>62480.622669053002</v>
      </c>
      <c r="BA629" s="1">
        <f t="shared" si="141"/>
        <v>47756.723613853203</v>
      </c>
      <c r="BC629" s="1">
        <f t="shared" si="142"/>
        <v>-3950.1583963331345</v>
      </c>
      <c r="BD629" s="1">
        <f t="shared" si="143"/>
        <v>-800.05587977755897</v>
      </c>
      <c r="BF629" s="1">
        <f t="shared" si="131"/>
        <v>-170.30388898102018</v>
      </c>
      <c r="BG629" s="1">
        <f t="shared" si="132"/>
        <v>-150.96954794358038</v>
      </c>
      <c r="BJ629" s="1">
        <f t="shared" si="133"/>
        <v>-106.27045554552205</v>
      </c>
      <c r="BK629" s="1">
        <f t="shared" si="134"/>
        <v>-100.7071009891514</v>
      </c>
      <c r="BO629" s="1">
        <f t="shared" si="135"/>
        <v>-19.66917688308131</v>
      </c>
      <c r="BP629" s="1">
        <f t="shared" si="136"/>
        <v>-9.0038563150316016</v>
      </c>
      <c r="BT629" s="1">
        <f t="shared" si="137"/>
        <v>-44.364256552416819</v>
      </c>
      <c r="BU629" s="1">
        <f t="shared" si="138"/>
        <v>-41.258590639397397</v>
      </c>
    </row>
    <row r="630" spans="49:73">
      <c r="AW630" s="1">
        <v>620</v>
      </c>
      <c r="AX630" s="1">
        <f t="shared" si="139"/>
        <v>310</v>
      </c>
      <c r="AZ630" s="1">
        <f t="shared" si="140"/>
        <v>60484.255484763809</v>
      </c>
      <c r="BA630" s="1">
        <f t="shared" si="141"/>
        <v>47337.824480471478</v>
      </c>
      <c r="BC630" s="1">
        <f t="shared" si="142"/>
        <v>-4035.3103408236448</v>
      </c>
      <c r="BD630" s="1">
        <f t="shared" si="143"/>
        <v>-875.54065374934919</v>
      </c>
      <c r="BF630" s="1">
        <f t="shared" si="131"/>
        <v>-176.56919542777217</v>
      </c>
      <c r="BG630" s="1">
        <f t="shared" si="132"/>
        <v>-161.62361418625116</v>
      </c>
      <c r="BJ630" s="1">
        <f t="shared" si="133"/>
        <v>-110.5086018154351</v>
      </c>
      <c r="BK630" s="1">
        <f t="shared" si="134"/>
        <v>-108.74405938778992</v>
      </c>
      <c r="BO630" s="1">
        <f t="shared" si="135"/>
        <v>-20.504432632684221</v>
      </c>
      <c r="BP630" s="1">
        <f t="shared" si="136"/>
        <v>-9.5123065014342636</v>
      </c>
      <c r="BT630" s="1">
        <f t="shared" si="137"/>
        <v>-45.556160979652844</v>
      </c>
      <c r="BU630" s="1">
        <f t="shared" si="138"/>
        <v>-43.367248297026968</v>
      </c>
    </row>
    <row r="631" spans="49:73">
      <c r="AW631" s="1">
        <v>621</v>
      </c>
      <c r="AX631" s="1">
        <f t="shared" si="139"/>
        <v>310.5</v>
      </c>
      <c r="AZ631" s="1">
        <f t="shared" si="140"/>
        <v>58444.529164923515</v>
      </c>
      <c r="BA631" s="1">
        <f t="shared" si="141"/>
        <v>46879.85120182352</v>
      </c>
      <c r="BC631" s="1">
        <f t="shared" si="142"/>
        <v>-4123.5949385375307</v>
      </c>
      <c r="BD631" s="1">
        <f t="shared" si="143"/>
        <v>-956.35246084247478</v>
      </c>
      <c r="BF631" s="1">
        <f t="shared" si="131"/>
        <v>-183.26792338572838</v>
      </c>
      <c r="BG631" s="1">
        <f t="shared" si="132"/>
        <v>-173.56121562602141</v>
      </c>
      <c r="BJ631" s="1">
        <f t="shared" si="133"/>
        <v>-115.02068167690545</v>
      </c>
      <c r="BK631" s="1">
        <f t="shared" si="134"/>
        <v>-117.81903506056001</v>
      </c>
      <c r="BO631" s="1">
        <f t="shared" si="135"/>
        <v>-21.42115511856046</v>
      </c>
      <c r="BP631" s="1">
        <f t="shared" si="136"/>
        <v>-10.070925554065825</v>
      </c>
      <c r="BT631" s="1">
        <f t="shared" si="137"/>
        <v>-46.826086590262463</v>
      </c>
      <c r="BU631" s="1">
        <f t="shared" si="138"/>
        <v>-45.671255011395559</v>
      </c>
    </row>
    <row r="632" spans="49:73">
      <c r="AW632" s="1">
        <v>622</v>
      </c>
      <c r="AX632" s="1">
        <f t="shared" si="139"/>
        <v>311</v>
      </c>
      <c r="AZ632" s="1">
        <f t="shared" si="140"/>
        <v>56359.823205231536</v>
      </c>
      <c r="BA632" s="1">
        <f t="shared" si="141"/>
        <v>46379.979819449029</v>
      </c>
      <c r="BC632" s="1">
        <f t="shared" si="142"/>
        <v>-4215.2289002303951</v>
      </c>
      <c r="BD632" s="1">
        <f t="shared" si="143"/>
        <v>-1043.1330686554854</v>
      </c>
      <c r="BF632" s="1">
        <f t="shared" si="131"/>
        <v>-190.42462616817141</v>
      </c>
      <c r="BG632" s="1">
        <f t="shared" si="132"/>
        <v>-187.00029692738747</v>
      </c>
      <c r="BJ632" s="1">
        <f t="shared" si="133"/>
        <v>-119.81167754205494</v>
      </c>
      <c r="BK632" s="1">
        <f t="shared" si="134"/>
        <v>-128.11601361964784</v>
      </c>
      <c r="BO632" s="1">
        <f t="shared" si="135"/>
        <v>-22.431488530509831</v>
      </c>
      <c r="BP632" s="1">
        <f t="shared" si="136"/>
        <v>-10.686995671360336</v>
      </c>
      <c r="BT632" s="1">
        <f t="shared" si="137"/>
        <v>-48.181460095606653</v>
      </c>
      <c r="BU632" s="1">
        <f t="shared" si="138"/>
        <v>-48.197287636379293</v>
      </c>
    </row>
    <row r="633" spans="49:73">
      <c r="AW633" s="1">
        <v>623</v>
      </c>
      <c r="AX633" s="1">
        <f t="shared" si="139"/>
        <v>311.5</v>
      </c>
      <c r="AZ633" s="1">
        <f t="shared" si="140"/>
        <v>54228.405676845323</v>
      </c>
      <c r="BA633" s="1">
        <f t="shared" si="141"/>
        <v>45835.038248005359</v>
      </c>
      <c r="BC633" s="1">
        <f t="shared" si="142"/>
        <v>-4310.4412133144806</v>
      </c>
      <c r="BD633" s="1">
        <f t="shared" si="143"/>
        <v>-1136.6332171191791</v>
      </c>
      <c r="BF633" s="1">
        <f t="shared" si="131"/>
        <v>-198.05818723301081</v>
      </c>
      <c r="BG633" s="1">
        <f t="shared" si="132"/>
        <v>-202.20605507628835</v>
      </c>
      <c r="BJ633" s="1">
        <f t="shared" si="133"/>
        <v>-124.87743585068456</v>
      </c>
      <c r="BK633" s="1">
        <f t="shared" si="134"/>
        <v>-139.85989662636374</v>
      </c>
      <c r="BO633" s="1">
        <f t="shared" si="135"/>
        <v>-23.550084896262099</v>
      </c>
      <c r="BP633" s="1">
        <f t="shared" si="136"/>
        <v>-11.369208126001501</v>
      </c>
      <c r="BT633" s="1">
        <f t="shared" si="137"/>
        <v>-49.630666486064143</v>
      </c>
      <c r="BU633" s="1">
        <f t="shared" si="138"/>
        <v>-50.976950323923113</v>
      </c>
    </row>
    <row r="634" spans="49:73">
      <c r="AW634" s="1">
        <v>624</v>
      </c>
      <c r="AX634" s="1">
        <f t="shared" si="139"/>
        <v>312</v>
      </c>
      <c r="AZ634" s="1">
        <f t="shared" si="140"/>
        <v>52048.427796783959</v>
      </c>
      <c r="BA634" s="1">
        <f t="shared" si="141"/>
        <v>45241.445882561238</v>
      </c>
      <c r="BC634" s="1">
        <f t="shared" si="142"/>
        <v>-4409.4703069309862</v>
      </c>
      <c r="BD634" s="1">
        <f t="shared" si="143"/>
        <v>-1237.7362446573234</v>
      </c>
      <c r="BF634" s="1">
        <f t="shared" si="131"/>
        <v>-206.17687020558367</v>
      </c>
      <c r="BG634" s="1">
        <f t="shared" si="132"/>
        <v>-219.50310770531405</v>
      </c>
      <c r="BJ634" s="1">
        <f t="shared" si="133"/>
        <v>-130.19888916479169</v>
      </c>
      <c r="BK634" s="1">
        <f t="shared" si="134"/>
        <v>-153.32715728026074</v>
      </c>
      <c r="BO634" s="1">
        <f t="shared" si="135"/>
        <v>-24.794776466985049</v>
      </c>
      <c r="BP634" s="1">
        <f t="shared" si="136"/>
        <v>-12.128006116886574</v>
      </c>
      <c r="BT634" s="1">
        <f t="shared" si="137"/>
        <v>-51.183204573806925</v>
      </c>
      <c r="BU634" s="1">
        <f t="shared" si="138"/>
        <v>-54.047944308166741</v>
      </c>
    </row>
    <row r="635" spans="49:73">
      <c r="AW635" s="1">
        <v>625</v>
      </c>
      <c r="AX635" s="1">
        <f t="shared" si="139"/>
        <v>312.5</v>
      </c>
      <c r="AZ635" s="1">
        <f t="shared" si="140"/>
        <v>49817.920534542769</v>
      </c>
      <c r="BA635" s="1">
        <f t="shared" si="141"/>
        <v>44595.13987176941</v>
      </c>
      <c r="BC635" s="1">
        <f t="shared" si="142"/>
        <v>-4512.5587420337779</v>
      </c>
      <c r="BD635" s="1">
        <f t="shared" si="143"/>
        <v>-1347.4877985099804</v>
      </c>
      <c r="BF635" s="1">
        <f t="shared" si="131"/>
        <v>-214.77045445647295</v>
      </c>
      <c r="BG635" s="1">
        <f t="shared" si="132"/>
        <v>-239.29109391545524</v>
      </c>
      <c r="BJ635" s="1">
        <f t="shared" si="133"/>
        <v>-135.73310890680759</v>
      </c>
      <c r="BK635" s="1">
        <f t="shared" si="134"/>
        <v>-168.85948348729633</v>
      </c>
      <c r="BO635" s="1">
        <f t="shared" si="135"/>
        <v>-26.187472834993343</v>
      </c>
      <c r="BP635" s="1">
        <f t="shared" si="136"/>
        <v>-12.97602791201048</v>
      </c>
      <c r="BT635" s="1">
        <f t="shared" si="137"/>
        <v>-52.84987271467201</v>
      </c>
      <c r="BU635" s="1">
        <f t="shared" si="138"/>
        <v>-57.455582516148411</v>
      </c>
    </row>
    <row r="636" spans="49:73">
      <c r="AW636" s="1">
        <v>626</v>
      </c>
      <c r="AX636" s="1">
        <f t="shared" si="139"/>
        <v>313</v>
      </c>
      <c r="AZ636" s="1">
        <f t="shared" si="140"/>
        <v>47534.794856718821</v>
      </c>
      <c r="BA636" s="1">
        <f t="shared" si="141"/>
        <v>43891.48458577499</v>
      </c>
      <c r="BC636" s="1">
        <f t="shared" si="142"/>
        <v>-4619.9439692620144</v>
      </c>
      <c r="BD636" s="1">
        <f t="shared" si="143"/>
        <v>-1467.1333454677081</v>
      </c>
      <c r="BF636" s="1">
        <f t="shared" si="131"/>
        <v>-223.79776719310291</v>
      </c>
      <c r="BG636" s="1">
        <f t="shared" si="132"/>
        <v>-262.06460735076399</v>
      </c>
      <c r="BJ636" s="1">
        <f t="shared" si="133"/>
        <v>-141.399402137545</v>
      </c>
      <c r="BK636" s="1">
        <f t="shared" si="134"/>
        <v>-186.8811512888627</v>
      </c>
      <c r="BO636" s="1">
        <f t="shared" si="135"/>
        <v>-27.755373745642068</v>
      </c>
      <c r="BP636" s="1">
        <f t="shared" si="136"/>
        <v>-13.928684072685348</v>
      </c>
      <c r="BT636" s="1">
        <f t="shared" si="137"/>
        <v>-54.642991309915843</v>
      </c>
      <c r="BU636" s="1">
        <f t="shared" si="138"/>
        <v>-61.254771989215939</v>
      </c>
    </row>
    <row r="637" spans="49:73">
      <c r="AW637" s="1">
        <v>627</v>
      </c>
      <c r="AX637" s="1">
        <f t="shared" si="139"/>
        <v>313.5</v>
      </c>
      <c r="AZ637" s="1">
        <f t="shared" si="140"/>
        <v>45196.848151188671</v>
      </c>
      <c r="BA637" s="1">
        <f t="shared" si="141"/>
        <v>43125.159837122294</v>
      </c>
      <c r="BC637" s="1">
        <f t="shared" si="142"/>
        <v>-4731.8428528585655</v>
      </c>
      <c r="BD637" s="1">
        <f t="shared" si="143"/>
        <v>-1598.1656491430901</v>
      </c>
      <c r="BF637" s="1">
        <f t="shared" si="131"/>
        <v>-233.16690525453325</v>
      </c>
      <c r="BG637" s="1">
        <f t="shared" si="132"/>
        <v>-288.43842485322182</v>
      </c>
      <c r="BJ637" s="1">
        <f t="shared" si="133"/>
        <v>-147.05760295189322</v>
      </c>
      <c r="BK637" s="1">
        <f t="shared" si="134"/>
        <v>-207.92087085614767</v>
      </c>
      <c r="BO637" s="1">
        <f t="shared" si="135"/>
        <v>-29.532632167453492</v>
      </c>
      <c r="BP637" s="1">
        <f t="shared" si="136"/>
        <v>-15.00491494142881</v>
      </c>
      <c r="BT637" s="1">
        <f t="shared" si="137"/>
        <v>-56.576670135186539</v>
      </c>
      <c r="BU637" s="1">
        <f t="shared" si="138"/>
        <v>-65.512639055645323</v>
      </c>
    </row>
    <row r="638" spans="49:73">
      <c r="AW638" s="1">
        <v>628</v>
      </c>
      <c r="AX638" s="1">
        <f t="shared" si="139"/>
        <v>314</v>
      </c>
      <c r="AZ638" s="1">
        <f t="shared" si="140"/>
        <v>42801.780861602572</v>
      </c>
      <c r="BA638" s="1">
        <f t="shared" si="141"/>
        <v>42290.022209444098</v>
      </c>
      <c r="BC638" s="1">
        <f t="shared" si="142"/>
        <v>-4848.426305485832</v>
      </c>
      <c r="BD638" s="1">
        <f t="shared" si="143"/>
        <v>-1742.3848615697011</v>
      </c>
      <c r="BF638" s="1">
        <f t="shared" si="131"/>
        <v>-242.70379088560452</v>
      </c>
      <c r="BG638" s="1">
        <f t="shared" si="132"/>
        <v>-319.17880348001211</v>
      </c>
      <c r="BJ638" s="1">
        <f t="shared" si="133"/>
        <v>-152.47399065150375</v>
      </c>
      <c r="BK638" s="1">
        <f t="shared" si="134"/>
        <v>-232.63856245812403</v>
      </c>
      <c r="BO638" s="1">
        <f t="shared" si="135"/>
        <v>-31.562670075558767</v>
      </c>
      <c r="BP638" s="1">
        <f t="shared" si="136"/>
        <v>-16.22819136252026</v>
      </c>
      <c r="BT638" s="1">
        <f t="shared" si="137"/>
        <v>-58.667130158542008</v>
      </c>
      <c r="BU638" s="1">
        <f t="shared" si="138"/>
        <v>-70.312049659367844</v>
      </c>
    </row>
    <row r="639" spans="49:73">
      <c r="AW639" s="1">
        <v>629</v>
      </c>
      <c r="AX639" s="1">
        <f t="shared" si="139"/>
        <v>314.5</v>
      </c>
      <c r="AZ639" s="1">
        <f t="shared" si="140"/>
        <v>40347.229734998953</v>
      </c>
      <c r="BA639" s="1">
        <f t="shared" si="141"/>
        <v>41378.932428224245</v>
      </c>
      <c r="BC639" s="1">
        <f t="shared" si="142"/>
        <v>-4969.7782009286339</v>
      </c>
      <c r="BD639" s="1">
        <f t="shared" si="143"/>
        <v>-1901.9742633097071</v>
      </c>
      <c r="BF639" s="1">
        <f t="shared" si="131"/>
        <v>-252.10204898362483</v>
      </c>
      <c r="BG639" s="1">
        <f t="shared" si="132"/>
        <v>-355.24077114961062</v>
      </c>
      <c r="BJ639" s="1">
        <f t="shared" si="133"/>
        <v>-157.26750086572355</v>
      </c>
      <c r="BK639" s="1">
        <f t="shared" si="134"/>
        <v>-261.85653302084859</v>
      </c>
      <c r="BO639" s="1">
        <f t="shared" si="135"/>
        <v>-33.901457027714294</v>
      </c>
      <c r="BP639" s="1">
        <f t="shared" si="136"/>
        <v>-17.627843630310654</v>
      </c>
      <c r="BT639" s="1">
        <f t="shared" si="137"/>
        <v>-60.933091090186991</v>
      </c>
      <c r="BU639" s="1">
        <f t="shared" si="138"/>
        <v>-75.756394498451385</v>
      </c>
    </row>
    <row r="640" spans="49:73">
      <c r="AW640" s="1">
        <v>630</v>
      </c>
      <c r="AX640" s="1">
        <f t="shared" si="139"/>
        <v>315</v>
      </c>
      <c r="AZ640" s="1">
        <f t="shared" si="140"/>
        <v>37830.827878411685</v>
      </c>
      <c r="BA640" s="1">
        <f t="shared" si="141"/>
        <v>40383.540200175688</v>
      </c>
      <c r="BC640" s="1">
        <f t="shared" si="142"/>
        <v>-5095.8292254204462</v>
      </c>
      <c r="BD640" s="1">
        <f t="shared" si="143"/>
        <v>-2079.5946488845125</v>
      </c>
      <c r="BF640" s="1">
        <f t="shared" si="131"/>
        <v>-260.84298662123194</v>
      </c>
      <c r="BG640" s="1">
        <f t="shared" si="132"/>
        <v>-397.80893417614095</v>
      </c>
      <c r="BJ640" s="1">
        <f t="shared" si="133"/>
        <v>-160.8245143272799</v>
      </c>
      <c r="BK640" s="1">
        <f t="shared" si="134"/>
        <v>-296.59191475106769</v>
      </c>
      <c r="BO640" s="1">
        <f t="shared" si="135"/>
        <v>-36.622235399835155</v>
      </c>
      <c r="BP640" s="1">
        <f t="shared" si="136"/>
        <v>-19.240830579680594</v>
      </c>
      <c r="BT640" s="1">
        <f t="shared" si="137"/>
        <v>-63.39623689411691</v>
      </c>
      <c r="BU640" s="1">
        <f t="shared" si="138"/>
        <v>-81.97618884539267</v>
      </c>
    </row>
    <row r="641" spans="49:73">
      <c r="AW641" s="1">
        <v>631</v>
      </c>
      <c r="AX641" s="1">
        <f t="shared" si="139"/>
        <v>315.5</v>
      </c>
      <c r="AZ641" s="1">
        <f t="shared" si="140"/>
        <v>35250.307892373807</v>
      </c>
      <c r="BA641" s="1">
        <f t="shared" si="141"/>
        <v>39294.016758961414</v>
      </c>
      <c r="BC641" s="1">
        <f t="shared" si="142"/>
        <v>-5226.2507187310621</v>
      </c>
      <c r="BD641" s="1">
        <f t="shared" si="143"/>
        <v>-2278.4991159725828</v>
      </c>
      <c r="BF641" s="1">
        <f t="shared" si="131"/>
        <v>-268.06806343899098</v>
      </c>
      <c r="BG641" s="1">
        <f t="shared" si="132"/>
        <v>-448.33342052756234</v>
      </c>
      <c r="BJ641" s="1">
        <f t="shared" si="133"/>
        <v>-162.16383094813335</v>
      </c>
      <c r="BK641" s="1">
        <f t="shared" si="134"/>
        <v>-338.08101418336668</v>
      </c>
      <c r="BO641" s="1">
        <f t="shared" si="135"/>
        <v>-39.822462022824183</v>
      </c>
      <c r="BP641" s="1">
        <f t="shared" si="136"/>
        <v>-21.11408812693216</v>
      </c>
      <c r="BT641" s="1">
        <f t="shared" si="137"/>
        <v>-66.08177046803344</v>
      </c>
      <c r="BU641" s="1">
        <f t="shared" si="138"/>
        <v>-89.138318217263503</v>
      </c>
    </row>
    <row r="642" spans="49:73">
      <c r="AW642" s="1">
        <v>632</v>
      </c>
      <c r="AX642" s="1">
        <f t="shared" si="139"/>
        <v>316</v>
      </c>
      <c r="AZ642" s="1">
        <f t="shared" si="140"/>
        <v>32603.674025078402</v>
      </c>
      <c r="BA642" s="1">
        <f t="shared" si="141"/>
        <v>38098.725523409179</v>
      </c>
      <c r="BC642" s="1">
        <f t="shared" si="142"/>
        <v>-5360.2847504505571</v>
      </c>
      <c r="BD642" s="1">
        <f t="shared" si="143"/>
        <v>-2502.665826236364</v>
      </c>
      <c r="BF642" s="1">
        <f t="shared" si="131"/>
        <v>-272.37741506728867</v>
      </c>
      <c r="BG642" s="1">
        <f t="shared" si="132"/>
        <v>-508.53906718314465</v>
      </c>
      <c r="BJ642" s="1">
        <f t="shared" si="133"/>
        <v>-159.72413821989238</v>
      </c>
      <c r="BK642" s="1">
        <f t="shared" si="134"/>
        <v>-387.77225237092358</v>
      </c>
      <c r="BO642" s="1">
        <f t="shared" si="135"/>
        <v>-43.634214681585775</v>
      </c>
      <c r="BP642" s="1">
        <f t="shared" si="136"/>
        <v>-23.307608156473481</v>
      </c>
      <c r="BT642" s="1">
        <f t="shared" si="137"/>
        <v>-69.019062165810496</v>
      </c>
      <c r="BU642" s="1">
        <f t="shared" si="138"/>
        <v>-97.459206655747636</v>
      </c>
    </row>
    <row r="643" spans="49:73">
      <c r="AW643" s="1">
        <v>633</v>
      </c>
      <c r="AX643" s="1">
        <f t="shared" si="139"/>
        <v>316.5</v>
      </c>
      <c r="AZ643" s="1">
        <f t="shared" si="140"/>
        <v>29889.484472969714</v>
      </c>
      <c r="BA643" s="1">
        <f t="shared" si="141"/>
        <v>36783.825226893103</v>
      </c>
      <c r="BC643" s="1">
        <f t="shared" si="142"/>
        <v>-5496.4734579842016</v>
      </c>
      <c r="BD643" s="1">
        <f t="shared" si="143"/>
        <v>-2756.9353598279363</v>
      </c>
      <c r="BF643" s="1">
        <f t="shared" si="131"/>
        <v>-271.51868763375847</v>
      </c>
      <c r="BG643" s="1">
        <f t="shared" si="132"/>
        <v>-580.35660424843616</v>
      </c>
      <c r="BJ643" s="1">
        <f t="shared" si="133"/>
        <v>-151.03618515953502</v>
      </c>
      <c r="BK643" s="1">
        <f t="shared" si="134"/>
        <v>-447.2343590039867</v>
      </c>
      <c r="BO643" s="1">
        <f t="shared" si="135"/>
        <v>-48.240126322491875</v>
      </c>
      <c r="BP643" s="1">
        <f t="shared" si="136"/>
        <v>-25.898345633234744</v>
      </c>
      <c r="BT643" s="1">
        <f t="shared" si="137"/>
        <v>-72.242376151731591</v>
      </c>
      <c r="BU643" s="1">
        <f t="shared" si="138"/>
        <v>-107.22389961121472</v>
      </c>
    </row>
    <row r="644" spans="49:73">
      <c r="AW644" s="1">
        <v>634</v>
      </c>
      <c r="AX644" s="1">
        <f t="shared" si="139"/>
        <v>317</v>
      </c>
      <c r="AZ644" s="1">
        <f t="shared" si="140"/>
        <v>27107.307908023391</v>
      </c>
      <c r="BA644" s="1">
        <f t="shared" si="141"/>
        <v>35332.812971448075</v>
      </c>
      <c r="BC644" s="1">
        <f t="shared" si="142"/>
        <v>-5632.2328018010812</v>
      </c>
      <c r="BD644" s="1">
        <f t="shared" si="143"/>
        <v>-3047.1136619521544</v>
      </c>
      <c r="BF644" s="1">
        <f t="shared" si="131"/>
        <v>-261.93053662233575</v>
      </c>
      <c r="BG644" s="1">
        <f t="shared" si="132"/>
        <v>-665.66436938678544</v>
      </c>
      <c r="BJ644" s="1">
        <f t="shared" si="133"/>
        <v>-132.24062389671045</v>
      </c>
      <c r="BK644" s="1">
        <f t="shared" si="134"/>
        <v>-517.86535771015531</v>
      </c>
      <c r="BO644" s="1">
        <f t="shared" si="135"/>
        <v>-53.898310733347813</v>
      </c>
      <c r="BP644" s="1">
        <f t="shared" si="136"/>
        <v>-28.984798451034731</v>
      </c>
      <c r="BT644" s="1">
        <f t="shared" si="137"/>
        <v>-75.791601992277492</v>
      </c>
      <c r="BU644" s="1">
        <f t="shared" si="138"/>
        <v>-118.81421322559532</v>
      </c>
    </row>
    <row r="645" spans="49:73">
      <c r="AW645" s="1">
        <v>635</v>
      </c>
      <c r="AX645" s="1">
        <f t="shared" si="139"/>
        <v>317.5</v>
      </c>
      <c r="AZ645" s="1">
        <f t="shared" si="140"/>
        <v>24258.45019004506</v>
      </c>
      <c r="BA645" s="1">
        <f t="shared" si="141"/>
        <v>33726.048094298647</v>
      </c>
      <c r="BC645" s="1">
        <f t="shared" si="142"/>
        <v>-5763.1980701122493</v>
      </c>
      <c r="BD645" s="1">
        <f t="shared" si="143"/>
        <v>-3379.9458466455471</v>
      </c>
      <c r="BF645" s="1">
        <f t="shared" si="131"/>
        <v>-238.14813339345199</v>
      </c>
      <c r="BG645" s="1">
        <f t="shared" si="132"/>
        <v>-765.61660027621019</v>
      </c>
      <c r="BJ645" s="1">
        <f t="shared" si="133"/>
        <v>-97.453205836134273</v>
      </c>
      <c r="BK645" s="1">
        <f t="shared" si="134"/>
        <v>-600.17432378961314</v>
      </c>
      <c r="BO645" s="1">
        <f t="shared" si="135"/>
        <v>-60.982157220687263</v>
      </c>
      <c r="BP645" s="1">
        <f t="shared" si="136"/>
        <v>-32.691284690252154</v>
      </c>
      <c r="BT645" s="1">
        <f t="shared" si="137"/>
        <v>-79.712770336630456</v>
      </c>
      <c r="BU645" s="1">
        <f t="shared" si="138"/>
        <v>-132.75099179634492</v>
      </c>
    </row>
    <row r="646" spans="49:73">
      <c r="AW646" s="1">
        <v>636</v>
      </c>
      <c r="AX646" s="1">
        <f t="shared" si="139"/>
        <v>318</v>
      </c>
      <c r="AZ646" s="1">
        <f t="shared" si="140"/>
        <v>21347.082638314751</v>
      </c>
      <c r="BA646" s="1">
        <f t="shared" si="141"/>
        <v>31940.373095941348</v>
      </c>
      <c r="BC646" s="1">
        <f t="shared" si="142"/>
        <v>-5882.2721368089751</v>
      </c>
      <c r="BD646" s="1">
        <f t="shared" si="143"/>
        <v>-3762.7541467836522</v>
      </c>
      <c r="BF646" s="1">
        <f t="shared" si="131"/>
        <v>-192.25674543047086</v>
      </c>
      <c r="BG646" s="1">
        <f t="shared" si="132"/>
        <v>-879.16319891201761</v>
      </c>
      <c r="BJ646" s="1">
        <f t="shared" si="133"/>
        <v>-38.15404683678473</v>
      </c>
      <c r="BK646" s="1">
        <f t="shared" si="134"/>
        <v>-692.23603161987899</v>
      </c>
      <c r="BO646" s="1">
        <f t="shared" si="135"/>
        <v>-70.044955993924475</v>
      </c>
      <c r="BP646" s="1">
        <f t="shared" si="136"/>
        <v>-37.168582882589909</v>
      </c>
      <c r="BT646" s="1">
        <f t="shared" si="137"/>
        <v>-84.057742599761667</v>
      </c>
      <c r="BU646" s="1">
        <f t="shared" si="138"/>
        <v>-149.75858440954875</v>
      </c>
    </row>
    <row r="647" spans="49:73">
      <c r="AW647" s="1">
        <v>637</v>
      </c>
      <c r="AX647" s="1">
        <f t="shared" si="139"/>
        <v>318.5</v>
      </c>
      <c r="AZ647" s="1">
        <f t="shared" si="140"/>
        <v>18381.914476731454</v>
      </c>
      <c r="BA647" s="1">
        <f t="shared" si="141"/>
        <v>29949.100622685521</v>
      </c>
      <c r="BC647" s="1">
        <f t="shared" si="142"/>
        <v>-5978.400509524211</v>
      </c>
      <c r="BD647" s="1">
        <f t="shared" si="143"/>
        <v>-4202.3357462396607</v>
      </c>
      <c r="BF647" s="1">
        <f t="shared" si="131"/>
        <v>-114.0961982988818</v>
      </c>
      <c r="BG647" s="1">
        <f t="shared" si="132"/>
        <v>-1000.2470601506724</v>
      </c>
      <c r="BJ647" s="1">
        <f t="shared" si="133"/>
        <v>56.711041259564958</v>
      </c>
      <c r="BK647" s="1">
        <f t="shared" si="134"/>
        <v>-786.80134847356362</v>
      </c>
      <c r="BO647" s="1">
        <f t="shared" si="135"/>
        <v>-81.925805604083649</v>
      </c>
      <c r="BP647" s="1">
        <f t="shared" si="136"/>
        <v>-42.581152135629907</v>
      </c>
      <c r="BT647" s="1">
        <f t="shared" si="137"/>
        <v>-88.881433954363118</v>
      </c>
      <c r="BU647" s="1">
        <f t="shared" si="138"/>
        <v>-170.86455954147877</v>
      </c>
    </row>
    <row r="648" spans="49:73">
      <c r="AW648" s="1">
        <v>638</v>
      </c>
      <c r="AX648" s="1">
        <f t="shared" si="139"/>
        <v>319</v>
      </c>
      <c r="AZ648" s="1">
        <f t="shared" si="140"/>
        <v>15378.452197181989</v>
      </c>
      <c r="BA648" s="1">
        <f t="shared" si="141"/>
        <v>27722.901867046858</v>
      </c>
      <c r="BC648" s="1">
        <f t="shared" si="142"/>
        <v>-6035.4486086736515</v>
      </c>
      <c r="BD648" s="1">
        <f t="shared" si="143"/>
        <v>-4702.4592763149967</v>
      </c>
      <c r="BF648" s="1">
        <f t="shared" si="131"/>
        <v>5.9867234809376271</v>
      </c>
      <c r="BG648" s="1">
        <f t="shared" si="132"/>
        <v>-1113.6303724798408</v>
      </c>
      <c r="BJ648" s="1">
        <f t="shared" si="133"/>
        <v>198.14064812607887</v>
      </c>
      <c r="BK648" s="1">
        <f t="shared" si="134"/>
        <v>-867.02097519871586</v>
      </c>
      <c r="BO648" s="1">
        <f t="shared" si="135"/>
        <v>-97.921763597126386</v>
      </c>
      <c r="BP648" s="1">
        <f t="shared" si="136"/>
        <v>-49.054090812324091</v>
      </c>
      <c r="BT648" s="1">
        <f t="shared" si="137"/>
        <v>-94.232161048014859</v>
      </c>
      <c r="BU648" s="1">
        <f t="shared" si="138"/>
        <v>-197.55530646880075</v>
      </c>
    </row>
    <row r="649" spans="49:73">
      <c r="AW649" s="1">
        <v>639</v>
      </c>
      <c r="AX649" s="1">
        <f t="shared" si="139"/>
        <v>319.5</v>
      </c>
      <c r="AZ649" s="1">
        <f t="shared" si="140"/>
        <v>12361.47623328028</v>
      </c>
      <c r="BA649" s="1">
        <f t="shared" si="141"/>
        <v>25232.468432329377</v>
      </c>
      <c r="BC649" s="1">
        <f t="shared" si="142"/>
        <v>-6032.4552469331829</v>
      </c>
      <c r="BD649" s="1">
        <f t="shared" si="143"/>
        <v>-5259.2744625549167</v>
      </c>
      <c r="BF649" s="1">
        <f t="shared" si="131"/>
        <v>168.8750985189219</v>
      </c>
      <c r="BG649" s="1">
        <f t="shared" si="132"/>
        <v>-1191.6979756370717</v>
      </c>
      <c r="BJ649" s="1">
        <f t="shared" si="133"/>
        <v>389.05329935755981</v>
      </c>
      <c r="BK649" s="1">
        <f t="shared" si="134"/>
        <v>-903.16866976433687</v>
      </c>
      <c r="BO649" s="1">
        <f t="shared" si="135"/>
        <v>-120.05496460311393</v>
      </c>
      <c r="BP649" s="1">
        <f t="shared" si="136"/>
        <v>-56.509580875692528</v>
      </c>
      <c r="BT649" s="1">
        <f t="shared" si="137"/>
        <v>-100.12323623552396</v>
      </c>
      <c r="BU649" s="1">
        <f t="shared" si="138"/>
        <v>-232.01972499704226</v>
      </c>
    </row>
    <row r="650" spans="49:73">
      <c r="AW650" s="1">
        <v>640</v>
      </c>
      <c r="AX650" s="1">
        <f t="shared" si="139"/>
        <v>320</v>
      </c>
      <c r="AZ650" s="1">
        <f t="shared" si="140"/>
        <v>9366.3579971285544</v>
      </c>
      <c r="BA650" s="1">
        <f t="shared" si="141"/>
        <v>22453.868954097285</v>
      </c>
      <c r="BC650" s="1">
        <f t="shared" si="142"/>
        <v>-5948.0176976737221</v>
      </c>
      <c r="BD650" s="1">
        <f t="shared" si="143"/>
        <v>-5855.1234503734522</v>
      </c>
      <c r="BF650" s="1">
        <f t="shared" si="131"/>
        <v>352.23821960749439</v>
      </c>
      <c r="BG650" s="1">
        <f t="shared" si="132"/>
        <v>-1199.7531909679697</v>
      </c>
      <c r="BJ650" s="1">
        <f t="shared" si="133"/>
        <v>610.12244155498581</v>
      </c>
      <c r="BK650" s="1">
        <f t="shared" si="134"/>
        <v>-858.00246373758205</v>
      </c>
      <c r="BO650" s="1">
        <f t="shared" si="135"/>
        <v>-151.43024948133248</v>
      </c>
      <c r="BP650" s="1">
        <f t="shared" si="136"/>
        <v>-64.219488263106228</v>
      </c>
      <c r="BT650" s="1">
        <f t="shared" si="137"/>
        <v>-106.45397246615897</v>
      </c>
      <c r="BU650" s="1">
        <f t="shared" si="138"/>
        <v>-277.53123896728141</v>
      </c>
    </row>
    <row r="651" spans="49:73">
      <c r="AW651" s="1">
        <v>641</v>
      </c>
      <c r="AX651" s="1">
        <f t="shared" si="139"/>
        <v>320.5</v>
      </c>
      <c r="AZ651" s="1">
        <f t="shared" si="140"/>
        <v>6436.3789257426306</v>
      </c>
      <c r="BA651" s="1">
        <f t="shared" si="141"/>
        <v>19376.338080039561</v>
      </c>
      <c r="BC651" s="1">
        <f t="shared" si="142"/>
        <v>-5771.898587869975</v>
      </c>
      <c r="BD651" s="1">
        <f t="shared" si="143"/>
        <v>-6455.0000458574368</v>
      </c>
      <c r="BF651" s="1">
        <f t="shared" ref="BF651:BF714" si="144">BJ651 + BO651 + BT651</f>
        <v>501.22858490335761</v>
      </c>
      <c r="BG651" s="1">
        <f t="shared" ref="BG651:BG714" si="145">BK651 + BP651 + BU651</f>
        <v>-1118.4307760028355</v>
      </c>
      <c r="BJ651" s="1">
        <f t="shared" ref="BJ651:BJ714" si="146">$M$22*($M$18 - AZ651)/ (SQRT(($M$18 - AZ651)^2 + ($N$18 - BA651)^2 )^2 + $M$23^2)^(3/2)</f>
        <v>810.51566224244038</v>
      </c>
      <c r="BK651" s="1">
        <f t="shared" ref="BK651:BK714" si="147">$M$22*($N$18 - BA651)/ (SQRT(($M$18 - AZ651)^2 + ($N$18 - BA651)^2 )^2 + $M$23^2)^(3/2)</f>
        <v>-709.68939424499627</v>
      </c>
      <c r="BO651" s="1">
        <f t="shared" ref="BO651:BO714" si="148">$M$30*($M$26 - AZ651)/ (SQRT(($M$26 - AZ651)^2 + ($N$26 - BA651)^2 )^2 + $M$31^2)^(3/2)</f>
        <v>-196.49107959721954</v>
      </c>
      <c r="BP651" s="1">
        <f t="shared" ref="BP651:BP714" si="149">$M$30*($N$26 - BA651)/ (SQRT(($M$26 - AZ651)^2 + ($N$26 - BA651)^2 )^2 + $M$31^2)^(3/2)</f>
        <v>-69.690588003392349</v>
      </c>
      <c r="BT651" s="1">
        <f t="shared" ref="BT651:BT714" si="150">$M$38*($M$34 - AZ651)/ (SQRT(($M$34 - AZ651)^2 + ($N$34 - BA651)^2 )^2 + $M$39^2)^(3/2)</f>
        <v>-112.79599774186315</v>
      </c>
      <c r="BU651" s="1">
        <f t="shared" ref="BU651:BU714" si="151">$M$38*($N$34 - BA651)/ (SQRT(($M$34 - AZ651)^2 + ($N$34 - BA651)^2 )^2 + $M$39^2)^(3/2)</f>
        <v>-339.05079375444683</v>
      </c>
    </row>
    <row r="652" spans="49:73">
      <c r="AW652" s="1">
        <v>642</v>
      </c>
      <c r="AX652" s="1">
        <f t="shared" ref="AX652:AX715" si="152">AX651+$M$5</f>
        <v>321</v>
      </c>
      <c r="AZ652" s="1">
        <f t="shared" ref="AZ652:AZ715" si="153">AZ651 + BC651 * $M$5 + 0.5 * BF651 * POWER($M$5, 2)</f>
        <v>3613.0832049205628</v>
      </c>
      <c r="BA652" s="1">
        <f t="shared" ref="BA652:BA715" si="154">BA651+BD651*$M$5+0.5*BG651* POWER($M$5, 2)</f>
        <v>16009.034210110489</v>
      </c>
      <c r="BC652" s="1">
        <f t="shared" ref="BC652:BC715" si="155">BC651 + BF651 * $M$5</f>
        <v>-5521.2842954182961</v>
      </c>
      <c r="BD652" s="1">
        <f t="shared" ref="BD652:BD715" si="156">BD651+BG651*$M$5</f>
        <v>-7014.2154338588543</v>
      </c>
      <c r="BF652" s="1">
        <f t="shared" si="144"/>
        <v>548.58167907072971</v>
      </c>
      <c r="BG652" s="1">
        <f t="shared" si="145"/>
        <v>-971.62255010505828</v>
      </c>
      <c r="BJ652" s="1">
        <f t="shared" si="146"/>
        <v>926.68993641667578</v>
      </c>
      <c r="BK652" s="1">
        <f t="shared" si="147"/>
        <v>-481.19096897485554</v>
      </c>
      <c r="BO652" s="1">
        <f t="shared" si="148"/>
        <v>-260.28370935298813</v>
      </c>
      <c r="BP652" s="1">
        <f t="shared" si="149"/>
        <v>-66.236742583054081</v>
      </c>
      <c r="BT652" s="1">
        <f t="shared" si="150"/>
        <v>-117.82454799295793</v>
      </c>
      <c r="BU652" s="1">
        <f t="shared" si="151"/>
        <v>-424.19483854714878</v>
      </c>
    </row>
    <row r="653" spans="49:73">
      <c r="AW653" s="1">
        <v>643</v>
      </c>
      <c r="AX653" s="1">
        <f t="shared" si="152"/>
        <v>321.5</v>
      </c>
      <c r="AZ653" s="1">
        <f t="shared" si="153"/>
        <v>921.01376709525596</v>
      </c>
      <c r="BA653" s="1">
        <f t="shared" si="154"/>
        <v>12380.473674417928</v>
      </c>
      <c r="BC653" s="1">
        <f t="shared" si="155"/>
        <v>-5246.9934558829309</v>
      </c>
      <c r="BD653" s="1">
        <f t="shared" si="156"/>
        <v>-7500.0267089113831</v>
      </c>
      <c r="BF653" s="1">
        <f t="shared" si="144"/>
        <v>465.43657957947164</v>
      </c>
      <c r="BG653" s="1">
        <f t="shared" si="145"/>
        <v>-821.06943274802245</v>
      </c>
      <c r="BJ653" s="1">
        <f t="shared" si="146"/>
        <v>927.16176785525397</v>
      </c>
      <c r="BK653" s="1">
        <f t="shared" si="147"/>
        <v>-237.17133314663707</v>
      </c>
      <c r="BO653" s="1">
        <f t="shared" si="148"/>
        <v>-343.91990660784688</v>
      </c>
      <c r="BP653" s="1">
        <f t="shared" si="149"/>
        <v>-39.132534058932549</v>
      </c>
      <c r="BT653" s="1">
        <f t="shared" si="150"/>
        <v>-117.80528166793547</v>
      </c>
      <c r="BU653" s="1">
        <f t="shared" si="151"/>
        <v>-544.7655655424528</v>
      </c>
    </row>
    <row r="654" spans="49:73">
      <c r="AW654" s="1">
        <v>644</v>
      </c>
      <c r="AX654" s="1">
        <f t="shared" si="152"/>
        <v>322</v>
      </c>
      <c r="AZ654" s="1">
        <f t="shared" si="153"/>
        <v>-1644.3033883987757</v>
      </c>
      <c r="BA654" s="1">
        <f t="shared" si="154"/>
        <v>8527.8266408687341</v>
      </c>
      <c r="BC654" s="1">
        <f t="shared" si="155"/>
        <v>-5014.2751660931954</v>
      </c>
      <c r="BD654" s="1">
        <f t="shared" si="156"/>
        <v>-7910.5614252853948</v>
      </c>
      <c r="BF654" s="1">
        <f t="shared" si="144"/>
        <v>300.1334610005793</v>
      </c>
      <c r="BG654" s="1">
        <f t="shared" si="145"/>
        <v>-723.67650608211773</v>
      </c>
      <c r="BJ654" s="1">
        <f t="shared" si="146"/>
        <v>833.80539302028853</v>
      </c>
      <c r="BK654" s="1">
        <f t="shared" si="147"/>
        <v>-39.595055607362667</v>
      </c>
      <c r="BO654" s="1">
        <f t="shared" si="148"/>
        <v>-431.17146174540289</v>
      </c>
      <c r="BP654" s="1">
        <f t="shared" si="149"/>
        <v>34.581043293017025</v>
      </c>
      <c r="BT654" s="1">
        <f t="shared" si="150"/>
        <v>-102.50047027430634</v>
      </c>
      <c r="BU654" s="1">
        <f t="shared" si="151"/>
        <v>-718.66249376777205</v>
      </c>
    </row>
    <row r="655" spans="49:73">
      <c r="AW655" s="1">
        <v>645</v>
      </c>
      <c r="AX655" s="1">
        <f t="shared" si="152"/>
        <v>322.5</v>
      </c>
      <c r="AZ655" s="1">
        <f t="shared" si="153"/>
        <v>-4113.9242888203007</v>
      </c>
      <c r="BA655" s="1">
        <f t="shared" si="154"/>
        <v>4482.0863649657713</v>
      </c>
      <c r="BC655" s="1">
        <f t="shared" si="155"/>
        <v>-4864.2084355929055</v>
      </c>
      <c r="BD655" s="1">
        <f t="shared" si="156"/>
        <v>-8272.3996783264538</v>
      </c>
      <c r="BF655" s="1">
        <f t="shared" si="144"/>
        <v>179.62721718067402</v>
      </c>
      <c r="BG655" s="1">
        <f t="shared" si="145"/>
        <v>-717.95478910511815</v>
      </c>
      <c r="BJ655" s="1">
        <f t="shared" si="146"/>
        <v>695.72385016909936</v>
      </c>
      <c r="BK655" s="1">
        <f t="shared" si="147"/>
        <v>87.071455831735705</v>
      </c>
      <c r="BO655" s="1">
        <f t="shared" si="148"/>
        <v>-472.02586310236285</v>
      </c>
      <c r="BP655" s="1">
        <f t="shared" si="149"/>
        <v>163.95477356741813</v>
      </c>
      <c r="BT655" s="1">
        <f t="shared" si="150"/>
        <v>-44.070769886062493</v>
      </c>
      <c r="BU655" s="1">
        <f t="shared" si="151"/>
        <v>-968.98101850427201</v>
      </c>
    </row>
    <row r="656" spans="49:73">
      <c r="AW656" s="1">
        <v>646</v>
      </c>
      <c r="AX656" s="1">
        <f t="shared" si="152"/>
        <v>323</v>
      </c>
      <c r="AZ656" s="1">
        <f t="shared" si="153"/>
        <v>-6523.5751044691697</v>
      </c>
      <c r="BA656" s="1">
        <f t="shared" si="154"/>
        <v>256.14217716440464</v>
      </c>
      <c r="BC656" s="1">
        <f t="shared" si="155"/>
        <v>-4774.3948270025685</v>
      </c>
      <c r="BD656" s="1">
        <f t="shared" si="156"/>
        <v>-8631.3770728790132</v>
      </c>
      <c r="BF656" s="1">
        <f t="shared" si="144"/>
        <v>272.58475382423995</v>
      </c>
      <c r="BG656" s="1">
        <f t="shared" si="145"/>
        <v>-853.01819997725784</v>
      </c>
      <c r="BJ656" s="1">
        <f t="shared" si="146"/>
        <v>554.54934351304473</v>
      </c>
      <c r="BK656" s="1">
        <f t="shared" si="147"/>
        <v>151.45305956429846</v>
      </c>
      <c r="BO656" s="1">
        <f t="shared" si="148"/>
        <v>-412.02853554620594</v>
      </c>
      <c r="BP656" s="1">
        <f t="shared" si="149"/>
        <v>297.90894101630755</v>
      </c>
      <c r="BT656" s="1">
        <f t="shared" si="150"/>
        <v>130.06394585740117</v>
      </c>
      <c r="BU656" s="1">
        <f t="shared" si="151"/>
        <v>-1302.3802005578639</v>
      </c>
    </row>
    <row r="657" spans="49:73">
      <c r="AW657" s="1">
        <v>647</v>
      </c>
      <c r="AX657" s="1">
        <f t="shared" si="152"/>
        <v>323.5</v>
      </c>
      <c r="AZ657" s="1">
        <f t="shared" si="153"/>
        <v>-8876.6994237424242</v>
      </c>
      <c r="BA657" s="1">
        <f t="shared" si="154"/>
        <v>-4166.1736342722597</v>
      </c>
      <c r="BC657" s="1">
        <f t="shared" si="155"/>
        <v>-4638.1024500904487</v>
      </c>
      <c r="BD657" s="1">
        <f t="shared" si="156"/>
        <v>-9057.886172867642</v>
      </c>
      <c r="BF657" s="1">
        <f t="shared" si="144"/>
        <v>728.08962671920494</v>
      </c>
      <c r="BG657" s="1">
        <f t="shared" si="145"/>
        <v>-1074.0018803394873</v>
      </c>
      <c r="BJ657" s="1">
        <f t="shared" si="146"/>
        <v>432.00901095684213</v>
      </c>
      <c r="BK657" s="1">
        <f t="shared" si="147"/>
        <v>174.53144694400038</v>
      </c>
      <c r="BO657" s="1">
        <f t="shared" si="148"/>
        <v>-276.85379445157844</v>
      </c>
      <c r="BP657" s="1">
        <f t="shared" si="149"/>
        <v>352.58949415423621</v>
      </c>
      <c r="BT657" s="1">
        <f t="shared" si="150"/>
        <v>572.93441021394119</v>
      </c>
      <c r="BU657" s="1">
        <f t="shared" si="151"/>
        <v>-1601.1228214377238</v>
      </c>
    </row>
    <row r="658" spans="49:73">
      <c r="AW658" s="1">
        <v>648</v>
      </c>
      <c r="AX658" s="1">
        <f t="shared" si="152"/>
        <v>324</v>
      </c>
      <c r="AZ658" s="1">
        <f t="shared" si="153"/>
        <v>-11104.739445447749</v>
      </c>
      <c r="BA658" s="1">
        <f t="shared" si="154"/>
        <v>-8829.3669557485173</v>
      </c>
      <c r="BC658" s="1">
        <f t="shared" si="155"/>
        <v>-4274.0576367308458</v>
      </c>
      <c r="BD658" s="1">
        <f t="shared" si="156"/>
        <v>-9594.8871130373864</v>
      </c>
      <c r="BF658" s="1">
        <f t="shared" si="144"/>
        <v>1560.2178756951387</v>
      </c>
      <c r="BG658" s="1">
        <f t="shared" si="145"/>
        <v>-897.17083011928617</v>
      </c>
      <c r="BJ658" s="1">
        <f t="shared" si="146"/>
        <v>334.20790213709654</v>
      </c>
      <c r="BK658" s="1">
        <f t="shared" si="147"/>
        <v>175.45247350741732</v>
      </c>
      <c r="BO658" s="1">
        <f t="shared" si="148"/>
        <v>-150.65202869492495</v>
      </c>
      <c r="BP658" s="1">
        <f t="shared" si="149"/>
        <v>318.89817206905684</v>
      </c>
      <c r="BT658" s="1">
        <f t="shared" si="150"/>
        <v>1376.6620022529671</v>
      </c>
      <c r="BU658" s="1">
        <f t="shared" si="151"/>
        <v>-1391.5214756957603</v>
      </c>
    </row>
    <row r="659" spans="49:73">
      <c r="AW659" s="1">
        <v>649</v>
      </c>
      <c r="AX659" s="1">
        <f t="shared" si="152"/>
        <v>324.5</v>
      </c>
      <c r="AZ659" s="1">
        <f t="shared" si="153"/>
        <v>-13046.74102935128</v>
      </c>
      <c r="BA659" s="1">
        <f t="shared" si="154"/>
        <v>-13738.95686603212</v>
      </c>
      <c r="BC659" s="1">
        <f t="shared" si="155"/>
        <v>-3493.9486988832764</v>
      </c>
      <c r="BD659" s="1">
        <f t="shared" si="156"/>
        <v>-10043.472528097029</v>
      </c>
      <c r="BF659" s="1">
        <f t="shared" si="144"/>
        <v>2150.1898635417333</v>
      </c>
      <c r="BG659" s="1">
        <f t="shared" si="145"/>
        <v>110.11933710339798</v>
      </c>
      <c r="BJ659" s="1">
        <f t="shared" si="146"/>
        <v>259.77622282287001</v>
      </c>
      <c r="BK659" s="1">
        <f t="shared" si="147"/>
        <v>166.95673520288403</v>
      </c>
      <c r="BO659" s="1">
        <f t="shared" si="148"/>
        <v>-73.500693033224564</v>
      </c>
      <c r="BP659" s="1">
        <f t="shared" si="149"/>
        <v>250.93697630197681</v>
      </c>
      <c r="BT659" s="1">
        <f t="shared" si="150"/>
        <v>1963.9143337520877</v>
      </c>
      <c r="BU659" s="1">
        <f t="shared" si="151"/>
        <v>-307.77437440146286</v>
      </c>
    </row>
    <row r="660" spans="49:73">
      <c r="AW660" s="1">
        <v>650</v>
      </c>
      <c r="AX660" s="1">
        <f t="shared" si="152"/>
        <v>325</v>
      </c>
      <c r="AZ660" s="1">
        <f t="shared" si="153"/>
        <v>-14524.941645850202</v>
      </c>
      <c r="BA660" s="1">
        <f t="shared" si="154"/>
        <v>-18746.928212942712</v>
      </c>
      <c r="BC660" s="1">
        <f t="shared" si="155"/>
        <v>-2418.8537671124095</v>
      </c>
      <c r="BD660" s="1">
        <f t="shared" si="156"/>
        <v>-9988.4128595453294</v>
      </c>
      <c r="BF660" s="1">
        <f t="shared" si="144"/>
        <v>1871.0311686645264</v>
      </c>
      <c r="BG660" s="1">
        <f t="shared" si="145"/>
        <v>1014.9651264285148</v>
      </c>
      <c r="BJ660" s="1">
        <f t="shared" si="146"/>
        <v>205.04381833136446</v>
      </c>
      <c r="BK660" s="1">
        <f t="shared" si="147"/>
        <v>155.88065102197976</v>
      </c>
      <c r="BO660" s="1">
        <f t="shared" si="148"/>
        <v>-36.095078983279393</v>
      </c>
      <c r="BP660" s="1">
        <f t="shared" si="149"/>
        <v>189.51809775440441</v>
      </c>
      <c r="BT660" s="1">
        <f t="shared" si="150"/>
        <v>1702.0824293164412</v>
      </c>
      <c r="BU660" s="1">
        <f t="shared" si="151"/>
        <v>669.56637765213065</v>
      </c>
    </row>
    <row r="661" spans="49:73">
      <c r="AW661" s="1">
        <v>651</v>
      </c>
      <c r="AX661" s="1">
        <f t="shared" si="152"/>
        <v>325.5</v>
      </c>
      <c r="AZ661" s="1">
        <f t="shared" si="153"/>
        <v>-15500.489633323341</v>
      </c>
      <c r="BA661" s="1">
        <f t="shared" si="154"/>
        <v>-23614.264001911812</v>
      </c>
      <c r="BC661" s="1">
        <f t="shared" si="155"/>
        <v>-1483.3381827801463</v>
      </c>
      <c r="BD661" s="1">
        <f t="shared" si="156"/>
        <v>-9480.9302963310729</v>
      </c>
      <c r="BF661" s="1">
        <f t="shared" si="144"/>
        <v>1291.9273471543347</v>
      </c>
      <c r="BG661" s="1">
        <f t="shared" si="145"/>
        <v>1230.4755815397259</v>
      </c>
      <c r="BJ661" s="1">
        <f t="shared" si="146"/>
        <v>165.4442061242666</v>
      </c>
      <c r="BK661" s="1">
        <f t="shared" si="147"/>
        <v>145.00292137112288</v>
      </c>
      <c r="BO661" s="1">
        <f t="shared" si="148"/>
        <v>-19.459870343687562</v>
      </c>
      <c r="BP661" s="1">
        <f t="shared" si="149"/>
        <v>145.37786689417683</v>
      </c>
      <c r="BT661" s="1">
        <f t="shared" si="150"/>
        <v>1145.9430113737558</v>
      </c>
      <c r="BU661" s="1">
        <f t="shared" si="151"/>
        <v>940.09479327442614</v>
      </c>
    </row>
    <row r="662" spans="49:73">
      <c r="AW662" s="1">
        <v>652</v>
      </c>
      <c r="AX662" s="1">
        <f t="shared" si="152"/>
        <v>326</v>
      </c>
      <c r="AZ662" s="1">
        <f t="shared" si="153"/>
        <v>-16080.667806319121</v>
      </c>
      <c r="BA662" s="1">
        <f t="shared" si="154"/>
        <v>-28200.919702384883</v>
      </c>
      <c r="BC662" s="1">
        <f t="shared" si="155"/>
        <v>-837.37450920297897</v>
      </c>
      <c r="BD662" s="1">
        <f t="shared" si="156"/>
        <v>-8865.6925055612101</v>
      </c>
      <c r="BF662" s="1">
        <f t="shared" si="144"/>
        <v>857.94681183287935</v>
      </c>
      <c r="BG662" s="1">
        <f t="shared" si="145"/>
        <v>1124.0208910712661</v>
      </c>
      <c r="BJ662" s="1">
        <f t="shared" si="146"/>
        <v>136.44382862232746</v>
      </c>
      <c r="BK662" s="1">
        <f t="shared" si="147"/>
        <v>135.0077608230562</v>
      </c>
      <c r="BO662" s="1">
        <f t="shared" si="148"/>
        <v>-11.834988230886388</v>
      </c>
      <c r="BP662" s="1">
        <f t="shared" si="149"/>
        <v>115.353180783117</v>
      </c>
      <c r="BT662" s="1">
        <f t="shared" si="150"/>
        <v>733.3379714414383</v>
      </c>
      <c r="BU662" s="1">
        <f t="shared" si="151"/>
        <v>873.65994946509284</v>
      </c>
    </row>
    <row r="663" spans="49:73">
      <c r="AW663" s="1">
        <v>653</v>
      </c>
      <c r="AX663" s="1">
        <f t="shared" si="152"/>
        <v>326.5</v>
      </c>
      <c r="AZ663" s="1">
        <f t="shared" si="153"/>
        <v>-16392.111709441502</v>
      </c>
      <c r="BA663" s="1">
        <f t="shared" si="154"/>
        <v>-32493.263343781578</v>
      </c>
      <c r="BC663" s="1">
        <f t="shared" si="155"/>
        <v>-408.4011032865393</v>
      </c>
      <c r="BD663" s="1">
        <f t="shared" si="156"/>
        <v>-8303.6820600255778</v>
      </c>
      <c r="BF663" s="1">
        <f t="shared" si="144"/>
        <v>587.52369460617172</v>
      </c>
      <c r="BG663" s="1">
        <f t="shared" si="145"/>
        <v>959.01994865489576</v>
      </c>
      <c r="BJ663" s="1">
        <f t="shared" si="146"/>
        <v>114.59513474515254</v>
      </c>
      <c r="BK663" s="1">
        <f t="shared" si="147"/>
        <v>125.9348025300221</v>
      </c>
      <c r="BO663" s="1">
        <f t="shared" si="148"/>
        <v>-8.0276261474129029</v>
      </c>
      <c r="BP663" s="1">
        <f t="shared" si="149"/>
        <v>94.548390758140187</v>
      </c>
      <c r="BT663" s="1">
        <f t="shared" si="150"/>
        <v>480.95618600843204</v>
      </c>
      <c r="BU663" s="1">
        <f t="shared" si="151"/>
        <v>738.53675536673347</v>
      </c>
    </row>
    <row r="664" spans="49:73">
      <c r="AW664" s="1">
        <v>654</v>
      </c>
      <c r="AX664" s="1">
        <f t="shared" si="152"/>
        <v>327</v>
      </c>
      <c r="AZ664" s="1">
        <f t="shared" si="153"/>
        <v>-16522.871799258999</v>
      </c>
      <c r="BA664" s="1">
        <f t="shared" si="154"/>
        <v>-36525.226880212504</v>
      </c>
      <c r="BC664" s="1">
        <f t="shared" si="155"/>
        <v>-114.63925598345344</v>
      </c>
      <c r="BD664" s="1">
        <f t="shared" si="156"/>
        <v>-7824.1720856981301</v>
      </c>
      <c r="BF664" s="1">
        <f t="shared" si="144"/>
        <v>420.21413023880609</v>
      </c>
      <c r="BG664" s="1">
        <f t="shared" si="145"/>
        <v>810.95406973699824</v>
      </c>
      <c r="BJ664" s="1">
        <f t="shared" si="146"/>
        <v>97.657364102860171</v>
      </c>
      <c r="BK664" s="1">
        <f t="shared" si="147"/>
        <v>117.71767660502448</v>
      </c>
      <c r="BO664" s="1">
        <f t="shared" si="148"/>
        <v>-5.9472646671751956</v>
      </c>
      <c r="BP664" s="1">
        <f t="shared" si="149"/>
        <v>79.576541899729548</v>
      </c>
      <c r="BT664" s="1">
        <f t="shared" si="150"/>
        <v>328.50403080312111</v>
      </c>
      <c r="BU664" s="1">
        <f t="shared" si="151"/>
        <v>613.65985123224414</v>
      </c>
    </row>
    <row r="665" spans="49:73">
      <c r="AW665" s="1">
        <v>655</v>
      </c>
      <c r="AX665" s="1">
        <f t="shared" si="152"/>
        <v>327.5</v>
      </c>
      <c r="AZ665" s="1">
        <f t="shared" si="153"/>
        <v>-16527.664660970877</v>
      </c>
      <c r="BA665" s="1">
        <f t="shared" si="154"/>
        <v>-40335.943664344442</v>
      </c>
      <c r="BC665" s="1">
        <f t="shared" si="155"/>
        <v>95.467809135949608</v>
      </c>
      <c r="BD665" s="1">
        <f t="shared" si="156"/>
        <v>-7418.6950508296313</v>
      </c>
      <c r="BF665" s="1">
        <f t="shared" si="144"/>
        <v>312.77198564097085</v>
      </c>
      <c r="BG665" s="1">
        <f t="shared" si="145"/>
        <v>691.38733564097311</v>
      </c>
      <c r="BJ665" s="1">
        <f t="shared" si="146"/>
        <v>84.209309504835119</v>
      </c>
      <c r="BK665" s="1">
        <f t="shared" si="147"/>
        <v>110.27893030869636</v>
      </c>
      <c r="BO665" s="1">
        <f t="shared" si="148"/>
        <v>-4.7181041356526094</v>
      </c>
      <c r="BP665" s="1">
        <f t="shared" si="149"/>
        <v>68.394956358426867</v>
      </c>
      <c r="BT665" s="1">
        <f t="shared" si="150"/>
        <v>233.28078027178833</v>
      </c>
      <c r="BU665" s="1">
        <f t="shared" si="151"/>
        <v>512.71344897384984</v>
      </c>
    </row>
    <row r="666" spans="49:73">
      <c r="AW666" s="1">
        <v>656</v>
      </c>
      <c r="AX666" s="1">
        <f t="shared" si="152"/>
        <v>328</v>
      </c>
      <c r="AZ666" s="1">
        <f t="shared" si="153"/>
        <v>-16440.834258197778</v>
      </c>
      <c r="BA666" s="1">
        <f t="shared" si="154"/>
        <v>-43958.867772804137</v>
      </c>
      <c r="BC666" s="1">
        <f t="shared" si="155"/>
        <v>251.85380195643503</v>
      </c>
      <c r="BD666" s="1">
        <f t="shared" si="156"/>
        <v>-7073.0013830091448</v>
      </c>
      <c r="BF666" s="1">
        <f t="shared" si="144"/>
        <v>240.65026791628776</v>
      </c>
      <c r="BG666" s="1">
        <f t="shared" si="145"/>
        <v>596.83052671079929</v>
      </c>
      <c r="BJ666" s="1">
        <f t="shared" si="146"/>
        <v>73.323594261799528</v>
      </c>
      <c r="BK666" s="1">
        <f t="shared" si="147"/>
        <v>103.54178817670369</v>
      </c>
      <c r="BO666" s="1">
        <f t="shared" si="148"/>
        <v>-3.9427463384414572</v>
      </c>
      <c r="BP666" s="1">
        <f t="shared" si="149"/>
        <v>59.774156016107284</v>
      </c>
      <c r="BT666" s="1">
        <f t="shared" si="150"/>
        <v>171.2694199929297</v>
      </c>
      <c r="BU666" s="1">
        <f t="shared" si="151"/>
        <v>433.51458251798829</v>
      </c>
    </row>
    <row r="667" spans="49:73">
      <c r="AW667" s="1">
        <v>657</v>
      </c>
      <c r="AX667" s="1">
        <f t="shared" si="152"/>
        <v>328.5</v>
      </c>
      <c r="AZ667" s="1">
        <f t="shared" si="153"/>
        <v>-16284.826073730022</v>
      </c>
      <c r="BA667" s="1">
        <f t="shared" si="154"/>
        <v>-47420.764648469863</v>
      </c>
      <c r="BC667" s="1">
        <f t="shared" si="155"/>
        <v>372.17893591457891</v>
      </c>
      <c r="BD667" s="1">
        <f t="shared" si="156"/>
        <v>-6774.5861196537453</v>
      </c>
      <c r="BF667" s="1">
        <f t="shared" si="144"/>
        <v>190.20640193325846</v>
      </c>
      <c r="BG667" s="1">
        <f t="shared" si="145"/>
        <v>521.74226150049674</v>
      </c>
      <c r="BJ667" s="1">
        <f t="shared" si="146"/>
        <v>64.37168147683704</v>
      </c>
      <c r="BK667" s="1">
        <f t="shared" si="147"/>
        <v>97.433069163178345</v>
      </c>
      <c r="BO667" s="1">
        <f t="shared" si="148"/>
        <v>-3.4258891336645685</v>
      </c>
      <c r="BP667" s="1">
        <f t="shared" si="149"/>
        <v>52.949653921965073</v>
      </c>
      <c r="BT667" s="1">
        <f t="shared" si="150"/>
        <v>129.26060959008601</v>
      </c>
      <c r="BU667" s="1">
        <f t="shared" si="151"/>
        <v>371.35953841535331</v>
      </c>
    </row>
    <row r="668" spans="49:73">
      <c r="AW668" s="1">
        <v>658</v>
      </c>
      <c r="AX668" s="1">
        <f t="shared" si="152"/>
        <v>329</v>
      </c>
      <c r="AZ668" s="1">
        <f t="shared" si="153"/>
        <v>-16074.960805531075</v>
      </c>
      <c r="BA668" s="1">
        <f t="shared" si="154"/>
        <v>-50742.839925609172</v>
      </c>
      <c r="BC668" s="1">
        <f t="shared" si="155"/>
        <v>467.28213688120815</v>
      </c>
      <c r="BD668" s="1">
        <f t="shared" si="156"/>
        <v>-6513.7149889034972</v>
      </c>
      <c r="BF668" s="1">
        <f t="shared" si="144"/>
        <v>153.64422669527949</v>
      </c>
      <c r="BG668" s="1">
        <f t="shared" si="145"/>
        <v>461.39072696438473</v>
      </c>
      <c r="BJ668" s="1">
        <f t="shared" si="146"/>
        <v>56.912486818487984</v>
      </c>
      <c r="BK668" s="1">
        <f t="shared" si="147"/>
        <v>91.8849192215703</v>
      </c>
      <c r="BO668" s="1">
        <f t="shared" si="148"/>
        <v>-3.0646313432808396</v>
      </c>
      <c r="BP668" s="1">
        <f t="shared" si="149"/>
        <v>47.427401840531211</v>
      </c>
      <c r="BT668" s="1">
        <f t="shared" si="150"/>
        <v>99.796371220072331</v>
      </c>
      <c r="BU668" s="1">
        <f t="shared" si="151"/>
        <v>322.07840590228324</v>
      </c>
    </row>
    <row r="669" spans="49:73">
      <c r="AW669" s="1">
        <v>659</v>
      </c>
      <c r="AX669" s="1">
        <f t="shared" si="152"/>
        <v>329.5</v>
      </c>
      <c r="AZ669" s="1">
        <f t="shared" si="153"/>
        <v>-15822.114208753561</v>
      </c>
      <c r="BA669" s="1">
        <f t="shared" si="154"/>
        <v>-53942.023579190369</v>
      </c>
      <c r="BC669" s="1">
        <f t="shared" si="155"/>
        <v>544.10425022884783</v>
      </c>
      <c r="BD669" s="1">
        <f t="shared" si="156"/>
        <v>-6283.0196254213051</v>
      </c>
      <c r="BF669" s="1">
        <f t="shared" si="144"/>
        <v>126.32899662144726</v>
      </c>
      <c r="BG669" s="1">
        <f t="shared" si="145"/>
        <v>412.19608272940286</v>
      </c>
      <c r="BJ669" s="1">
        <f t="shared" si="146"/>
        <v>50.62722417288186</v>
      </c>
      <c r="BK669" s="1">
        <f t="shared" si="147"/>
        <v>86.835720618048896</v>
      </c>
      <c r="BO669" s="1">
        <f t="shared" si="148"/>
        <v>-2.8014762548744603</v>
      </c>
      <c r="BP669" s="1">
        <f t="shared" si="149"/>
        <v>42.876246430920752</v>
      </c>
      <c r="BT669" s="1">
        <f t="shared" si="150"/>
        <v>78.503248703439851</v>
      </c>
      <c r="BU669" s="1">
        <f t="shared" si="151"/>
        <v>282.48411568043321</v>
      </c>
    </row>
    <row r="670" spans="49:73">
      <c r="AW670" s="1">
        <v>660</v>
      </c>
      <c r="AX670" s="1">
        <f t="shared" si="152"/>
        <v>330</v>
      </c>
      <c r="AZ670" s="1">
        <f t="shared" si="153"/>
        <v>-15534.270959061456</v>
      </c>
      <c r="BA670" s="1">
        <f t="shared" si="154"/>
        <v>-57032.00888155985</v>
      </c>
      <c r="BC670" s="1">
        <f t="shared" si="155"/>
        <v>607.26874853957145</v>
      </c>
      <c r="BD670" s="1">
        <f t="shared" si="156"/>
        <v>-6076.9215840566039</v>
      </c>
      <c r="BF670" s="1">
        <f t="shared" si="144"/>
        <v>105.39268373797982</v>
      </c>
      <c r="BG670" s="1">
        <f t="shared" si="145"/>
        <v>371.53397346726956</v>
      </c>
      <c r="BJ670" s="1">
        <f t="shared" si="146"/>
        <v>45.279771133047191</v>
      </c>
      <c r="BK670" s="1">
        <f t="shared" si="147"/>
        <v>82.23032340467006</v>
      </c>
      <c r="BO670" s="1">
        <f t="shared" si="148"/>
        <v>-2.6026689184435532</v>
      </c>
      <c r="BP670" s="1">
        <f t="shared" si="149"/>
        <v>39.066885710603266</v>
      </c>
      <c r="BT670" s="1">
        <f t="shared" si="150"/>
        <v>62.715581523376187</v>
      </c>
      <c r="BU670" s="1">
        <f t="shared" si="151"/>
        <v>250.23676435199624</v>
      </c>
    </row>
    <row r="671" spans="49:73">
      <c r="AW671" s="1">
        <v>661</v>
      </c>
      <c r="AX671" s="1">
        <f t="shared" si="152"/>
        <v>330.5</v>
      </c>
      <c r="AZ671" s="1">
        <f t="shared" si="153"/>
        <v>-15217.462499324422</v>
      </c>
      <c r="BA671" s="1">
        <f t="shared" si="154"/>
        <v>-60024.027926904746</v>
      </c>
      <c r="BC671" s="1">
        <f t="shared" si="155"/>
        <v>659.96509040856131</v>
      </c>
      <c r="BD671" s="1">
        <f t="shared" si="156"/>
        <v>-5891.1545973229695</v>
      </c>
      <c r="BF671" s="1">
        <f t="shared" si="144"/>
        <v>88.993220619332959</v>
      </c>
      <c r="BG671" s="1">
        <f t="shared" si="145"/>
        <v>337.48588132117897</v>
      </c>
      <c r="BJ671" s="1">
        <f t="shared" si="146"/>
        <v>40.69159585682597</v>
      </c>
      <c r="BK671" s="1">
        <f t="shared" si="147"/>
        <v>78.019830505373477</v>
      </c>
      <c r="BO671" s="1">
        <f t="shared" si="148"/>
        <v>-2.4475436516997662</v>
      </c>
      <c r="BP671" s="1">
        <f t="shared" si="149"/>
        <v>35.835968875253528</v>
      </c>
      <c r="BT671" s="1">
        <f t="shared" si="150"/>
        <v>50.749168414206757</v>
      </c>
      <c r="BU671" s="1">
        <f t="shared" si="151"/>
        <v>223.63008194055197</v>
      </c>
    </row>
    <row r="672" spans="49:73">
      <c r="AW672" s="1">
        <v>662</v>
      </c>
      <c r="AX672" s="1">
        <f t="shared" si="152"/>
        <v>331</v>
      </c>
      <c r="AZ672" s="1">
        <f t="shared" si="153"/>
        <v>-14876.355801542724</v>
      </c>
      <c r="BA672" s="1">
        <f t="shared" si="154"/>
        <v>-62927.41949040108</v>
      </c>
      <c r="BC672" s="1">
        <f t="shared" si="155"/>
        <v>704.4617007182278</v>
      </c>
      <c r="BD672" s="1">
        <f t="shared" si="156"/>
        <v>-5722.4116566623798</v>
      </c>
      <c r="BF672" s="1">
        <f t="shared" si="144"/>
        <v>75.907230250610013</v>
      </c>
      <c r="BG672" s="1">
        <f t="shared" si="145"/>
        <v>308.63790333122415</v>
      </c>
      <c r="BJ672" s="1">
        <f t="shared" si="146"/>
        <v>36.725330267152067</v>
      </c>
      <c r="BK672" s="1">
        <f t="shared" si="147"/>
        <v>74.161138146601672</v>
      </c>
      <c r="BO672" s="1">
        <f t="shared" si="148"/>
        <v>-2.3229845790560644</v>
      </c>
      <c r="BP672" s="1">
        <f t="shared" si="149"/>
        <v>33.064214513092722</v>
      </c>
      <c r="BT672" s="1">
        <f t="shared" si="150"/>
        <v>41.504884562514015</v>
      </c>
      <c r="BU672" s="1">
        <f t="shared" si="151"/>
        <v>201.41255067152974</v>
      </c>
    </row>
    <row r="673" spans="49:73">
      <c r="AW673" s="1">
        <v>663</v>
      </c>
      <c r="AX673" s="1">
        <f t="shared" si="152"/>
        <v>331.5</v>
      </c>
      <c r="AZ673" s="1">
        <f t="shared" si="153"/>
        <v>-14514.636547402284</v>
      </c>
      <c r="BA673" s="1">
        <f t="shared" si="154"/>
        <v>-65750.045580815873</v>
      </c>
      <c r="BC673" s="1">
        <f t="shared" si="155"/>
        <v>742.41531584353277</v>
      </c>
      <c r="BD673" s="1">
        <f t="shared" si="156"/>
        <v>-5568.0927049967677</v>
      </c>
      <c r="BF673" s="1">
        <f t="shared" si="144"/>
        <v>65.297715269555724</v>
      </c>
      <c r="BG673" s="1">
        <f t="shared" si="145"/>
        <v>283.93514979375709</v>
      </c>
      <c r="BJ673" s="1">
        <f t="shared" si="146"/>
        <v>33.273676860116971</v>
      </c>
      <c r="BK673" s="1">
        <f t="shared" si="147"/>
        <v>70.616370052094538</v>
      </c>
      <c r="BO673" s="1">
        <f t="shared" si="148"/>
        <v>-2.2204029314451543</v>
      </c>
      <c r="BP673" s="1">
        <f t="shared" si="149"/>
        <v>30.662621486839647</v>
      </c>
      <c r="BT673" s="1">
        <f t="shared" si="150"/>
        <v>34.244441340883903</v>
      </c>
      <c r="BU673" s="1">
        <f t="shared" si="151"/>
        <v>182.65615825482294</v>
      </c>
    </row>
    <row r="674" spans="49:73">
      <c r="AW674" s="1">
        <v>664</v>
      </c>
      <c r="AX674" s="1">
        <f t="shared" si="152"/>
        <v>332</v>
      </c>
      <c r="AZ674" s="1">
        <f t="shared" si="153"/>
        <v>-14135.266675071824</v>
      </c>
      <c r="BA674" s="1">
        <f t="shared" si="154"/>
        <v>-68498.600039590034</v>
      </c>
      <c r="BC674" s="1">
        <f t="shared" si="155"/>
        <v>775.06417347831064</v>
      </c>
      <c r="BD674" s="1">
        <f t="shared" si="156"/>
        <v>-5426.1251300998892</v>
      </c>
      <c r="BF674" s="1">
        <f t="shared" si="144"/>
        <v>56.576761829011247</v>
      </c>
      <c r="BG674" s="1">
        <f t="shared" si="145"/>
        <v>262.5797763404957</v>
      </c>
      <c r="BJ674" s="1">
        <f t="shared" si="146"/>
        <v>30.251719800686601</v>
      </c>
      <c r="BK674" s="1">
        <f t="shared" si="147"/>
        <v>67.352289218267558</v>
      </c>
      <c r="BO674" s="1">
        <f t="shared" si="148"/>
        <v>-2.1340175346068864</v>
      </c>
      <c r="BP674" s="1">
        <f t="shared" si="149"/>
        <v>28.563513402142544</v>
      </c>
      <c r="BT674" s="1">
        <f t="shared" si="150"/>
        <v>28.459059562931536</v>
      </c>
      <c r="BU674" s="1">
        <f t="shared" si="151"/>
        <v>166.66397372008561</v>
      </c>
    </row>
    <row r="675" spans="49:73">
      <c r="AW675" s="1">
        <v>665</v>
      </c>
      <c r="AX675" s="1">
        <f t="shared" si="152"/>
        <v>332.5</v>
      </c>
      <c r="AZ675" s="1">
        <f t="shared" si="153"/>
        <v>-13740.662493104042</v>
      </c>
      <c r="BA675" s="1">
        <f t="shared" si="154"/>
        <v>-71178.840132597412</v>
      </c>
      <c r="BC675" s="1">
        <f t="shared" si="155"/>
        <v>803.35255439281627</v>
      </c>
      <c r="BD675" s="1">
        <f t="shared" si="156"/>
        <v>-5294.8352419296416</v>
      </c>
      <c r="BF675" s="1">
        <f t="shared" si="144"/>
        <v>49.321681682836299</v>
      </c>
      <c r="BG675" s="1">
        <f t="shared" si="145"/>
        <v>243.96001437882742</v>
      </c>
      <c r="BJ675" s="1">
        <f t="shared" si="146"/>
        <v>27.591474713341103</v>
      </c>
      <c r="BK675" s="1">
        <f t="shared" si="147"/>
        <v>64.339733353998398</v>
      </c>
      <c r="BO675" s="1">
        <f t="shared" si="148"/>
        <v>-2.0598405347874555</v>
      </c>
      <c r="BP675" s="1">
        <f t="shared" si="149"/>
        <v>26.714562889112834</v>
      </c>
      <c r="BT675" s="1">
        <f t="shared" si="150"/>
        <v>23.790047504282654</v>
      </c>
      <c r="BU675" s="1">
        <f t="shared" si="151"/>
        <v>152.9057181357162</v>
      </c>
    </row>
    <row r="676" spans="49:73">
      <c r="AW676" s="1">
        <v>666</v>
      </c>
      <c r="AX676" s="1">
        <f t="shared" si="152"/>
        <v>333</v>
      </c>
      <c r="AZ676" s="1">
        <f t="shared" si="153"/>
        <v>-13332.82100569728</v>
      </c>
      <c r="BA676" s="1">
        <f t="shared" si="154"/>
        <v>-73795.762751764865</v>
      </c>
      <c r="BC676" s="1">
        <f t="shared" si="155"/>
        <v>828.01339523423439</v>
      </c>
      <c r="BD676" s="1">
        <f t="shared" si="156"/>
        <v>-5172.8552347402283</v>
      </c>
      <c r="BF676" s="1">
        <f t="shared" si="144"/>
        <v>43.222229535435531</v>
      </c>
      <c r="BG676" s="1">
        <f t="shared" si="145"/>
        <v>227.60053361309775</v>
      </c>
      <c r="BJ676" s="1">
        <f t="shared" si="146"/>
        <v>25.237949405908619</v>
      </c>
      <c r="BK676" s="1">
        <f t="shared" si="147"/>
        <v>61.553096477886072</v>
      </c>
      <c r="BO676" s="1">
        <f t="shared" si="148"/>
        <v>-1.9950597946209281</v>
      </c>
      <c r="BP676" s="1">
        <f t="shared" si="149"/>
        <v>25.074706614071356</v>
      </c>
      <c r="BT676" s="1">
        <f t="shared" si="150"/>
        <v>19.979339924147837</v>
      </c>
      <c r="BU676" s="1">
        <f t="shared" si="151"/>
        <v>140.97273052114031</v>
      </c>
    </row>
    <row r="677" spans="49:73">
      <c r="AW677" s="1">
        <v>667</v>
      </c>
      <c r="AX677" s="1">
        <f t="shared" si="152"/>
        <v>333.5</v>
      </c>
      <c r="AZ677" s="1">
        <f t="shared" si="153"/>
        <v>-12913.411529388235</v>
      </c>
      <c r="BA677" s="1">
        <f t="shared" si="154"/>
        <v>-76353.740302433333</v>
      </c>
      <c r="BC677" s="1">
        <f t="shared" si="155"/>
        <v>849.6245100019521</v>
      </c>
      <c r="BD677" s="1">
        <f t="shared" si="156"/>
        <v>-5059.0549679336791</v>
      </c>
      <c r="BF677" s="1">
        <f t="shared" si="144"/>
        <v>38.046460672133392</v>
      </c>
      <c r="BG677" s="1">
        <f t="shared" si="145"/>
        <v>213.12738183061904</v>
      </c>
      <c r="BJ677" s="1">
        <f t="shared" si="146"/>
        <v>23.146247714533441</v>
      </c>
      <c r="BK677" s="1">
        <f t="shared" si="147"/>
        <v>58.969865311508585</v>
      </c>
      <c r="BO677" s="1">
        <f t="shared" si="148"/>
        <v>-1.9376521130512194</v>
      </c>
      <c r="BP677" s="1">
        <f t="shared" si="149"/>
        <v>23.611291675928463</v>
      </c>
      <c r="BT677" s="1">
        <f t="shared" si="150"/>
        <v>16.837865070651173</v>
      </c>
      <c r="BU677" s="1">
        <f t="shared" si="151"/>
        <v>130.54622484318199</v>
      </c>
    </row>
    <row r="678" spans="49:73">
      <c r="AW678" s="1">
        <v>668</v>
      </c>
      <c r="AX678" s="1">
        <f t="shared" si="152"/>
        <v>334</v>
      </c>
      <c r="AZ678" s="1">
        <f t="shared" si="153"/>
        <v>-12483.843466803242</v>
      </c>
      <c r="BA678" s="1">
        <f t="shared" si="154"/>
        <v>-78856.62686367135</v>
      </c>
      <c r="BC678" s="1">
        <f t="shared" si="155"/>
        <v>868.64774033801882</v>
      </c>
      <c r="BD678" s="1">
        <f t="shared" si="156"/>
        <v>-4952.4912770183691</v>
      </c>
      <c r="BF678" s="1">
        <f t="shared" si="144"/>
        <v>33.618093115615913</v>
      </c>
      <c r="BG678" s="1">
        <f t="shared" si="145"/>
        <v>200.24292365688854</v>
      </c>
      <c r="BJ678" s="1">
        <f t="shared" si="146"/>
        <v>21.27940795175601</v>
      </c>
      <c r="BK678" s="1">
        <f t="shared" si="147"/>
        <v>56.57021141133076</v>
      </c>
      <c r="BO678" s="1">
        <f t="shared" si="148"/>
        <v>-1.8861348672486662</v>
      </c>
      <c r="BP678" s="1">
        <f t="shared" si="149"/>
        <v>22.298043072074446</v>
      </c>
      <c r="BT678" s="1">
        <f t="shared" si="150"/>
        <v>14.224820031108573</v>
      </c>
      <c r="BU678" s="1">
        <f t="shared" si="151"/>
        <v>121.37466917348333</v>
      </c>
    </row>
    <row r="679" spans="49:73">
      <c r="AW679" s="1">
        <v>669</v>
      </c>
      <c r="AX679" s="1">
        <f t="shared" si="152"/>
        <v>334.5</v>
      </c>
      <c r="AZ679" s="1">
        <f t="shared" si="153"/>
        <v>-12045.317334994781</v>
      </c>
      <c r="BA679" s="1">
        <f t="shared" si="154"/>
        <v>-81307.842136723411</v>
      </c>
      <c r="BC679" s="1">
        <f t="shared" si="155"/>
        <v>885.45678689582678</v>
      </c>
      <c r="BD679" s="1">
        <f t="shared" si="156"/>
        <v>-4852.3698151899252</v>
      </c>
      <c r="BF679" s="1">
        <f t="shared" si="144"/>
        <v>29.801157681821408</v>
      </c>
      <c r="BG679" s="1">
        <f t="shared" si="145"/>
        <v>188.70769837932221</v>
      </c>
      <c r="BJ679" s="1">
        <f t="shared" si="146"/>
        <v>19.606767844594831</v>
      </c>
      <c r="BK679" s="1">
        <f t="shared" si="147"/>
        <v>54.336636000563615</v>
      </c>
      <c r="BO679" s="1">
        <f t="shared" si="148"/>
        <v>-1.8394029219774484</v>
      </c>
      <c r="BP679" s="1">
        <f t="shared" si="149"/>
        <v>21.1135904094088</v>
      </c>
      <c r="BT679" s="1">
        <f t="shared" si="150"/>
        <v>12.033792759204024</v>
      </c>
      <c r="BU679" s="1">
        <f t="shared" si="151"/>
        <v>113.25747196934979</v>
      </c>
    </row>
    <row r="680" spans="49:73">
      <c r="AW680" s="1">
        <v>670</v>
      </c>
      <c r="AX680" s="1">
        <f t="shared" si="152"/>
        <v>335</v>
      </c>
      <c r="AZ680" s="1">
        <f t="shared" si="153"/>
        <v>-11598.86379683664</v>
      </c>
      <c r="BA680" s="1">
        <f t="shared" si="154"/>
        <v>-83710.438582020957</v>
      </c>
      <c r="BC680" s="1">
        <f t="shared" si="155"/>
        <v>900.35736573673751</v>
      </c>
      <c r="BD680" s="1">
        <f t="shared" si="156"/>
        <v>-4758.0159660002646</v>
      </c>
      <c r="BF680" s="1">
        <f t="shared" si="144"/>
        <v>26.489375935782093</v>
      </c>
      <c r="BG680" s="1">
        <f t="shared" si="145"/>
        <v>178.32711896862017</v>
      </c>
      <c r="BJ680" s="1">
        <f t="shared" si="146"/>
        <v>18.102712742690091</v>
      </c>
      <c r="BK680" s="1">
        <f t="shared" si="147"/>
        <v>52.253662644363814</v>
      </c>
      <c r="BO680" s="1">
        <f t="shared" si="148"/>
        <v>-1.7966193429897204</v>
      </c>
      <c r="BP680" s="1">
        <f t="shared" si="149"/>
        <v>20.040382934526654</v>
      </c>
      <c r="BT680" s="1">
        <f t="shared" si="150"/>
        <v>10.183282536081723</v>
      </c>
      <c r="BU680" s="1">
        <f t="shared" si="151"/>
        <v>106.03307338972971</v>
      </c>
    </row>
    <row r="681" spans="49:73">
      <c r="AW681" s="1">
        <v>671</v>
      </c>
      <c r="AX681" s="1">
        <f t="shared" si="152"/>
        <v>335.5</v>
      </c>
      <c r="AZ681" s="1">
        <f t="shared" si="153"/>
        <v>-11145.373941976299</v>
      </c>
      <c r="BA681" s="1">
        <f t="shared" si="154"/>
        <v>-86067.155675150017</v>
      </c>
      <c r="BC681" s="1">
        <f t="shared" si="155"/>
        <v>913.60205370462859</v>
      </c>
      <c r="BD681" s="1">
        <f t="shared" si="156"/>
        <v>-4668.8524065159545</v>
      </c>
      <c r="BF681" s="1">
        <f t="shared" si="144"/>
        <v>23.598672662691225</v>
      </c>
      <c r="BG681" s="1">
        <f t="shared" si="145"/>
        <v>168.94159936838537</v>
      </c>
      <c r="BJ681" s="1">
        <f t="shared" si="146"/>
        <v>16.745706764551215</v>
      </c>
      <c r="BK681" s="1">
        <f t="shared" si="147"/>
        <v>50.307572310681124</v>
      </c>
      <c r="BO681" s="1">
        <f t="shared" si="148"/>
        <v>-1.7571408062353013</v>
      </c>
      <c r="BP681" s="1">
        <f t="shared" si="149"/>
        <v>19.063878956559936</v>
      </c>
      <c r="BT681" s="1">
        <f t="shared" si="150"/>
        <v>8.6101067043753119</v>
      </c>
      <c r="BU681" s="1">
        <f t="shared" si="151"/>
        <v>99.570148101144326</v>
      </c>
    </row>
    <row r="682" spans="49:73">
      <c r="AW682" s="1">
        <v>672</v>
      </c>
      <c r="AX682" s="1">
        <f t="shared" si="152"/>
        <v>336</v>
      </c>
      <c r="AZ682" s="1">
        <f t="shared" si="153"/>
        <v>-10685.623081041149</v>
      </c>
      <c r="BA682" s="1">
        <f t="shared" si="154"/>
        <v>-88380.464178486945</v>
      </c>
      <c r="BC682" s="1">
        <f t="shared" si="155"/>
        <v>925.40139003597415</v>
      </c>
      <c r="BD682" s="1">
        <f t="shared" si="156"/>
        <v>-4584.3816068317619</v>
      </c>
      <c r="BF682" s="1">
        <f t="shared" si="144"/>
        <v>21.061808171819351</v>
      </c>
      <c r="BG682" s="1">
        <f t="shared" si="145"/>
        <v>160.41913933717734</v>
      </c>
      <c r="BJ682" s="1">
        <f t="shared" si="146"/>
        <v>15.517535465242039</v>
      </c>
      <c r="BK682" s="1">
        <f t="shared" si="147"/>
        <v>48.486175411337243</v>
      </c>
      <c r="BO682" s="1">
        <f t="shared" si="148"/>
        <v>-1.7204658259573047</v>
      </c>
      <c r="BP682" s="1">
        <f t="shared" si="149"/>
        <v>18.171932275618413</v>
      </c>
      <c r="BT682" s="1">
        <f t="shared" si="150"/>
        <v>7.264738532534615</v>
      </c>
      <c r="BU682" s="1">
        <f t="shared" si="151"/>
        <v>93.761031650221682</v>
      </c>
    </row>
    <row r="683" spans="49:73">
      <c r="AW683" s="1">
        <v>673</v>
      </c>
      <c r="AX683" s="1">
        <f t="shared" si="152"/>
        <v>336.5</v>
      </c>
      <c r="AZ683" s="1">
        <f t="shared" si="153"/>
        <v>-10220.289660001685</v>
      </c>
      <c r="BA683" s="1">
        <f t="shared" si="154"/>
        <v>-90652.602589485687</v>
      </c>
      <c r="BC683" s="1">
        <f t="shared" si="155"/>
        <v>935.93229412188384</v>
      </c>
      <c r="BD683" s="1">
        <f t="shared" si="156"/>
        <v>-4504.1720371631736</v>
      </c>
      <c r="BF683" s="1">
        <f t="shared" si="144"/>
        <v>18.824470551766467</v>
      </c>
      <c r="BG683" s="1">
        <f t="shared" si="145"/>
        <v>152.64969231276149</v>
      </c>
      <c r="BJ683" s="1">
        <f t="shared" si="146"/>
        <v>14.402708455351993</v>
      </c>
      <c r="BK683" s="1">
        <f t="shared" si="147"/>
        <v>46.778615795382507</v>
      </c>
      <c r="BO683" s="1">
        <f t="shared" si="148"/>
        <v>-1.6861982624011069</v>
      </c>
      <c r="BP683" s="1">
        <f t="shared" si="149"/>
        <v>17.354322131443531</v>
      </c>
      <c r="BT683" s="1">
        <f t="shared" si="150"/>
        <v>6.107960358815582</v>
      </c>
      <c r="BU683" s="1">
        <f t="shared" si="151"/>
        <v>88.516754385935442</v>
      </c>
    </row>
    <row r="684" spans="49:73">
      <c r="AW684" s="1">
        <v>674</v>
      </c>
      <c r="AX684" s="1">
        <f t="shared" si="152"/>
        <v>337</v>
      </c>
      <c r="AZ684" s="1">
        <f t="shared" si="153"/>
        <v>-9749.9704541217707</v>
      </c>
      <c r="BA684" s="1">
        <f t="shared" si="154"/>
        <v>-92885.607396528168</v>
      </c>
      <c r="BC684" s="1">
        <f t="shared" si="155"/>
        <v>945.34452939776702</v>
      </c>
      <c r="BD684" s="1">
        <f t="shared" si="156"/>
        <v>-4427.8471910067929</v>
      </c>
      <c r="BF684" s="1">
        <f t="shared" si="144"/>
        <v>16.842390354150453</v>
      </c>
      <c r="BG684" s="1">
        <f t="shared" si="145"/>
        <v>145.54084205563117</v>
      </c>
      <c r="BJ684" s="1">
        <f t="shared" si="146"/>
        <v>13.387984244369564</v>
      </c>
      <c r="BK684" s="1">
        <f t="shared" si="147"/>
        <v>45.175202182427242</v>
      </c>
      <c r="BO684" s="1">
        <f t="shared" si="148"/>
        <v>-1.6540212305829936</v>
      </c>
      <c r="BP684" s="1">
        <f t="shared" si="149"/>
        <v>16.602389114450457</v>
      </c>
      <c r="BT684" s="1">
        <f t="shared" si="150"/>
        <v>5.1084273403638827</v>
      </c>
      <c r="BU684" s="1">
        <f t="shared" si="151"/>
        <v>83.763250758753458</v>
      </c>
    </row>
    <row r="685" spans="49:73">
      <c r="AW685" s="1">
        <v>675</v>
      </c>
      <c r="AX685" s="1">
        <f t="shared" si="152"/>
        <v>337.5</v>
      </c>
      <c r="AZ685" s="1">
        <f t="shared" si="153"/>
        <v>-9275.1928906286175</v>
      </c>
      <c r="BA685" s="1">
        <f t="shared" si="154"/>
        <v>-95081.338386774616</v>
      </c>
      <c r="BC685" s="1">
        <f t="shared" si="155"/>
        <v>953.76572457484224</v>
      </c>
      <c r="BD685" s="1">
        <f t="shared" si="156"/>
        <v>-4355.0767699789776</v>
      </c>
      <c r="BF685" s="1">
        <f t="shared" si="144"/>
        <v>15.079182396067241</v>
      </c>
      <c r="BG685" s="1">
        <f t="shared" si="145"/>
        <v>139.01445073261527</v>
      </c>
      <c r="BJ685" s="1">
        <f t="shared" si="146"/>
        <v>12.461989379496199</v>
      </c>
      <c r="BK685" s="1">
        <f t="shared" si="147"/>
        <v>43.667263074454873</v>
      </c>
      <c r="BO685" s="1">
        <f t="shared" si="148"/>
        <v>-1.6236781972833398</v>
      </c>
      <c r="BP685" s="1">
        <f t="shared" si="149"/>
        <v>15.908750277743627</v>
      </c>
      <c r="BT685" s="1">
        <f t="shared" si="150"/>
        <v>4.2408712138543816</v>
      </c>
      <c r="BU685" s="1">
        <f t="shared" si="151"/>
        <v>79.438437380416758</v>
      </c>
    </row>
    <row r="686" spans="49:73">
      <c r="AW686" s="1">
        <v>676</v>
      </c>
      <c r="AX686" s="1">
        <f t="shared" si="152"/>
        <v>338</v>
      </c>
      <c r="AZ686" s="1">
        <f t="shared" si="153"/>
        <v>-8796.4251305416892</v>
      </c>
      <c r="BA686" s="1">
        <f t="shared" si="154"/>
        <v>-97241.499965422525</v>
      </c>
      <c r="BC686" s="1">
        <f t="shared" si="155"/>
        <v>961.30531577287582</v>
      </c>
      <c r="BD686" s="1">
        <f t="shared" si="156"/>
        <v>-4285.5695446126701</v>
      </c>
      <c r="BF686" s="1">
        <f t="shared" si="144"/>
        <v>13.504712051082171</v>
      </c>
      <c r="BG686" s="1">
        <f t="shared" si="145"/>
        <v>133.00403573594119</v>
      </c>
      <c r="BJ686" s="1">
        <f t="shared" si="146"/>
        <v>11.614910978450407</v>
      </c>
      <c r="BK686" s="1">
        <f t="shared" si="147"/>
        <v>42.247021716506524</v>
      </c>
      <c r="BO686" s="1">
        <f t="shared" si="148"/>
        <v>-1.5949591159162719</v>
      </c>
      <c r="BP686" s="1">
        <f t="shared" si="149"/>
        <v>15.267074122980821</v>
      </c>
      <c r="BT686" s="1">
        <f t="shared" si="150"/>
        <v>3.4847601885480359</v>
      </c>
      <c r="BU686" s="1">
        <f t="shared" si="151"/>
        <v>75.489939896453848</v>
      </c>
    </row>
    <row r="687" spans="49:73">
      <c r="AW687" s="1">
        <v>677</v>
      </c>
      <c r="AX687" s="1">
        <f t="shared" si="152"/>
        <v>338.5</v>
      </c>
      <c r="AZ687" s="1">
        <f t="shared" si="153"/>
        <v>-8314.0843836488657</v>
      </c>
      <c r="BA687" s="1">
        <f t="shared" si="154"/>
        <v>-99367.65923326186</v>
      </c>
      <c r="BC687" s="1">
        <f t="shared" si="155"/>
        <v>968.05767179841689</v>
      </c>
      <c r="BD687" s="1">
        <f t="shared" si="156"/>
        <v>-4219.0675267446995</v>
      </c>
      <c r="BF687" s="1">
        <f t="shared" si="144"/>
        <v>12.093844857427127</v>
      </c>
      <c r="BG687" s="1">
        <f t="shared" si="145"/>
        <v>127.4526986907604</v>
      </c>
      <c r="BJ687" s="1">
        <f t="shared" si="146"/>
        <v>10.83824685692152</v>
      </c>
      <c r="BK687" s="1">
        <f t="shared" si="147"/>
        <v>40.907488163747388</v>
      </c>
      <c r="BO687" s="1">
        <f t="shared" si="148"/>
        <v>-1.5676901384009725</v>
      </c>
      <c r="BP687" s="1">
        <f t="shared" si="149"/>
        <v>14.671901327105294</v>
      </c>
      <c r="BT687" s="1">
        <f t="shared" si="150"/>
        <v>2.8232881389065807</v>
      </c>
      <c r="BU687" s="1">
        <f t="shared" si="151"/>
        <v>71.873309199907709</v>
      </c>
    </row>
    <row r="688" spans="49:73">
      <c r="AW688" s="1">
        <v>678</v>
      </c>
      <c r="AX688" s="1">
        <f t="shared" si="152"/>
        <v>339</v>
      </c>
      <c r="AZ688" s="1">
        <f t="shared" si="153"/>
        <v>-7828.5438171424785</v>
      </c>
      <c r="BA688" s="1">
        <f t="shared" si="154"/>
        <v>-101461.26140929786</v>
      </c>
      <c r="BC688" s="1">
        <f t="shared" si="155"/>
        <v>974.10459422713041</v>
      </c>
      <c r="BD688" s="1">
        <f t="shared" si="156"/>
        <v>-4155.3411773993193</v>
      </c>
      <c r="BF688" s="1">
        <f t="shared" si="144"/>
        <v>10.825479691254429</v>
      </c>
      <c r="BG688" s="1">
        <f t="shared" si="145"/>
        <v>122.31147686983343</v>
      </c>
      <c r="BJ688" s="1">
        <f t="shared" si="146"/>
        <v>10.12460119719235</v>
      </c>
      <c r="BK688" s="1">
        <f t="shared" si="147"/>
        <v>39.642365944875536</v>
      </c>
      <c r="BO688" s="1">
        <f t="shared" si="148"/>
        <v>-1.5417258977381434</v>
      </c>
      <c r="BP688" s="1">
        <f t="shared" si="149"/>
        <v>14.118500755176832</v>
      </c>
      <c r="BT688" s="1">
        <f t="shared" si="150"/>
        <v>2.242604391800223</v>
      </c>
      <c r="BU688" s="1">
        <f t="shared" si="151"/>
        <v>68.550610169781066</v>
      </c>
    </row>
    <row r="689" spans="49:73">
      <c r="AW689" s="1">
        <v>679</v>
      </c>
      <c r="AX689" s="1">
        <f t="shared" si="152"/>
        <v>339.5</v>
      </c>
      <c r="AZ689" s="1">
        <f t="shared" si="153"/>
        <v>-7340.1383350675069</v>
      </c>
      <c r="BA689" s="1">
        <f t="shared" si="154"/>
        <v>-103523.64306338879</v>
      </c>
      <c r="BC689" s="1">
        <f t="shared" si="155"/>
        <v>979.51733407275765</v>
      </c>
      <c r="BD689" s="1">
        <f t="shared" si="156"/>
        <v>-4094.1854389644027</v>
      </c>
      <c r="BF689" s="1">
        <f t="shared" si="144"/>
        <v>9.6817940888763196</v>
      </c>
      <c r="BG689" s="1">
        <f t="shared" si="145"/>
        <v>117.53802064980817</v>
      </c>
      <c r="BJ689" s="1">
        <f t="shared" si="146"/>
        <v>9.4675164830765599</v>
      </c>
      <c r="BK689" s="1">
        <f t="shared" si="147"/>
        <v>38.445971188289043</v>
      </c>
      <c r="BO689" s="1">
        <f t="shared" si="148"/>
        <v>-1.5169436591468051</v>
      </c>
      <c r="BP689" s="1">
        <f t="shared" si="149"/>
        <v>13.602752942022063</v>
      </c>
      <c r="BT689" s="1">
        <f t="shared" si="150"/>
        <v>1.731221264946565</v>
      </c>
      <c r="BU689" s="1">
        <f t="shared" si="151"/>
        <v>65.48929651949706</v>
      </c>
    </row>
    <row r="690" spans="49:73">
      <c r="AW690" s="1">
        <v>680</v>
      </c>
      <c r="AX690" s="1">
        <f t="shared" si="152"/>
        <v>340</v>
      </c>
      <c r="AZ690" s="1">
        <f t="shared" si="153"/>
        <v>-6849.169443770018</v>
      </c>
      <c r="BA690" s="1">
        <f t="shared" si="154"/>
        <v>-105556.04353028977</v>
      </c>
      <c r="BC690" s="1">
        <f t="shared" si="155"/>
        <v>984.35823111719583</v>
      </c>
      <c r="BD690" s="1">
        <f t="shared" si="156"/>
        <v>-4035.4164286394985</v>
      </c>
      <c r="BF690" s="1">
        <f t="shared" si="144"/>
        <v>8.6476499605174002</v>
      </c>
      <c r="BG690" s="1">
        <f t="shared" si="145"/>
        <v>113.095524769477</v>
      </c>
      <c r="BJ690" s="1">
        <f t="shared" si="146"/>
        <v>8.861334507251506</v>
      </c>
      <c r="BK690" s="1">
        <f t="shared" si="147"/>
        <v>37.313162401034553</v>
      </c>
      <c r="BO690" s="1">
        <f t="shared" si="148"/>
        <v>-1.4932388439240156</v>
      </c>
      <c r="BP690" s="1">
        <f t="shared" si="149"/>
        <v>13.121055138822328</v>
      </c>
      <c r="BT690" s="1">
        <f t="shared" si="150"/>
        <v>1.2795542971899101</v>
      </c>
      <c r="BU690" s="1">
        <f t="shared" si="151"/>
        <v>62.661307229620114</v>
      </c>
    </row>
    <row r="691" spans="49:73">
      <c r="AW691" s="1">
        <v>681</v>
      </c>
      <c r="AX691" s="1">
        <f t="shared" si="152"/>
        <v>340.5</v>
      </c>
      <c r="AZ691" s="1">
        <f t="shared" si="153"/>
        <v>-6355.9093719663551</v>
      </c>
      <c r="BA691" s="1">
        <f t="shared" si="154"/>
        <v>-107559.61480401333</v>
      </c>
      <c r="BC691" s="1">
        <f t="shared" si="155"/>
        <v>988.68205609745451</v>
      </c>
      <c r="BD691" s="1">
        <f t="shared" si="156"/>
        <v>-3978.8686662547598</v>
      </c>
      <c r="BF691" s="1">
        <f t="shared" si="144"/>
        <v>7.7101217557106008</v>
      </c>
      <c r="BG691" s="1">
        <f t="shared" si="145"/>
        <v>108.95185874330068</v>
      </c>
      <c r="BJ691" s="1">
        <f t="shared" si="146"/>
        <v>8.3010808293916707</v>
      </c>
      <c r="BK691" s="1">
        <f t="shared" si="147"/>
        <v>36.239279366421869</v>
      </c>
      <c r="BO691" s="1">
        <f t="shared" si="148"/>
        <v>-1.4705215719223901</v>
      </c>
      <c r="BP691" s="1">
        <f t="shared" si="149"/>
        <v>12.670243423991574</v>
      </c>
      <c r="BT691" s="1">
        <f t="shared" si="150"/>
        <v>0.87956249824131993</v>
      </c>
      <c r="BU691" s="1">
        <f t="shared" si="151"/>
        <v>60.042335952887228</v>
      </c>
    </row>
    <row r="692" spans="49:73">
      <c r="AW692" s="1">
        <v>682</v>
      </c>
      <c r="AX692" s="1">
        <f t="shared" si="152"/>
        <v>341</v>
      </c>
      <c r="AZ692" s="1">
        <f t="shared" si="153"/>
        <v>-5860.604578698164</v>
      </c>
      <c r="BA692" s="1">
        <f t="shared" si="154"/>
        <v>-109535.4301547978</v>
      </c>
      <c r="BC692" s="1">
        <f t="shared" si="155"/>
        <v>992.5371169753098</v>
      </c>
      <c r="BD692" s="1">
        <f t="shared" si="156"/>
        <v>-3924.3927368831096</v>
      </c>
      <c r="BF692" s="1">
        <f t="shared" si="144"/>
        <v>6.85811897175242</v>
      </c>
      <c r="BG692" s="1">
        <f t="shared" si="145"/>
        <v>105.07885473510353</v>
      </c>
      <c r="BJ692" s="1">
        <f t="shared" si="146"/>
        <v>7.7823682614222793</v>
      </c>
      <c r="BK692" s="1">
        <f t="shared" si="147"/>
        <v>35.220089860113127</v>
      </c>
      <c r="BO692" s="1">
        <f t="shared" si="148"/>
        <v>-1.4487139670796625</v>
      </c>
      <c r="BP692" s="1">
        <f t="shared" si="149"/>
        <v>12.247528417320884</v>
      </c>
      <c r="BT692" s="1">
        <f t="shared" si="150"/>
        <v>0.52446467740980296</v>
      </c>
      <c r="BU692" s="1">
        <f t="shared" si="151"/>
        <v>57.611236457669527</v>
      </c>
    </row>
    <row r="693" spans="49:73">
      <c r="AW693" s="1">
        <v>683</v>
      </c>
      <c r="AX693" s="1">
        <f t="shared" si="152"/>
        <v>341.5</v>
      </c>
      <c r="AZ693" s="1">
        <f t="shared" si="153"/>
        <v>-5363.4787553390397</v>
      </c>
      <c r="BA693" s="1">
        <f t="shared" si="154"/>
        <v>-111484.49166639746</v>
      </c>
      <c r="BC693" s="1">
        <f t="shared" si="155"/>
        <v>995.96617646118602</v>
      </c>
      <c r="BD693" s="1">
        <f t="shared" si="156"/>
        <v>-3871.8533095155576</v>
      </c>
      <c r="BF693" s="1">
        <f t="shared" si="144"/>
        <v>6.0820819719644845</v>
      </c>
      <c r="BG693" s="1">
        <f t="shared" si="145"/>
        <v>101.45172081841449</v>
      </c>
      <c r="BJ693" s="1">
        <f t="shared" si="146"/>
        <v>7.3013158759652512</v>
      </c>
      <c r="BK693" s="1">
        <f t="shared" si="147"/>
        <v>34.251743082153169</v>
      </c>
      <c r="BO693" s="1">
        <f t="shared" si="148"/>
        <v>-1.4277480397113143</v>
      </c>
      <c r="BP693" s="1">
        <f t="shared" si="149"/>
        <v>11.850441913941431</v>
      </c>
      <c r="BT693" s="1">
        <f t="shared" si="150"/>
        <v>0.20851413571054786</v>
      </c>
      <c r="BU693" s="1">
        <f t="shared" si="151"/>
        <v>55.349535822319886</v>
      </c>
    </row>
    <row r="694" spans="49:73">
      <c r="AW694" s="1">
        <v>684</v>
      </c>
      <c r="AX694" s="1">
        <f t="shared" si="152"/>
        <v>342</v>
      </c>
      <c r="AZ694" s="1">
        <f t="shared" si="153"/>
        <v>-4864.7354068619507</v>
      </c>
      <c r="BA694" s="1">
        <f t="shared" si="154"/>
        <v>-113407.73685605293</v>
      </c>
      <c r="BC694" s="1">
        <f t="shared" si="155"/>
        <v>999.00721744716827</v>
      </c>
      <c r="BD694" s="1">
        <f t="shared" si="156"/>
        <v>-3821.1274491063505</v>
      </c>
      <c r="BF694" s="1">
        <f t="shared" si="144"/>
        <v>5.3737352272781589</v>
      </c>
      <c r="BG694" s="1">
        <f t="shared" si="145"/>
        <v>98.048554759784096</v>
      </c>
      <c r="BJ694" s="1">
        <f t="shared" si="146"/>
        <v>6.8544807453941425</v>
      </c>
      <c r="BK694" s="1">
        <f t="shared" si="147"/>
        <v>33.330728869139016</v>
      </c>
      <c r="BO694" s="1">
        <f t="shared" si="148"/>
        <v>-1.4075640084973626</v>
      </c>
      <c r="BP694" s="1">
        <f t="shared" si="149"/>
        <v>11.476792341472956</v>
      </c>
      <c r="BT694" s="1">
        <f t="shared" si="150"/>
        <v>-7.318150961862141E-2</v>
      </c>
      <c r="BU694" s="1">
        <f t="shared" si="151"/>
        <v>53.241033549172123</v>
      </c>
    </row>
    <row r="695" spans="49:73">
      <c r="AW695" s="1">
        <v>685</v>
      </c>
      <c r="AX695" s="1">
        <f t="shared" si="152"/>
        <v>342.5</v>
      </c>
      <c r="AZ695" s="1">
        <f t="shared" si="153"/>
        <v>-4364.5600812349567</v>
      </c>
      <c r="BA695" s="1">
        <f t="shared" si="154"/>
        <v>-115306.04451126112</v>
      </c>
      <c r="BC695" s="1">
        <f t="shared" si="155"/>
        <v>1001.6940850608073</v>
      </c>
      <c r="BD695" s="1">
        <f t="shared" si="156"/>
        <v>-3772.1031717264586</v>
      </c>
      <c r="BF695" s="1">
        <f t="shared" si="144"/>
        <v>4.7258858763883271</v>
      </c>
      <c r="BG695" s="1">
        <f t="shared" si="145"/>
        <v>94.849938908637171</v>
      </c>
      <c r="BJ695" s="1">
        <f t="shared" si="146"/>
        <v>6.438800172843802</v>
      </c>
      <c r="BK695" s="1">
        <f t="shared" si="147"/>
        <v>32.453841891213521</v>
      </c>
      <c r="BO695" s="1">
        <f t="shared" si="148"/>
        <v>-1.3881089604104824</v>
      </c>
      <c r="BP695" s="1">
        <f t="shared" si="149"/>
        <v>11.124627390299532</v>
      </c>
      <c r="BT695" s="1">
        <f t="shared" si="150"/>
        <v>-0.32480533604499251</v>
      </c>
      <c r="BU695" s="1">
        <f t="shared" si="151"/>
        <v>51.271469627124127</v>
      </c>
    </row>
    <row r="696" spans="49:73">
      <c r="AW696" s="1">
        <v>686</v>
      </c>
      <c r="AX696" s="1">
        <f t="shared" si="152"/>
        <v>343</v>
      </c>
      <c r="AZ696" s="1">
        <f t="shared" si="153"/>
        <v>-3863.1223029700045</v>
      </c>
      <c r="BA696" s="1">
        <f t="shared" si="154"/>
        <v>-117180.23985476077</v>
      </c>
      <c r="BC696" s="1">
        <f t="shared" si="155"/>
        <v>1004.0570279990014</v>
      </c>
      <c r="BD696" s="1">
        <f t="shared" si="156"/>
        <v>-3724.67820227214</v>
      </c>
      <c r="BF696" s="1">
        <f t="shared" si="144"/>
        <v>4.1322583048704118</v>
      </c>
      <c r="BG696" s="1">
        <f t="shared" si="145"/>
        <v>91.838600925138536</v>
      </c>
      <c r="BJ696" s="1">
        <f t="shared" si="146"/>
        <v>6.0515426106622119</v>
      </c>
      <c r="BK696" s="1">
        <f t="shared" si="147"/>
        <v>31.618150156937499</v>
      </c>
      <c r="BO696" s="1">
        <f t="shared" si="148"/>
        <v>-1.369335772411147</v>
      </c>
      <c r="BP696" s="1">
        <f t="shared" si="149"/>
        <v>10.792202509473483</v>
      </c>
      <c r="BT696" s="1">
        <f t="shared" si="150"/>
        <v>-0.5499485333806533</v>
      </c>
      <c r="BU696" s="1">
        <f t="shared" si="151"/>
        <v>49.42824825872755</v>
      </c>
    </row>
    <row r="697" spans="49:73">
      <c r="AW697" s="1">
        <v>687</v>
      </c>
      <c r="AX697" s="1">
        <f t="shared" si="152"/>
        <v>343.5</v>
      </c>
      <c r="AZ697" s="1">
        <f t="shared" si="153"/>
        <v>-3360.5772566823948</v>
      </c>
      <c r="BA697" s="1">
        <f t="shared" si="154"/>
        <v>-119031.09913078119</v>
      </c>
      <c r="BC697" s="1">
        <f t="shared" si="155"/>
        <v>1006.1231571514367</v>
      </c>
      <c r="BD697" s="1">
        <f t="shared" si="156"/>
        <v>-3678.7589018095705</v>
      </c>
      <c r="BF697" s="1">
        <f t="shared" si="144"/>
        <v>3.5873575430418834</v>
      </c>
      <c r="BG697" s="1">
        <f t="shared" si="145"/>
        <v>88.999128259690124</v>
      </c>
      <c r="BJ697" s="1">
        <f t="shared" si="146"/>
        <v>5.6902658041302043</v>
      </c>
      <c r="BK697" s="1">
        <f t="shared" si="147"/>
        <v>30.820967248869479</v>
      </c>
      <c r="BO697" s="1">
        <f t="shared" si="148"/>
        <v>-1.3512022374259489</v>
      </c>
      <c r="BP697" s="1">
        <f t="shared" si="149"/>
        <v>10.47795422548891</v>
      </c>
      <c r="BT697" s="1">
        <f t="shared" si="150"/>
        <v>-0.75170602366237227</v>
      </c>
      <c r="BU697" s="1">
        <f t="shared" si="151"/>
        <v>47.700206785331737</v>
      </c>
    </row>
    <row r="698" spans="49:73">
      <c r="AW698" s="1">
        <v>688</v>
      </c>
      <c r="AX698" s="1">
        <f t="shared" si="152"/>
        <v>344</v>
      </c>
      <c r="AZ698" s="1">
        <f t="shared" si="153"/>
        <v>-2857.0672584137965</v>
      </c>
      <c r="BA698" s="1">
        <f t="shared" si="154"/>
        <v>-120859.35369065352</v>
      </c>
      <c r="BC698" s="1">
        <f t="shared" si="155"/>
        <v>1007.9168359229576</v>
      </c>
      <c r="BD698" s="1">
        <f t="shared" si="156"/>
        <v>-3634.2593376797254</v>
      </c>
      <c r="BF698" s="1">
        <f t="shared" si="144"/>
        <v>3.0863558668114948</v>
      </c>
      <c r="BG698" s="1">
        <f t="shared" si="145"/>
        <v>86.317726756332746</v>
      </c>
      <c r="BJ698" s="1">
        <f t="shared" si="146"/>
        <v>5.3527809697824971</v>
      </c>
      <c r="BK698" s="1">
        <f t="shared" si="147"/>
        <v>30.059827796848854</v>
      </c>
      <c r="BO698" s="1">
        <f t="shared" si="148"/>
        <v>-1.3336703508961172</v>
      </c>
      <c r="BP698" s="1">
        <f t="shared" si="149"/>
        <v>10.180477447203977</v>
      </c>
      <c r="BT698" s="1">
        <f t="shared" si="150"/>
        <v>-0.93275475207488501</v>
      </c>
      <c r="BU698" s="1">
        <f t="shared" si="151"/>
        <v>46.077421512279905</v>
      </c>
    </row>
    <row r="699" spans="49:73">
      <c r="AW699" s="1">
        <v>689</v>
      </c>
      <c r="AX699" s="1">
        <f t="shared" si="152"/>
        <v>344.5</v>
      </c>
      <c r="AZ699" s="1">
        <f t="shared" si="153"/>
        <v>-2352.7230459689663</v>
      </c>
      <c r="BA699" s="1">
        <f t="shared" si="154"/>
        <v>-122665.69364364883</v>
      </c>
      <c r="BC699" s="1">
        <f t="shared" si="155"/>
        <v>1009.4600138563634</v>
      </c>
      <c r="BD699" s="1">
        <f t="shared" si="156"/>
        <v>-3591.1004743015592</v>
      </c>
      <c r="BF699" s="1">
        <f t="shared" si="144"/>
        <v>2.6249981911334883</v>
      </c>
      <c r="BG699" s="1">
        <f t="shared" si="145"/>
        <v>83.782015664846995</v>
      </c>
      <c r="BJ699" s="1">
        <f t="shared" si="146"/>
        <v>5.0371220341796894</v>
      </c>
      <c r="BK699" s="1">
        <f t="shared" si="147"/>
        <v>29.332465767071131</v>
      </c>
      <c r="BO699" s="1">
        <f t="shared" si="148"/>
        <v>-1.3167057244127041</v>
      </c>
      <c r="BP699" s="1">
        <f t="shared" si="149"/>
        <v>9.8985060816350661</v>
      </c>
      <c r="BT699" s="1">
        <f t="shared" si="150"/>
        <v>-1.0954181186334975</v>
      </c>
      <c r="BU699" s="1">
        <f t="shared" si="151"/>
        <v>44.55104381614079</v>
      </c>
    </row>
    <row r="700" spans="49:73">
      <c r="AW700" s="1">
        <v>690</v>
      </c>
      <c r="AX700" s="1">
        <f t="shared" si="152"/>
        <v>345</v>
      </c>
      <c r="AZ700" s="1">
        <f t="shared" si="153"/>
        <v>-1847.664914266893</v>
      </c>
      <c r="BA700" s="1">
        <f t="shared" si="154"/>
        <v>-124450.7711288415</v>
      </c>
      <c r="BC700" s="1">
        <f t="shared" si="155"/>
        <v>1010.7725129519301</v>
      </c>
      <c r="BD700" s="1">
        <f t="shared" si="156"/>
        <v>-3549.2094664691358</v>
      </c>
      <c r="BF700" s="1">
        <f t="shared" si="144"/>
        <v>2.1995227695861121</v>
      </c>
      <c r="BG700" s="1">
        <f t="shared" si="145"/>
        <v>81.38085284369599</v>
      </c>
      <c r="BJ700" s="1">
        <f t="shared" si="146"/>
        <v>4.7415191325415185</v>
      </c>
      <c r="BK700" s="1">
        <f t="shared" si="147"/>
        <v>28.636795205168628</v>
      </c>
      <c r="BO700" s="1">
        <f t="shared" si="148"/>
        <v>-1.3002771006100187</v>
      </c>
      <c r="BP700" s="1">
        <f t="shared" si="149"/>
        <v>9.6308964126380747</v>
      </c>
      <c r="BT700" s="1">
        <f t="shared" si="150"/>
        <v>-1.2417192623453881</v>
      </c>
      <c r="BU700" s="1">
        <f t="shared" si="151"/>
        <v>43.113161225889286</v>
      </c>
    </row>
    <row r="701" spans="49:73">
      <c r="AW701" s="1">
        <v>691</v>
      </c>
      <c r="AX701" s="1">
        <f t="shared" si="152"/>
        <v>345.5</v>
      </c>
      <c r="AZ701" s="1">
        <f t="shared" si="153"/>
        <v>-1342.0037174447295</v>
      </c>
      <c r="BA701" s="1">
        <f t="shared" si="154"/>
        <v>-126215.20325547059</v>
      </c>
      <c r="BC701" s="1">
        <f t="shared" si="155"/>
        <v>1011.8722743367232</v>
      </c>
      <c r="BD701" s="1">
        <f t="shared" si="156"/>
        <v>-3508.5190400472879</v>
      </c>
      <c r="BF701" s="1">
        <f t="shared" si="144"/>
        <v>1.8065944268110299</v>
      </c>
      <c r="BG701" s="1">
        <f t="shared" si="145"/>
        <v>79.104185115450605</v>
      </c>
      <c r="BJ701" s="1">
        <f t="shared" si="146"/>
        <v>4.4643757064691059</v>
      </c>
      <c r="BK701" s="1">
        <f t="shared" si="147"/>
        <v>27.970893122437097</v>
      </c>
      <c r="BO701" s="1">
        <f t="shared" si="148"/>
        <v>-1.2843559492595702</v>
      </c>
      <c r="BP701" s="1">
        <f t="shared" si="149"/>
        <v>9.3766127954660234</v>
      </c>
      <c r="BT701" s="1">
        <f t="shared" si="150"/>
        <v>-1.3734253303985058</v>
      </c>
      <c r="BU701" s="1">
        <f t="shared" si="151"/>
        <v>41.756679197547484</v>
      </c>
    </row>
    <row r="702" spans="49:73">
      <c r="AW702" s="1">
        <v>692</v>
      </c>
      <c r="AX702" s="1">
        <f t="shared" si="152"/>
        <v>346</v>
      </c>
      <c r="AZ702" s="1">
        <f t="shared" si="153"/>
        <v>-835.84175597301657</v>
      </c>
      <c r="BA702" s="1">
        <f t="shared" si="154"/>
        <v>-127959.57475235481</v>
      </c>
      <c r="BC702" s="1">
        <f t="shared" si="155"/>
        <v>1012.7755715501287</v>
      </c>
      <c r="BD702" s="1">
        <f t="shared" si="156"/>
        <v>-3468.9669474895627</v>
      </c>
      <c r="BF702" s="1">
        <f t="shared" si="144"/>
        <v>1.4432481048589412</v>
      </c>
      <c r="BG702" s="1">
        <f t="shared" si="145"/>
        <v>76.942919670976437</v>
      </c>
      <c r="BJ702" s="1">
        <f t="shared" si="146"/>
        <v>4.2042486531540124</v>
      </c>
      <c r="BK702" s="1">
        <f t="shared" si="147"/>
        <v>27.3329842575783</v>
      </c>
      <c r="BO702" s="1">
        <f t="shared" si="148"/>
        <v>-1.2689161288875783</v>
      </c>
      <c r="BP702" s="1">
        <f t="shared" si="149"/>
        <v>9.1347153007514112</v>
      </c>
      <c r="BT702" s="1">
        <f t="shared" si="150"/>
        <v>-1.4920844194074929</v>
      </c>
      <c r="BU702" s="1">
        <f t="shared" si="151"/>
        <v>40.475220112646724</v>
      </c>
    </row>
    <row r="703" spans="49:73">
      <c r="AW703" s="1">
        <v>693</v>
      </c>
      <c r="AX703" s="1">
        <f t="shared" si="152"/>
        <v>346.5</v>
      </c>
      <c r="AZ703" s="1">
        <f t="shared" si="153"/>
        <v>-329.27356418484487</v>
      </c>
      <c r="BA703" s="1">
        <f t="shared" si="154"/>
        <v>-129684.44036114072</v>
      </c>
      <c r="BC703" s="1">
        <f t="shared" si="155"/>
        <v>1013.4971956025581</v>
      </c>
      <c r="BD703" s="1">
        <f t="shared" si="156"/>
        <v>-3430.4954876540746</v>
      </c>
      <c r="BF703" s="1">
        <f t="shared" si="144"/>
        <v>1.1068409380591586</v>
      </c>
      <c r="BG703" s="1">
        <f t="shared" si="145"/>
        <v>74.888813163361704</v>
      </c>
      <c r="BJ703" s="1">
        <f t="shared" si="146"/>
        <v>3.9598310704809556</v>
      </c>
      <c r="BK703" s="1">
        <f t="shared" si="147"/>
        <v>26.721427483056679</v>
      </c>
      <c r="BO703" s="1">
        <f t="shared" si="148"/>
        <v>-1.2539336015864331</v>
      </c>
      <c r="BP703" s="1">
        <f t="shared" si="149"/>
        <v>8.9043490060804178</v>
      </c>
      <c r="BT703" s="1">
        <f t="shared" si="150"/>
        <v>-1.5990565308353639</v>
      </c>
      <c r="BU703" s="1">
        <f t="shared" si="151"/>
        <v>39.263036674224615</v>
      </c>
    </row>
    <row r="704" spans="49:73">
      <c r="AW704" s="1">
        <v>694</v>
      </c>
      <c r="AX704" s="1">
        <f t="shared" si="152"/>
        <v>347</v>
      </c>
      <c r="AZ704" s="1">
        <f t="shared" si="153"/>
        <v>177.61338873369158</v>
      </c>
      <c r="BA704" s="1">
        <f t="shared" si="154"/>
        <v>-131390.32700332234</v>
      </c>
      <c r="BC704" s="1">
        <f t="shared" si="155"/>
        <v>1014.0506160715877</v>
      </c>
      <c r="BD704" s="1">
        <f t="shared" si="156"/>
        <v>-3393.0510810723936</v>
      </c>
      <c r="BF704" s="1">
        <f t="shared" si="144"/>
        <v>0.79501141224292149</v>
      </c>
      <c r="BG704" s="1">
        <f t="shared" si="145"/>
        <v>72.934375729186442</v>
      </c>
      <c r="BJ704" s="1">
        <f t="shared" si="146"/>
        <v>3.7299372175645891</v>
      </c>
      <c r="BK704" s="1">
        <f t="shared" si="147"/>
        <v>26.134703656469213</v>
      </c>
      <c r="BO704" s="1">
        <f t="shared" si="148"/>
        <v>-1.239386191264813</v>
      </c>
      <c r="BP704" s="1">
        <f t="shared" si="149"/>
        <v>8.684734685430092</v>
      </c>
      <c r="BT704" s="1">
        <f t="shared" si="150"/>
        <v>-1.6955396140568546</v>
      </c>
      <c r="BU704" s="1">
        <f t="shared" si="151"/>
        <v>38.114937387287135</v>
      </c>
    </row>
    <row r="705" spans="49:73">
      <c r="AW705" s="1">
        <v>695</v>
      </c>
      <c r="AX705" s="1">
        <f t="shared" si="152"/>
        <v>347.5</v>
      </c>
      <c r="AZ705" s="1">
        <f t="shared" si="153"/>
        <v>684.73807319601588</v>
      </c>
      <c r="BA705" s="1">
        <f t="shared" si="154"/>
        <v>-133077.73574689237</v>
      </c>
      <c r="BC705" s="1">
        <f t="shared" si="155"/>
        <v>1014.4481217777092</v>
      </c>
      <c r="BD705" s="1">
        <f t="shared" si="156"/>
        <v>-3356.5838932078004</v>
      </c>
      <c r="BF705" s="1">
        <f t="shared" si="144"/>
        <v>0.50564443423394678</v>
      </c>
      <c r="BG705" s="1">
        <f t="shared" si="145"/>
        <v>71.072787655131521</v>
      </c>
      <c r="BJ705" s="1">
        <f t="shared" si="146"/>
        <v>3.5134893718621272</v>
      </c>
      <c r="BK705" s="1">
        <f t="shared" si="147"/>
        <v>25.571404744024385</v>
      </c>
      <c r="BO705" s="1">
        <f t="shared" si="148"/>
        <v>-1.2252533775727168</v>
      </c>
      <c r="BP705" s="1">
        <f t="shared" si="149"/>
        <v>8.4751606889576525</v>
      </c>
      <c r="BT705" s="1">
        <f t="shared" si="150"/>
        <v>-1.7825915600554634</v>
      </c>
      <c r="BU705" s="1">
        <f t="shared" si="151"/>
        <v>37.026222222149492</v>
      </c>
    </row>
    <row r="706" spans="49:73">
      <c r="AW706" s="1">
        <v>696</v>
      </c>
      <c r="AX706" s="1">
        <f t="shared" si="152"/>
        <v>348</v>
      </c>
      <c r="AZ706" s="1">
        <f t="shared" si="153"/>
        <v>1192.0253396391497</v>
      </c>
      <c r="BA706" s="1">
        <f t="shared" si="154"/>
        <v>-134747.14359503938</v>
      </c>
      <c r="BC706" s="1">
        <f t="shared" si="155"/>
        <v>1014.7009439948262</v>
      </c>
      <c r="BD706" s="1">
        <f t="shared" si="156"/>
        <v>-3321.0474993802345</v>
      </c>
      <c r="BF706" s="1">
        <f t="shared" si="144"/>
        <v>0.23684135248980875</v>
      </c>
      <c r="BG706" s="1">
        <f t="shared" si="145"/>
        <v>69.297826796623369</v>
      </c>
      <c r="BJ706" s="1">
        <f t="shared" si="146"/>
        <v>3.3095063147119057</v>
      </c>
      <c r="BK706" s="1">
        <f t="shared" si="147"/>
        <v>25.030224066054853</v>
      </c>
      <c r="BO706" s="1">
        <f t="shared" si="148"/>
        <v>-1.2115161192882988</v>
      </c>
      <c r="BP706" s="1">
        <f t="shared" si="149"/>
        <v>8.2749758400069133</v>
      </c>
      <c r="BT706" s="1">
        <f t="shared" si="150"/>
        <v>-1.8611488429337981</v>
      </c>
      <c r="BU706" s="1">
        <f t="shared" si="151"/>
        <v>35.992626890561603</v>
      </c>
    </row>
    <row r="707" spans="49:73">
      <c r="AW707" s="1">
        <v>697</v>
      </c>
      <c r="AX707" s="1">
        <f t="shared" si="152"/>
        <v>348.5</v>
      </c>
      <c r="AZ707" s="1">
        <f t="shared" si="153"/>
        <v>1699.4054168056239</v>
      </c>
      <c r="BA707" s="1">
        <f t="shared" si="154"/>
        <v>-136399.00511637994</v>
      </c>
      <c r="BC707" s="1">
        <f t="shared" si="155"/>
        <v>1014.8193646710711</v>
      </c>
      <c r="BD707" s="1">
        <f t="shared" si="156"/>
        <v>-3286.3985859819227</v>
      </c>
      <c r="BF707" s="1">
        <f t="shared" si="144"/>
        <v>-1.3105858217991484E-2</v>
      </c>
      <c r="BG707" s="1">
        <f t="shared" si="145"/>
        <v>67.603805171263232</v>
      </c>
      <c r="BJ707" s="1">
        <f t="shared" si="146"/>
        <v>3.1170932190475265</v>
      </c>
      <c r="BK707" s="1">
        <f t="shared" si="147"/>
        <v>24.509947534046695</v>
      </c>
      <c r="BO707" s="1">
        <f t="shared" si="148"/>
        <v>-1.1981567021666395</v>
      </c>
      <c r="BP707" s="1">
        <f t="shared" si="149"/>
        <v>8.0835832043061018</v>
      </c>
      <c r="BT707" s="1">
        <f t="shared" si="150"/>
        <v>-1.9320423750988784</v>
      </c>
      <c r="BU707" s="1">
        <f t="shared" si="151"/>
        <v>35.010274432910435</v>
      </c>
    </row>
    <row r="708" spans="49:73">
      <c r="AW708" s="1">
        <v>698</v>
      </c>
      <c r="AX708" s="1">
        <f t="shared" si="152"/>
        <v>349</v>
      </c>
      <c r="AZ708" s="1">
        <f t="shared" si="153"/>
        <v>2206.813460908882</v>
      </c>
      <c r="BA708" s="1">
        <f t="shared" si="154"/>
        <v>-138033.75393372448</v>
      </c>
      <c r="BC708" s="1">
        <f t="shared" si="155"/>
        <v>1014.812811741962</v>
      </c>
      <c r="BD708" s="1">
        <f t="shared" si="156"/>
        <v>-3252.5966833962912</v>
      </c>
      <c r="BF708" s="1">
        <f t="shared" si="144"/>
        <v>-0.24573689687504952</v>
      </c>
      <c r="BG708" s="1">
        <f t="shared" si="145"/>
        <v>65.985513407844138</v>
      </c>
      <c r="BJ708" s="1">
        <f t="shared" si="146"/>
        <v>2.9354327477836555</v>
      </c>
      <c r="BK708" s="1">
        <f t="shared" si="147"/>
        <v>24.00944576545562</v>
      </c>
      <c r="BO708" s="1">
        <f t="shared" si="148"/>
        <v>-1.1851586072058413</v>
      </c>
      <c r="BP708" s="1">
        <f t="shared" si="149"/>
        <v>7.9004346094221036</v>
      </c>
      <c r="BT708" s="1">
        <f t="shared" si="150"/>
        <v>-1.9960110374528637</v>
      </c>
      <c r="BU708" s="1">
        <f t="shared" si="151"/>
        <v>34.075633032966422</v>
      </c>
    </row>
    <row r="709" spans="49:73">
      <c r="AW709" s="1">
        <v>699</v>
      </c>
      <c r="AX709" s="1">
        <f t="shared" si="152"/>
        <v>349.5</v>
      </c>
      <c r="AZ709" s="1">
        <f t="shared" si="153"/>
        <v>2714.1891496677536</v>
      </c>
      <c r="BA709" s="1">
        <f t="shared" si="154"/>
        <v>-139651.80408624667</v>
      </c>
      <c r="BC709" s="1">
        <f t="shared" si="155"/>
        <v>1014.6899432935245</v>
      </c>
      <c r="BD709" s="1">
        <f t="shared" si="156"/>
        <v>-3219.603926692369</v>
      </c>
      <c r="BF709" s="1">
        <f t="shared" si="144"/>
        <v>-0.46244245806734008</v>
      </c>
      <c r="BG709" s="1">
        <f t="shared" si="145"/>
        <v>64.43817194342941</v>
      </c>
      <c r="BJ709" s="1">
        <f t="shared" si="146"/>
        <v>2.7637772002840437</v>
      </c>
      <c r="BK709" s="1">
        <f t="shared" si="147"/>
        <v>23.527666977011719</v>
      </c>
      <c r="BO709" s="1">
        <f t="shared" si="148"/>
        <v>-1.1725063960414606</v>
      </c>
      <c r="BP709" s="1">
        <f t="shared" si="149"/>
        <v>7.725025811578857</v>
      </c>
      <c r="BT709" s="1">
        <f t="shared" si="150"/>
        <v>-2.0537132623099232</v>
      </c>
      <c r="BU709" s="1">
        <f t="shared" si="151"/>
        <v>33.185479154838831</v>
      </c>
    </row>
    <row r="710" spans="49:73">
      <c r="AW710" s="1">
        <v>700</v>
      </c>
      <c r="AX710" s="1">
        <f t="shared" si="152"/>
        <v>350</v>
      </c>
      <c r="AZ710" s="1">
        <f t="shared" si="153"/>
        <v>3221.4763160072571</v>
      </c>
      <c r="BA710" s="1">
        <f t="shared" si="154"/>
        <v>-141253.55127809994</v>
      </c>
      <c r="BC710" s="1">
        <f t="shared" si="155"/>
        <v>1014.4587220644909</v>
      </c>
      <c r="BD710" s="1">
        <f t="shared" si="156"/>
        <v>-3187.3848407206542</v>
      </c>
      <c r="BF710" s="1">
        <f t="shared" si="144"/>
        <v>-0.66448102188647851</v>
      </c>
      <c r="BG710" s="1">
        <f t="shared" si="145"/>
        <v>62.95738803530228</v>
      </c>
      <c r="BJ710" s="1">
        <f t="shared" si="146"/>
        <v>2.6014415684672083</v>
      </c>
      <c r="BK710" s="1">
        <f t="shared" si="147"/>
        <v>23.06363056966407</v>
      </c>
      <c r="BO710" s="1">
        <f t="shared" si="148"/>
        <v>-1.1601856107817381</v>
      </c>
      <c r="BP710" s="1">
        <f t="shared" si="149"/>
        <v>7.5568922227190276</v>
      </c>
      <c r="BT710" s="1">
        <f t="shared" si="150"/>
        <v>-2.1057369795719487</v>
      </c>
      <c r="BU710" s="1">
        <f t="shared" si="151"/>
        <v>32.336865242919181</v>
      </c>
    </row>
    <row r="711" spans="49:73">
      <c r="AW711" s="1">
        <v>701</v>
      </c>
      <c r="AX711" s="1">
        <f t="shared" si="152"/>
        <v>350.5</v>
      </c>
      <c r="AZ711" s="1">
        <f t="shared" si="153"/>
        <v>3728.6226169117667</v>
      </c>
      <c r="BA711" s="1">
        <f t="shared" si="154"/>
        <v>-142839.37402495588</v>
      </c>
      <c r="BC711" s="1">
        <f t="shared" si="155"/>
        <v>1014.1264815535476</v>
      </c>
      <c r="BD711" s="1">
        <f t="shared" si="156"/>
        <v>-3155.9061467030033</v>
      </c>
      <c r="BF711" s="1">
        <f t="shared" si="144"/>
        <v>-0.85299348421019339</v>
      </c>
      <c r="BG711" s="1">
        <f t="shared" si="145"/>
        <v>61.539117798709611</v>
      </c>
      <c r="BJ711" s="1">
        <f t="shared" si="146"/>
        <v>2.4477973843284073</v>
      </c>
      <c r="BK711" s="1">
        <f t="shared" si="147"/>
        <v>22.616421329047458</v>
      </c>
      <c r="BO711" s="1">
        <f t="shared" si="148"/>
        <v>-1.1481826860761015</v>
      </c>
      <c r="BP711" s="1">
        <f t="shared" si="149"/>
        <v>7.3956051237921843</v>
      </c>
      <c r="BT711" s="1">
        <f t="shared" si="150"/>
        <v>-2.1526081824624992</v>
      </c>
      <c r="BU711" s="1">
        <f t="shared" si="151"/>
        <v>31.527091345869973</v>
      </c>
    </row>
    <row r="712" spans="49:73">
      <c r="AW712" s="1">
        <v>702</v>
      </c>
      <c r="AX712" s="1">
        <f t="shared" si="152"/>
        <v>351</v>
      </c>
      <c r="AZ712" s="1">
        <f t="shared" si="153"/>
        <v>4235.5792335030146</v>
      </c>
      <c r="BA712" s="1">
        <f t="shared" si="154"/>
        <v>-144409.63470858254</v>
      </c>
      <c r="BC712" s="1">
        <f t="shared" si="155"/>
        <v>1013.6999848114425</v>
      </c>
      <c r="BD712" s="1">
        <f t="shared" si="156"/>
        <v>-3125.1365878036486</v>
      </c>
      <c r="BF712" s="1">
        <f t="shared" si="144"/>
        <v>-1.0290159391013802</v>
      </c>
      <c r="BG712" s="1">
        <f t="shared" si="145"/>
        <v>60.179632600992178</v>
      </c>
      <c r="BJ712" s="1">
        <f t="shared" si="146"/>
        <v>2.3022672576518879</v>
      </c>
      <c r="BK712" s="1">
        <f t="shared" si="147"/>
        <v>22.185184174650992</v>
      </c>
      <c r="BO712" s="1">
        <f t="shared" si="148"/>
        <v>-1.1364848715958005</v>
      </c>
      <c r="BP712" s="1">
        <f t="shared" si="149"/>
        <v>7.240768301190438</v>
      </c>
      <c r="BT712" s="1">
        <f t="shared" si="150"/>
        <v>-2.1947983251574676</v>
      </c>
      <c r="BU712" s="1">
        <f t="shared" si="151"/>
        <v>30.753680125150748</v>
      </c>
    </row>
    <row r="713" spans="49:73">
      <c r="AW713" s="1">
        <v>703</v>
      </c>
      <c r="AX713" s="1">
        <f t="shared" si="152"/>
        <v>351.5</v>
      </c>
      <c r="AZ713" s="1">
        <f t="shared" si="153"/>
        <v>4742.3005989163485</v>
      </c>
      <c r="BA713" s="1">
        <f t="shared" si="154"/>
        <v>-145964.68054840923</v>
      </c>
      <c r="BC713" s="1">
        <f t="shared" si="155"/>
        <v>1013.1854768418918</v>
      </c>
      <c r="BD713" s="1">
        <f t="shared" si="156"/>
        <v>-3095.0467715031523</v>
      </c>
      <c r="BF713" s="1">
        <f t="shared" si="144"/>
        <v>-1.1934908752720592</v>
      </c>
      <c r="BG713" s="1">
        <f t="shared" si="145"/>
        <v>58.875489242326296</v>
      </c>
      <c r="BJ713" s="1">
        <f t="shared" si="146"/>
        <v>2.1643200170101373</v>
      </c>
      <c r="BK713" s="1">
        <f t="shared" si="147"/>
        <v>21.769119398917915</v>
      </c>
      <c r="BO713" s="1">
        <f t="shared" si="148"/>
        <v>-1.12508016341676</v>
      </c>
      <c r="BP713" s="1">
        <f t="shared" si="149"/>
        <v>7.092015052405122</v>
      </c>
      <c r="BT713" s="1">
        <f t="shared" si="150"/>
        <v>-2.2327307288654366</v>
      </c>
      <c r="BU713" s="1">
        <f t="shared" si="151"/>
        <v>30.014354791003257</v>
      </c>
    </row>
    <row r="714" spans="49:73">
      <c r="AW714" s="1">
        <v>704</v>
      </c>
      <c r="AX714" s="1">
        <f t="shared" si="152"/>
        <v>352</v>
      </c>
      <c r="AZ714" s="1">
        <f t="shared" si="153"/>
        <v>5248.7441509778855</v>
      </c>
      <c r="BA714" s="1">
        <f t="shared" si="154"/>
        <v>-147504.84449800552</v>
      </c>
      <c r="BC714" s="1">
        <f t="shared" si="155"/>
        <v>1012.5887314042558</v>
      </c>
      <c r="BD714" s="1">
        <f t="shared" si="156"/>
        <v>-3065.6090268819889</v>
      </c>
      <c r="BF714" s="1">
        <f t="shared" si="144"/>
        <v>-1.3472770074653477</v>
      </c>
      <c r="BG714" s="1">
        <f t="shared" si="145"/>
        <v>57.623503436655568</v>
      </c>
      <c r="BJ714" s="1">
        <f t="shared" si="146"/>
        <v>2.0334663792534218</v>
      </c>
      <c r="BK714" s="1">
        <f t="shared" si="147"/>
        <v>21.367478344495929</v>
      </c>
      <c r="BO714" s="1">
        <f t="shared" si="148"/>
        <v>-1.113957243047474</v>
      </c>
      <c r="BP714" s="1">
        <f t="shared" si="149"/>
        <v>6.9490055146692891</v>
      </c>
      <c r="BT714" s="1">
        <f t="shared" si="150"/>
        <v>-2.2667861436712955</v>
      </c>
      <c r="BU714" s="1">
        <f t="shared" si="151"/>
        <v>29.307019577490347</v>
      </c>
    </row>
    <row r="715" spans="49:73">
      <c r="AW715" s="1">
        <v>705</v>
      </c>
      <c r="AX715" s="1">
        <f t="shared" si="152"/>
        <v>352.5</v>
      </c>
      <c r="AZ715" s="1">
        <f t="shared" si="153"/>
        <v>5754.8701070540801</v>
      </c>
      <c r="BA715" s="1">
        <f t="shared" si="154"/>
        <v>-149030.44607351694</v>
      </c>
      <c r="BC715" s="1">
        <f t="shared" si="155"/>
        <v>1011.9150929005231</v>
      </c>
      <c r="BD715" s="1">
        <f t="shared" si="156"/>
        <v>-3036.7972751636612</v>
      </c>
      <c r="BF715" s="1">
        <f t="shared" ref="BF715:BF778" si="157">BJ715 + BO715 + BT715</f>
        <v>-1.4911579295639059</v>
      </c>
      <c r="BG715" s="1">
        <f t="shared" ref="BG715:BG778" si="158">BK715 + BP715 + BU715</f>
        <v>56.420726176261695</v>
      </c>
      <c r="BJ715" s="1">
        <f t="shared" ref="BJ715:BJ778" si="159">$M$22*($M$18 - AZ715)/ (SQRT(($M$18 - AZ715)^2 + ($N$18 - BA715)^2 )^2 + $M$23^2)^(3/2)</f>
        <v>1.9092550829549986</v>
      </c>
      <c r="BK715" s="1">
        <f t="shared" ref="BK715:BK778" si="160">$M$22*($N$18 - BA715)/ (SQRT(($M$18 - AZ715)^2 + ($N$18 - BA715)^2 )^2 + $M$23^2)^(3/2)</f>
        <v>20.979559473941126</v>
      </c>
      <c r="BO715" s="1">
        <f t="shared" ref="BO715:BO778" si="161">$M$30*($M$26 - AZ715)/ (SQRT(($M$26 - AZ715)^2 + ($N$26 - BA715)^2 )^2 + $M$31^2)^(3/2)</f>
        <v>-1.1031054230501831</v>
      </c>
      <c r="BP715" s="1">
        <f t="shared" ref="BP715:BP778" si="162">$M$30*($N$26 - BA715)/ (SQRT(($M$26 - AZ715)^2 + ($N$26 - BA715)^2 )^2 + $M$31^2)^(3/2)</f>
        <v>6.8114242768297988</v>
      </c>
      <c r="BT715" s="1">
        <f t="shared" ref="BT715:BT778" si="163">$M$38*($M$34 - AZ715)/ (SQRT(($M$34 - AZ715)^2 + ($N$34 - BA715)^2 )^2 + $M$39^2)^(3/2)</f>
        <v>-2.2973075894687214</v>
      </c>
      <c r="BU715" s="1">
        <f t="shared" ref="BU715:BU778" si="164">$M$38*($N$34 - BA715)/ (SQRT(($M$34 - AZ715)^2 + ($N$34 - BA715)^2 )^2 + $M$39^2)^(3/2)</f>
        <v>28.629742425490768</v>
      </c>
    </row>
    <row r="716" spans="49:73">
      <c r="AW716" s="1">
        <v>706</v>
      </c>
      <c r="AX716" s="1">
        <f t="shared" ref="AX716:AX779" si="165">AX715+$M$5</f>
        <v>353</v>
      </c>
      <c r="AZ716" s="1">
        <f t="shared" ref="AZ716:AZ779" si="166">AZ715 + BC715 * $M$5 + 0.5 * BF715 * POWER($M$5, 2)</f>
        <v>6260.6412587631457</v>
      </c>
      <c r="BA716" s="1">
        <f t="shared" ref="BA716:BA779" si="167">BA715+BD715*$M$5+0.5*BG715* POWER($M$5, 2)</f>
        <v>-150541.79212032672</v>
      </c>
      <c r="BC716" s="1">
        <f t="shared" ref="BC716:BC779" si="168">BC715 + BF715 * $M$5</f>
        <v>1011.1695139357411</v>
      </c>
      <c r="BD716" s="1">
        <f t="shared" ref="BD716:BD779" si="169">BD715+BG715*$M$5</f>
        <v>-3008.5869120755306</v>
      </c>
      <c r="BF716" s="1">
        <f t="shared" si="157"/>
        <v>-1.6258497479341971</v>
      </c>
      <c r="BG716" s="1">
        <f t="shared" si="158"/>
        <v>55.264422622272335</v>
      </c>
      <c r="BJ716" s="1">
        <f t="shared" si="159"/>
        <v>1.7912694299990541</v>
      </c>
      <c r="BK716" s="1">
        <f t="shared" si="160"/>
        <v>20.604704791478618</v>
      </c>
      <c r="BO716" s="1">
        <f t="shared" si="161"/>
        <v>-1.0925145983719373</v>
      </c>
      <c r="BP716" s="1">
        <f t="shared" si="162"/>
        <v>6.6789782401722935</v>
      </c>
      <c r="BT716" s="1">
        <f t="shared" si="163"/>
        <v>-2.3246045795613139</v>
      </c>
      <c r="BU716" s="1">
        <f t="shared" si="164"/>
        <v>27.980739590621429</v>
      </c>
    </row>
    <row r="717" spans="49:73">
      <c r="AW717" s="1">
        <v>707</v>
      </c>
      <c r="AX717" s="1">
        <f t="shared" si="165"/>
        <v>353.5</v>
      </c>
      <c r="AZ717" s="1">
        <f t="shared" si="166"/>
        <v>6766.0227845125246</v>
      </c>
      <c r="BA717" s="1">
        <f t="shared" si="167"/>
        <v>-152039.17752353669</v>
      </c>
      <c r="BC717" s="1">
        <f t="shared" si="168"/>
        <v>1010.356589061774</v>
      </c>
      <c r="BD717" s="1">
        <f t="shared" si="169"/>
        <v>-2980.9547007643946</v>
      </c>
      <c r="BF717" s="1">
        <f t="shared" si="157"/>
        <v>-1.7520078299069777</v>
      </c>
      <c r="BG717" s="1">
        <f t="shared" si="158"/>
        <v>54.152053213054032</v>
      </c>
      <c r="BJ717" s="1">
        <f t="shared" si="159"/>
        <v>1.6791241869300062</v>
      </c>
      <c r="BK717" s="1">
        <f t="shared" si="160"/>
        <v>20.242296581045071</v>
      </c>
      <c r="BO717" s="1">
        <f t="shared" si="161"/>
        <v>-1.0821752026404836</v>
      </c>
      <c r="BP717" s="1">
        <f t="shared" si="162"/>
        <v>6.5513946985689335</v>
      </c>
      <c r="BT717" s="1">
        <f t="shared" si="163"/>
        <v>-2.3489568141965003</v>
      </c>
      <c r="BU717" s="1">
        <f t="shared" si="164"/>
        <v>27.358361933440023</v>
      </c>
    </row>
    <row r="718" spans="49:73">
      <c r="AW718" s="1">
        <v>708</v>
      </c>
      <c r="AX718" s="1">
        <f t="shared" si="165"/>
        <v>354</v>
      </c>
      <c r="AZ718" s="1">
        <f t="shared" si="166"/>
        <v>7270.9820780646733</v>
      </c>
      <c r="BA718" s="1">
        <f t="shared" si="167"/>
        <v>-153522.88586726726</v>
      </c>
      <c r="BC718" s="1">
        <f t="shared" si="168"/>
        <v>1009.4805851468205</v>
      </c>
      <c r="BD718" s="1">
        <f t="shared" si="169"/>
        <v>-2953.8786741578674</v>
      </c>
      <c r="BF718" s="1">
        <f t="shared" si="157"/>
        <v>-1.8702327825342835</v>
      </c>
      <c r="BG718" s="1">
        <f t="shared" si="158"/>
        <v>53.081256724506517</v>
      </c>
      <c r="BJ718" s="1">
        <f t="shared" si="159"/>
        <v>1.5724628040313584</v>
      </c>
      <c r="BK718" s="1">
        <f t="shared" si="160"/>
        <v>19.891754428889001</v>
      </c>
      <c r="BO718" s="1">
        <f t="shared" si="161"/>
        <v>-1.0720781687935497</v>
      </c>
      <c r="BP718" s="1">
        <f t="shared" si="162"/>
        <v>6.4284196122671364</v>
      </c>
      <c r="BT718" s="1">
        <f t="shared" si="163"/>
        <v>-2.3706174177720922</v>
      </c>
      <c r="BU718" s="1">
        <f t="shared" si="164"/>
        <v>26.761082683350381</v>
      </c>
    </row>
    <row r="719" spans="49:73">
      <c r="AW719" s="1">
        <v>709</v>
      </c>
      <c r="AX719" s="1">
        <f t="shared" si="165"/>
        <v>354.5</v>
      </c>
      <c r="AZ719" s="1">
        <f t="shared" si="166"/>
        <v>7775.4885915402665</v>
      </c>
      <c r="BA719" s="1">
        <f t="shared" si="167"/>
        <v>-154993.19004725566</v>
      </c>
      <c r="BC719" s="1">
        <f t="shared" si="168"/>
        <v>1008.5454687555534</v>
      </c>
      <c r="BD719" s="1">
        <f t="shared" si="169"/>
        <v>-2927.3380457956141</v>
      </c>
      <c r="BF719" s="1">
        <f t="shared" si="157"/>
        <v>-1.9810757601729436</v>
      </c>
      <c r="BG719" s="1">
        <f t="shared" si="158"/>
        <v>52.049835052000098</v>
      </c>
      <c r="BJ719" s="1">
        <f t="shared" si="159"/>
        <v>1.470954915539102</v>
      </c>
      <c r="BK719" s="1">
        <f t="shared" si="160"/>
        <v>19.552532502544924</v>
      </c>
      <c r="BO719" s="1">
        <f t="shared" si="161"/>
        <v>-1.0622148935048648</v>
      </c>
      <c r="BP719" s="1">
        <f t="shared" si="162"/>
        <v>6.3098160530091612</v>
      </c>
      <c r="BT719" s="1">
        <f t="shared" si="163"/>
        <v>-2.3898157822071808</v>
      </c>
      <c r="BU719" s="1">
        <f t="shared" si="164"/>
        <v>26.187486496446013</v>
      </c>
    </row>
    <row r="720" spans="49:73">
      <c r="AW720" s="1">
        <v>710</v>
      </c>
      <c r="AX720" s="1">
        <f t="shared" si="165"/>
        <v>355</v>
      </c>
      <c r="AZ720" s="1">
        <f t="shared" si="166"/>
        <v>8279.5136914480227</v>
      </c>
      <c r="BA720" s="1">
        <f t="shared" si="167"/>
        <v>-156450.35284077196</v>
      </c>
      <c r="BC720" s="1">
        <f t="shared" si="168"/>
        <v>1007.554930875467</v>
      </c>
      <c r="BD720" s="1">
        <f t="shared" si="169"/>
        <v>-2901.313128269614</v>
      </c>
      <c r="BF720" s="1">
        <f t="shared" si="157"/>
        <v>-2.0850431854704228</v>
      </c>
      <c r="BG720" s="1">
        <f t="shared" si="158"/>
        <v>51.05573951412434</v>
      </c>
      <c r="BJ720" s="1">
        <f t="shared" si="159"/>
        <v>1.3742940890622104</v>
      </c>
      <c r="BK720" s="1">
        <f t="shared" si="160"/>
        <v>19.224117061109695</v>
      </c>
      <c r="BO720" s="1">
        <f t="shared" si="161"/>
        <v>-1.0525772049484849</v>
      </c>
      <c r="BP720" s="1">
        <f t="shared" si="162"/>
        <v>6.195362801051683</v>
      </c>
      <c r="BT720" s="1">
        <f t="shared" si="163"/>
        <v>-2.406760069584148</v>
      </c>
      <c r="BU720" s="1">
        <f t="shared" si="164"/>
        <v>25.636259651962959</v>
      </c>
    </row>
    <row r="721" spans="49:73">
      <c r="AW721" s="1">
        <v>711</v>
      </c>
      <c r="AX721" s="1">
        <f t="shared" si="165"/>
        <v>355.5</v>
      </c>
      <c r="AZ721" s="1">
        <f t="shared" si="166"/>
        <v>8783.0305264875733</v>
      </c>
      <c r="BA721" s="1">
        <f t="shared" si="167"/>
        <v>-157894.62743746751</v>
      </c>
      <c r="BC721" s="1">
        <f t="shared" si="168"/>
        <v>1006.5124092827318</v>
      </c>
      <c r="BD721" s="1">
        <f t="shared" si="169"/>
        <v>-2875.785258512552</v>
      </c>
      <c r="BF721" s="1">
        <f t="shared" si="157"/>
        <v>-2.1826009565254259</v>
      </c>
      <c r="BG721" s="1">
        <f t="shared" si="158"/>
        <v>50.097058504406149</v>
      </c>
      <c r="BJ721" s="1">
        <f t="shared" si="159"/>
        <v>1.2821957962981729</v>
      </c>
      <c r="BK721" s="1">
        <f t="shared" si="160"/>
        <v>18.906024174479391</v>
      </c>
      <c r="BO721" s="1">
        <f t="shared" si="161"/>
        <v>-1.0431573335087447</v>
      </c>
      <c r="BP721" s="1">
        <f t="shared" si="162"/>
        <v>6.0848530771261133</v>
      </c>
      <c r="BT721" s="1">
        <f t="shared" si="163"/>
        <v>-2.4216394193148543</v>
      </c>
      <c r="BU721" s="1">
        <f t="shared" si="164"/>
        <v>25.106181252800646</v>
      </c>
    </row>
    <row r="722" spans="49:73">
      <c r="AW722" s="1">
        <v>712</v>
      </c>
      <c r="AX722" s="1">
        <f t="shared" si="165"/>
        <v>356</v>
      </c>
      <c r="AZ722" s="1">
        <f t="shared" si="166"/>
        <v>9286.0139060093734</v>
      </c>
      <c r="BA722" s="1">
        <f t="shared" si="167"/>
        <v>-159326.25793441074</v>
      </c>
      <c r="BC722" s="1">
        <f t="shared" si="168"/>
        <v>1005.4211088044691</v>
      </c>
      <c r="BD722" s="1">
        <f t="shared" si="169"/>
        <v>-2850.736729260349</v>
      </c>
      <c r="BF722" s="1">
        <f t="shared" si="157"/>
        <v>-2.2741782029959565</v>
      </c>
      <c r="BG722" s="1">
        <f t="shared" si="158"/>
        <v>49.172006339417891</v>
      </c>
      <c r="BJ722" s="1">
        <f t="shared" si="159"/>
        <v>1.1943955805944484</v>
      </c>
      <c r="BK722" s="1">
        <f t="shared" si="160"/>
        <v>18.597797631614512</v>
      </c>
      <c r="BO722" s="1">
        <f t="shared" si="161"/>
        <v>-1.0339478850979107</v>
      </c>
      <c r="BP722" s="1">
        <f t="shared" si="162"/>
        <v>5.9780933945026478</v>
      </c>
      <c r="BT722" s="1">
        <f t="shared" si="163"/>
        <v>-2.4346258984924942</v>
      </c>
      <c r="BU722" s="1">
        <f t="shared" si="164"/>
        <v>24.596115313300729</v>
      </c>
    </row>
    <row r="723" spans="49:73">
      <c r="AW723" s="1">
        <v>713</v>
      </c>
      <c r="AX723" s="1">
        <f t="shared" si="165"/>
        <v>356.5</v>
      </c>
      <c r="AZ723" s="1">
        <f t="shared" si="166"/>
        <v>9788.4401881362337</v>
      </c>
      <c r="BA723" s="1">
        <f t="shared" si="167"/>
        <v>-160745.47979824847</v>
      </c>
      <c r="BC723" s="1">
        <f t="shared" si="168"/>
        <v>1004.2840197029711</v>
      </c>
      <c r="BD723" s="1">
        <f t="shared" si="169"/>
        <v>-2826.1507260906401</v>
      </c>
      <c r="BF723" s="1">
        <f t="shared" si="157"/>
        <v>-2.3601706454329952</v>
      </c>
      <c r="BG723" s="1">
        <f t="shared" si="158"/>
        <v>48.278913170800116</v>
      </c>
      <c r="BJ723" s="1">
        <f t="shared" si="159"/>
        <v>1.1106473998987041</v>
      </c>
      <c r="BK723" s="1">
        <f t="shared" si="160"/>
        <v>18.299007020018571</v>
      </c>
      <c r="BO723" s="1">
        <f t="shared" si="161"/>
        <v>-1.0249418167898248</v>
      </c>
      <c r="BP723" s="1">
        <f t="shared" si="162"/>
        <v>5.8749025181508348</v>
      </c>
      <c r="BT723" s="1">
        <f t="shared" si="163"/>
        <v>-2.4458762285418745</v>
      </c>
      <c r="BU723" s="1">
        <f t="shared" si="164"/>
        <v>24.105003632630712</v>
      </c>
    </row>
    <row r="724" spans="49:73">
      <c r="AW724" s="1">
        <v>714</v>
      </c>
      <c r="AX724" s="1">
        <f t="shared" si="165"/>
        <v>357</v>
      </c>
      <c r="AZ724" s="1">
        <f t="shared" si="166"/>
        <v>10290.287176657041</v>
      </c>
      <c r="BA724" s="1">
        <f t="shared" si="167"/>
        <v>-162152.52029714745</v>
      </c>
      <c r="BC724" s="1">
        <f t="shared" si="168"/>
        <v>1003.1039343802546</v>
      </c>
      <c r="BD724" s="1">
        <f t="shared" si="169"/>
        <v>-2802.0112695052399</v>
      </c>
      <c r="BF724" s="1">
        <f t="shared" si="157"/>
        <v>-2.4409436048824578</v>
      </c>
      <c r="BG724" s="1">
        <f t="shared" si="158"/>
        <v>47.416215845173014</v>
      </c>
      <c r="BJ724" s="1">
        <f t="shared" si="159"/>
        <v>1.0307221262320732</v>
      </c>
      <c r="BK724" s="1">
        <f t="shared" si="160"/>
        <v>18.00924596048986</v>
      </c>
      <c r="BO724" s="1">
        <f t="shared" si="161"/>
        <v>-1.0161324145169548</v>
      </c>
      <c r="BP724" s="1">
        <f t="shared" si="162"/>
        <v>5.7751105195703678</v>
      </c>
      <c r="BT724" s="1">
        <f t="shared" si="163"/>
        <v>-2.4555333165975761</v>
      </c>
      <c r="BU724" s="1">
        <f t="shared" si="164"/>
        <v>23.631859365112788</v>
      </c>
    </row>
    <row r="725" spans="49:73">
      <c r="AW725" s="1">
        <v>715</v>
      </c>
      <c r="AX725" s="1">
        <f t="shared" si="165"/>
        <v>357.5</v>
      </c>
      <c r="AZ725" s="1">
        <f t="shared" si="166"/>
        <v>10791.534025896557</v>
      </c>
      <c r="BA725" s="1">
        <f t="shared" si="167"/>
        <v>-163547.59890491943</v>
      </c>
      <c r="BC725" s="1">
        <f t="shared" si="168"/>
        <v>1001.8834625778134</v>
      </c>
      <c r="BD725" s="1">
        <f t="shared" si="169"/>
        <v>-2778.3031615826535</v>
      </c>
      <c r="BF725" s="1">
        <f t="shared" si="157"/>
        <v>-2.5168347036197751</v>
      </c>
      <c r="BG725" s="1">
        <f t="shared" si="158"/>
        <v>46.582449610110963</v>
      </c>
      <c r="BJ725" s="1">
        <f t="shared" si="159"/>
        <v>0.95440618506827968</v>
      </c>
      <c r="BK725" s="1">
        <f t="shared" si="160"/>
        <v>17.728130482865545</v>
      </c>
      <c r="BO725" s="1">
        <f t="shared" si="161"/>
        <v>-1.0075132726111478</v>
      </c>
      <c r="BP725" s="1">
        <f t="shared" si="162"/>
        <v>5.6785579172329346</v>
      </c>
      <c r="BT725" s="1">
        <f t="shared" si="163"/>
        <v>-2.4637276160769068</v>
      </c>
      <c r="BU725" s="1">
        <f t="shared" si="164"/>
        <v>23.175761210012482</v>
      </c>
    </row>
    <row r="726" spans="49:73">
      <c r="AW726" s="1">
        <v>716</v>
      </c>
      <c r="AX726" s="1">
        <f t="shared" si="165"/>
        <v>358</v>
      </c>
      <c r="AZ726" s="1">
        <f t="shared" si="166"/>
        <v>11292.161152847511</v>
      </c>
      <c r="BA726" s="1">
        <f t="shared" si="167"/>
        <v>-164930.92767950951</v>
      </c>
      <c r="BC726" s="1">
        <f t="shared" si="168"/>
        <v>1000.6250452260035</v>
      </c>
      <c r="BD726" s="1">
        <f t="shared" si="169"/>
        <v>-2755.0119367775978</v>
      </c>
      <c r="BF726" s="1">
        <f t="shared" si="157"/>
        <v>-2.5881562925913615</v>
      </c>
      <c r="BG726" s="1">
        <f t="shared" si="158"/>
        <v>45.776240576612835</v>
      </c>
      <c r="BJ726" s="1">
        <f t="shared" si="159"/>
        <v>0.88150031995600331</v>
      </c>
      <c r="BK726" s="1">
        <f t="shared" si="160"/>
        <v>17.455297529937898</v>
      </c>
      <c r="BO726" s="1">
        <f t="shared" si="161"/>
        <v>-0.99907827499636648</v>
      </c>
      <c r="BP726" s="1">
        <f t="shared" si="162"/>
        <v>5.5850948937623919</v>
      </c>
      <c r="BT726" s="1">
        <f t="shared" si="163"/>
        <v>-2.4705783375509984</v>
      </c>
      <c r="BU726" s="1">
        <f t="shared" si="164"/>
        <v>22.735848152912542</v>
      </c>
    </row>
    <row r="727" spans="49:73">
      <c r="AW727" s="1">
        <v>717</v>
      </c>
      <c r="AX727" s="1">
        <f t="shared" si="165"/>
        <v>358.5</v>
      </c>
      <c r="AZ727" s="1">
        <f t="shared" si="166"/>
        <v>11792.150155923939</v>
      </c>
      <c r="BA727" s="1">
        <f t="shared" si="167"/>
        <v>-166302.71161782625</v>
      </c>
      <c r="BC727" s="1">
        <f t="shared" si="168"/>
        <v>999.33096707970788</v>
      </c>
      <c r="BD727" s="1">
        <f t="shared" si="169"/>
        <v>-2732.1238164892916</v>
      </c>
      <c r="BF727" s="1">
        <f t="shared" si="157"/>
        <v>-2.65519763659838</v>
      </c>
      <c r="BG727" s="1">
        <f t="shared" si="158"/>
        <v>44.996298859150343</v>
      </c>
      <c r="BJ727" s="1">
        <f t="shared" si="159"/>
        <v>0.81181846942521052</v>
      </c>
      <c r="BK727" s="1">
        <f t="shared" si="160"/>
        <v>17.190403578029617</v>
      </c>
      <c r="BO727" s="1">
        <f t="shared" si="161"/>
        <v>-0.99082157786604574</v>
      </c>
      <c r="BP727" s="1">
        <f t="shared" si="162"/>
        <v>5.4945805820147546</v>
      </c>
      <c r="BT727" s="1">
        <f t="shared" si="163"/>
        <v>-2.4761945281575448</v>
      </c>
      <c r="BU727" s="1">
        <f t="shared" si="164"/>
        <v>22.311314699105971</v>
      </c>
    </row>
    <row r="728" spans="49:73">
      <c r="AW728" s="1">
        <v>718</v>
      </c>
      <c r="AX728" s="1">
        <f t="shared" si="165"/>
        <v>359</v>
      </c>
      <c r="AZ728" s="1">
        <f t="shared" si="166"/>
        <v>12291.483739759216</v>
      </c>
      <c r="BA728" s="1">
        <f t="shared" si="167"/>
        <v>-167663.14898871351</v>
      </c>
      <c r="BC728" s="1">
        <f t="shared" si="168"/>
        <v>998.0033682614087</v>
      </c>
      <c r="BD728" s="1">
        <f t="shared" si="169"/>
        <v>-2709.6256670597163</v>
      </c>
      <c r="BF728" s="1">
        <f t="shared" si="157"/>
        <v>-2.7182268843534225</v>
      </c>
      <c r="BG728" s="1">
        <f t="shared" si="158"/>
        <v>44.241412323614291</v>
      </c>
      <c r="BJ728" s="1">
        <f t="shared" si="159"/>
        <v>0.74518674470427393</v>
      </c>
      <c r="BK728" s="1">
        <f t="shared" si="160"/>
        <v>16.933123363869242</v>
      </c>
      <c r="BO728" s="1">
        <f t="shared" si="161"/>
        <v>-0.98273759369772706</v>
      </c>
      <c r="BP728" s="1">
        <f t="shared" si="162"/>
        <v>5.4068824131161151</v>
      </c>
      <c r="BT728" s="1">
        <f t="shared" si="163"/>
        <v>-2.4806760353599695</v>
      </c>
      <c r="BU728" s="1">
        <f t="shared" si="164"/>
        <v>21.901406546628934</v>
      </c>
    </row>
    <row r="729" spans="49:73">
      <c r="AW729" s="1">
        <v>719</v>
      </c>
      <c r="AX729" s="1">
        <f t="shared" si="165"/>
        <v>359.5</v>
      </c>
      <c r="AZ729" s="1">
        <f t="shared" si="166"/>
        <v>12790.145645529377</v>
      </c>
      <c r="BA729" s="1">
        <f t="shared" si="167"/>
        <v>-169012.43164570292</v>
      </c>
      <c r="BC729" s="1">
        <f t="shared" si="168"/>
        <v>996.64425481923195</v>
      </c>
      <c r="BD729" s="1">
        <f t="shared" si="169"/>
        <v>-2687.5049608979093</v>
      </c>
      <c r="BF729" s="1">
        <f t="shared" si="157"/>
        <v>-2.7774928471744591</v>
      </c>
      <c r="BG729" s="1">
        <f t="shared" si="158"/>
        <v>43.5104408815182</v>
      </c>
      <c r="BJ729" s="1">
        <f t="shared" si="159"/>
        <v>0.68144249807410606</v>
      </c>
      <c r="BK729" s="1">
        <f t="shared" si="160"/>
        <v>16.683148708433844</v>
      </c>
      <c r="BO729" s="1">
        <f t="shared" si="161"/>
        <v>-0.97482097647549404</v>
      </c>
      <c r="BP729" s="1">
        <f t="shared" si="162"/>
        <v>5.3218755203031201</v>
      </c>
      <c r="BT729" s="1">
        <f t="shared" si="163"/>
        <v>-2.4841143687730711</v>
      </c>
      <c r="BU729" s="1">
        <f t="shared" si="164"/>
        <v>21.505416652781236</v>
      </c>
    </row>
    <row r="730" spans="49:73">
      <c r="AW730" s="1">
        <v>720</v>
      </c>
      <c r="AX730" s="1">
        <f t="shared" si="165"/>
        <v>360</v>
      </c>
      <c r="AZ730" s="1">
        <f t="shared" si="166"/>
        <v>13288.120586333096</v>
      </c>
      <c r="BA730" s="1">
        <f t="shared" si="167"/>
        <v>-170350.74532104167</v>
      </c>
      <c r="BC730" s="1">
        <f t="shared" si="168"/>
        <v>995.25550839564471</v>
      </c>
      <c r="BD730" s="1">
        <f t="shared" si="169"/>
        <v>-2665.7497404571504</v>
      </c>
      <c r="BF730" s="1">
        <f t="shared" si="157"/>
        <v>-2.8332266071720289</v>
      </c>
      <c r="BG730" s="1">
        <f t="shared" si="158"/>
        <v>42.802311275841333</v>
      </c>
      <c r="BJ730" s="1">
        <f t="shared" si="159"/>
        <v>0.62043347282385986</v>
      </c>
      <c r="BK730" s="1">
        <f t="shared" si="160"/>
        <v>16.440187429344942</v>
      </c>
      <c r="BO730" s="1">
        <f t="shared" si="161"/>
        <v>-0.96706660800588939</v>
      </c>
      <c r="BP730" s="1">
        <f t="shared" si="162"/>
        <v>5.239442193097581</v>
      </c>
      <c r="BT730" s="1">
        <f t="shared" si="163"/>
        <v>-2.4865934719899996</v>
      </c>
      <c r="BU730" s="1">
        <f t="shared" si="164"/>
        <v>21.122681653398814</v>
      </c>
    </row>
    <row r="731" spans="49:73">
      <c r="AW731" s="1">
        <v>721</v>
      </c>
      <c r="AX731" s="1">
        <f t="shared" si="165"/>
        <v>360.5</v>
      </c>
      <c r="AZ731" s="1">
        <f t="shared" si="166"/>
        <v>13785.394187205022</v>
      </c>
      <c r="BA731" s="1">
        <f t="shared" si="167"/>
        <v>-171678.26990236077</v>
      </c>
      <c r="BC731" s="1">
        <f t="shared" si="168"/>
        <v>993.83889509205869</v>
      </c>
      <c r="BD731" s="1">
        <f t="shared" si="169"/>
        <v>-2644.3485848192299</v>
      </c>
      <c r="BF731" s="1">
        <f t="shared" si="157"/>
        <v>-2.8856429732673137</v>
      </c>
      <c r="BG731" s="1">
        <f t="shared" si="158"/>
        <v>42.116012310022711</v>
      </c>
      <c r="BJ731" s="1">
        <f t="shared" si="159"/>
        <v>0.56201702677126308</v>
      </c>
      <c r="BK731" s="1">
        <f t="shared" si="160"/>
        <v>16.203962334218261</v>
      </c>
      <c r="BO731" s="1">
        <f t="shared" si="161"/>
        <v>-0.95946958522603054</v>
      </c>
      <c r="BP731" s="1">
        <f t="shared" si="162"/>
        <v>5.1594713769483338</v>
      </c>
      <c r="BT731" s="1">
        <f t="shared" si="163"/>
        <v>-2.488190414812546</v>
      </c>
      <c r="BU731" s="1">
        <f t="shared" si="164"/>
        <v>20.752578598856122</v>
      </c>
    </row>
    <row r="732" spans="49:73">
      <c r="AW732" s="1">
        <v>722</v>
      </c>
      <c r="AX732" s="1">
        <f t="shared" si="165"/>
        <v>361</v>
      </c>
      <c r="AZ732" s="1">
        <f t="shared" si="166"/>
        <v>14281.952929379393</v>
      </c>
      <c r="BA732" s="1">
        <f t="shared" si="167"/>
        <v>-172995.17969323165</v>
      </c>
      <c r="BC732" s="1">
        <f t="shared" si="168"/>
        <v>992.39607360542504</v>
      </c>
      <c r="BD732" s="1">
        <f t="shared" si="169"/>
        <v>-2623.2905786642186</v>
      </c>
      <c r="BF732" s="1">
        <f t="shared" si="157"/>
        <v>-2.9349418011936934</v>
      </c>
      <c r="BG732" s="1">
        <f t="shared" si="158"/>
        <v>41.450590476989902</v>
      </c>
      <c r="BJ732" s="1">
        <f t="shared" si="159"/>
        <v>0.50605942218832534</v>
      </c>
      <c r="BK732" s="1">
        <f t="shared" si="160"/>
        <v>15.974210288097726</v>
      </c>
      <c r="BO732" s="1">
        <f t="shared" si="161"/>
        <v>-0.95202520841391136</v>
      </c>
      <c r="BP732" s="1">
        <f t="shared" si="162"/>
        <v>5.0818582140018087</v>
      </c>
      <c r="BT732" s="1">
        <f t="shared" si="163"/>
        <v>-2.4889760149681073</v>
      </c>
      <c r="BU732" s="1">
        <f t="shared" si="164"/>
        <v>20.394521974890367</v>
      </c>
    </row>
    <row r="733" spans="49:73">
      <c r="AW733" s="1">
        <v>723</v>
      </c>
      <c r="AX733" s="1">
        <f t="shared" si="165"/>
        <v>361.5</v>
      </c>
      <c r="AZ733" s="1">
        <f t="shared" si="166"/>
        <v>14777.784098456956</v>
      </c>
      <c r="BA733" s="1">
        <f t="shared" si="167"/>
        <v>-174301.64365875412</v>
      </c>
      <c r="BC733" s="1">
        <f t="shared" si="168"/>
        <v>990.92860270482822</v>
      </c>
      <c r="BD733" s="1">
        <f t="shared" si="169"/>
        <v>-2602.5652834257235</v>
      </c>
      <c r="BF733" s="1">
        <f t="shared" si="157"/>
        <v>-2.9813091917347201</v>
      </c>
      <c r="BG733" s="1">
        <f t="shared" si="158"/>
        <v>40.805145949818041</v>
      </c>
      <c r="BJ733" s="1">
        <f t="shared" si="159"/>
        <v>0.45243517574576092</v>
      </c>
      <c r="BK733" s="1">
        <f t="shared" si="160"/>
        <v>15.75068134875707</v>
      </c>
      <c r="BO733" s="1">
        <f t="shared" si="161"/>
        <v>-0.94472897022101909</v>
      </c>
      <c r="BP733" s="1">
        <f t="shared" si="162"/>
        <v>5.0065036211292497</v>
      </c>
      <c r="BT733" s="1">
        <f t="shared" si="163"/>
        <v>-2.489015397259462</v>
      </c>
      <c r="BU733" s="1">
        <f t="shared" si="164"/>
        <v>20.04796097993172</v>
      </c>
    </row>
    <row r="734" spans="49:73">
      <c r="AW734" s="1">
        <v>724</v>
      </c>
      <c r="AX734" s="1">
        <f t="shared" si="165"/>
        <v>362</v>
      </c>
      <c r="AZ734" s="1">
        <f t="shared" si="166"/>
        <v>15272.875736160404</v>
      </c>
      <c r="BA734" s="1">
        <f t="shared" si="167"/>
        <v>-175597.82565722326</v>
      </c>
      <c r="BC734" s="1">
        <f t="shared" si="168"/>
        <v>989.43794810896088</v>
      </c>
      <c r="BD734" s="1">
        <f t="shared" si="169"/>
        <v>-2582.1627104508143</v>
      </c>
      <c r="BF734" s="1">
        <f t="shared" si="157"/>
        <v>-3.024918579796736</v>
      </c>
      <c r="BG734" s="1">
        <f t="shared" si="158"/>
        <v>40.178828899756788</v>
      </c>
      <c r="BJ734" s="1">
        <f t="shared" si="159"/>
        <v>0.40102646277059723</v>
      </c>
      <c r="BK734" s="1">
        <f t="shared" si="160"/>
        <v>15.533137964235104</v>
      </c>
      <c r="BO734" s="1">
        <f t="shared" si="161"/>
        <v>-0.93757654545571822</v>
      </c>
      <c r="BP734" s="1">
        <f t="shared" si="162"/>
        <v>4.9333139017469279</v>
      </c>
      <c r="BT734" s="1">
        <f t="shared" si="163"/>
        <v>-2.4883684971116149</v>
      </c>
      <c r="BU734" s="1">
        <f t="shared" si="164"/>
        <v>19.712377033774757</v>
      </c>
    </row>
    <row r="735" spans="49:73">
      <c r="AW735" s="1">
        <v>725</v>
      </c>
      <c r="AX735" s="1">
        <f t="shared" si="165"/>
        <v>362.5</v>
      </c>
      <c r="AZ735" s="1">
        <f t="shared" si="166"/>
        <v>15767.216595392409</v>
      </c>
      <c r="BA735" s="1">
        <f t="shared" si="167"/>
        <v>-176883.88465883621</v>
      </c>
      <c r="BC735" s="1">
        <f t="shared" si="168"/>
        <v>987.92548881906248</v>
      </c>
      <c r="BD735" s="1">
        <f t="shared" si="169"/>
        <v>-2562.0732960009359</v>
      </c>
      <c r="BF735" s="1">
        <f t="shared" si="157"/>
        <v>-3.065931725470378</v>
      </c>
      <c r="BG735" s="1">
        <f t="shared" si="158"/>
        <v>39.570836111013023</v>
      </c>
      <c r="BJ735" s="1">
        <f t="shared" si="159"/>
        <v>0.35172257071301816</v>
      </c>
      <c r="BK735" s="1">
        <f t="shared" si="160"/>
        <v>15.32135422749578</v>
      </c>
      <c r="BO735" s="1">
        <f t="shared" si="161"/>
        <v>-0.93056378155344055</v>
      </c>
      <c r="BP735" s="1">
        <f t="shared" si="162"/>
        <v>4.8622003883278593</v>
      </c>
      <c r="BT735" s="1">
        <f t="shared" si="163"/>
        <v>-2.4870905146299553</v>
      </c>
      <c r="BU735" s="1">
        <f t="shared" si="164"/>
        <v>19.387281495189388</v>
      </c>
    </row>
    <row r="736" spans="49:73">
      <c r="AW736" s="1">
        <v>726</v>
      </c>
      <c r="AX736" s="1">
        <f t="shared" si="165"/>
        <v>363</v>
      </c>
      <c r="AZ736" s="1">
        <f t="shared" si="166"/>
        <v>16260.796098336255</v>
      </c>
      <c r="BA736" s="1">
        <f t="shared" si="167"/>
        <v>-178159.97495232281</v>
      </c>
      <c r="BC736" s="1">
        <f t="shared" si="168"/>
        <v>986.3925229563273</v>
      </c>
      <c r="BD736" s="1">
        <f t="shared" si="169"/>
        <v>-2542.2878779454295</v>
      </c>
      <c r="BF736" s="1">
        <f t="shared" si="157"/>
        <v>-3.1044996169722912</v>
      </c>
      <c r="BG736" s="1">
        <f t="shared" si="158"/>
        <v>38.980407864888377</v>
      </c>
      <c r="BJ736" s="1">
        <f t="shared" si="159"/>
        <v>0.30441939725036882</v>
      </c>
      <c r="BK736" s="1">
        <f t="shared" si="160"/>
        <v>15.115115183570756</v>
      </c>
      <c r="BO736" s="1">
        <f t="shared" si="161"/>
        <v>-0.92368668967650958</v>
      </c>
      <c r="BP736" s="1">
        <f t="shared" si="162"/>
        <v>4.7930791128245653</v>
      </c>
      <c r="BT736" s="1">
        <f t="shared" si="163"/>
        <v>-2.4852323245461503</v>
      </c>
      <c r="BU736" s="1">
        <f t="shared" si="164"/>
        <v>19.072213568493051</v>
      </c>
    </row>
    <row r="737" spans="49:73">
      <c r="AW737" s="1">
        <v>727</v>
      </c>
      <c r="AX737" s="1">
        <f t="shared" si="165"/>
        <v>363.5</v>
      </c>
      <c r="AZ737" s="1">
        <f t="shared" si="166"/>
        <v>16753.604297362297</v>
      </c>
      <c r="BA737" s="1">
        <f t="shared" si="167"/>
        <v>-179426.24634031241</v>
      </c>
      <c r="BC737" s="1">
        <f t="shared" si="168"/>
        <v>984.84027314784112</v>
      </c>
      <c r="BD737" s="1">
        <f t="shared" si="169"/>
        <v>-2522.7976740129852</v>
      </c>
      <c r="BF737" s="1">
        <f t="shared" si="157"/>
        <v>-3.1407632942526877</v>
      </c>
      <c r="BG737" s="1">
        <f t="shared" si="158"/>
        <v>38.406825068722029</v>
      </c>
      <c r="BJ737" s="1">
        <f t="shared" si="159"/>
        <v>0.25901898892756681</v>
      </c>
      <c r="BK737" s="1">
        <f t="shared" si="160"/>
        <v>14.914216184968991</v>
      </c>
      <c r="BO737" s="1">
        <f t="shared" si="161"/>
        <v>-0.91694143639191195</v>
      </c>
      <c r="BP737" s="1">
        <f t="shared" si="162"/>
        <v>4.725870502504149</v>
      </c>
      <c r="BT737" s="1">
        <f t="shared" si="163"/>
        <v>-2.4828408467883425</v>
      </c>
      <c r="BU737" s="1">
        <f t="shared" si="164"/>
        <v>18.766738381248892</v>
      </c>
    </row>
    <row r="738" spans="49:73">
      <c r="AW738" s="1">
        <v>728</v>
      </c>
      <c r="AX738" s="1">
        <f t="shared" si="165"/>
        <v>364</v>
      </c>
      <c r="AZ738" s="1">
        <f t="shared" si="166"/>
        <v>17245.631838524438</v>
      </c>
      <c r="BA738" s="1">
        <f t="shared" si="167"/>
        <v>-180682.84432418534</v>
      </c>
      <c r="BC738" s="1">
        <f t="shared" si="168"/>
        <v>983.26989150071472</v>
      </c>
      <c r="BD738" s="1">
        <f t="shared" si="169"/>
        <v>-2503.594261478624</v>
      </c>
      <c r="BF738" s="1">
        <f t="shared" si="157"/>
        <v>-3.1748546010837417</v>
      </c>
      <c r="BG738" s="1">
        <f t="shared" si="158"/>
        <v>37.849406607598084</v>
      </c>
      <c r="BJ738" s="1">
        <f t="shared" si="159"/>
        <v>0.21542911665095243</v>
      </c>
      <c r="BK738" s="1">
        <f t="shared" si="160"/>
        <v>14.718462291513323</v>
      </c>
      <c r="BO738" s="1">
        <f t="shared" si="161"/>
        <v>-0.91032433588066375</v>
      </c>
      <c r="BP738" s="1">
        <f t="shared" si="162"/>
        <v>4.6604990989495549</v>
      </c>
      <c r="BT738" s="1">
        <f t="shared" si="163"/>
        <v>-2.4799593818540306</v>
      </c>
      <c r="BU738" s="1">
        <f t="shared" si="164"/>
        <v>18.470445217135204</v>
      </c>
    </row>
    <row r="739" spans="49:73">
      <c r="AW739" s="1">
        <v>729</v>
      </c>
      <c r="AX739" s="1">
        <f t="shared" si="165"/>
        <v>364.5</v>
      </c>
      <c r="AZ739" s="1">
        <f t="shared" si="166"/>
        <v>17736.869927449658</v>
      </c>
      <c r="BA739" s="1">
        <f t="shared" si="167"/>
        <v>-181929.91027909869</v>
      </c>
      <c r="BC739" s="1">
        <f t="shared" si="168"/>
        <v>981.68246420017283</v>
      </c>
      <c r="BD739" s="1">
        <f t="shared" si="169"/>
        <v>-2484.6695581748249</v>
      </c>
      <c r="BF739" s="1">
        <f t="shared" si="157"/>
        <v>-3.2068968725913845</v>
      </c>
      <c r="BG739" s="1">
        <f t="shared" si="158"/>
        <v>37.307506899012722</v>
      </c>
      <c r="BJ739" s="1">
        <f t="shared" si="159"/>
        <v>0.17356288472388914</v>
      </c>
      <c r="BK739" s="1">
        <f t="shared" si="160"/>
        <v>14.527667711108334</v>
      </c>
      <c r="BO739" s="1">
        <f t="shared" si="161"/>
        <v>-0.90383184263691996</v>
      </c>
      <c r="BP739" s="1">
        <f t="shared" si="162"/>
        <v>4.5968932982041872</v>
      </c>
      <c r="BT739" s="1">
        <f t="shared" si="163"/>
        <v>-2.4766279146783536</v>
      </c>
      <c r="BU739" s="1">
        <f t="shared" si="164"/>
        <v>18.1829458897002</v>
      </c>
    </row>
    <row r="740" spans="49:73">
      <c r="AW740" s="1">
        <v>730</v>
      </c>
      <c r="AX740" s="1">
        <f t="shared" si="165"/>
        <v>365</v>
      </c>
      <c r="AZ740" s="1">
        <f t="shared" si="166"/>
        <v>18227.310297440672</v>
      </c>
      <c r="BA740" s="1">
        <f t="shared" si="167"/>
        <v>-183167.58161982373</v>
      </c>
      <c r="BC740" s="1">
        <f t="shared" si="168"/>
        <v>980.07901576387712</v>
      </c>
      <c r="BD740" s="1">
        <f t="shared" si="169"/>
        <v>-2466.0158047253185</v>
      </c>
      <c r="BF740" s="1">
        <f t="shared" si="157"/>
        <v>-3.2370055644416871</v>
      </c>
      <c r="BG740" s="1">
        <f t="shared" si="158"/>
        <v>36.780513632673404</v>
      </c>
      <c r="BJ740" s="1">
        <f t="shared" si="159"/>
        <v>0.13333837044256633</v>
      </c>
      <c r="BK740" s="1">
        <f t="shared" si="160"/>
        <v>14.341655278251636</v>
      </c>
      <c r="BO740" s="1">
        <f t="shared" si="161"/>
        <v>-0.89746054461876823</v>
      </c>
      <c r="BP740" s="1">
        <f t="shared" si="162"/>
        <v>4.5349851102347607</v>
      </c>
      <c r="BT740" s="1">
        <f t="shared" si="163"/>
        <v>-2.4728833902654852</v>
      </c>
      <c r="BU740" s="1">
        <f t="shared" si="164"/>
        <v>17.903873244187007</v>
      </c>
    </row>
    <row r="741" spans="49:73">
      <c r="AW741" s="1">
        <v>731</v>
      </c>
      <c r="AX741" s="1">
        <f t="shared" si="165"/>
        <v>365.5</v>
      </c>
      <c r="AZ741" s="1">
        <f t="shared" si="166"/>
        <v>18716.945179627055</v>
      </c>
      <c r="BA741" s="1">
        <f t="shared" si="167"/>
        <v>-184395.9919579823</v>
      </c>
      <c r="BC741" s="1">
        <f t="shared" si="168"/>
        <v>978.46051298165628</v>
      </c>
      <c r="BD741" s="1">
        <f t="shared" si="169"/>
        <v>-2447.6255479089818</v>
      </c>
      <c r="BF741" s="1">
        <f t="shared" si="157"/>
        <v>-3.2652888292313209</v>
      </c>
      <c r="BG741" s="1">
        <f t="shared" si="158"/>
        <v>36.267845679363511</v>
      </c>
      <c r="BJ741" s="1">
        <f t="shared" si="159"/>
        <v>9.4678291564513614E-2</v>
      </c>
      <c r="BK741" s="1">
        <f t="shared" si="160"/>
        <v>14.160255967378239</v>
      </c>
      <c r="BO741" s="1">
        <f t="shared" si="161"/>
        <v>-0.89120715681646423</v>
      </c>
      <c r="BP741" s="1">
        <f t="shared" si="162"/>
        <v>4.4747099360657376</v>
      </c>
      <c r="BT741" s="1">
        <f t="shared" si="163"/>
        <v>-2.4687599639793705</v>
      </c>
      <c r="BU741" s="1">
        <f t="shared" si="164"/>
        <v>17.632879775919534</v>
      </c>
    </row>
    <row r="742" spans="49:73">
      <c r="AW742" s="1">
        <v>732</v>
      </c>
      <c r="AX742" s="1">
        <f t="shared" si="165"/>
        <v>366</v>
      </c>
      <c r="AZ742" s="1">
        <f t="shared" si="166"/>
        <v>19205.76727501423</v>
      </c>
      <c r="BA742" s="1">
        <f t="shared" si="167"/>
        <v>-185615.27125122689</v>
      </c>
      <c r="BC742" s="1">
        <f t="shared" si="168"/>
        <v>976.82786856704058</v>
      </c>
      <c r="BD742" s="1">
        <f t="shared" si="169"/>
        <v>-2429.4916250693</v>
      </c>
      <c r="BF742" s="1">
        <f t="shared" si="157"/>
        <v>-3.2918480450468888</v>
      </c>
      <c r="BG742" s="1">
        <f t="shared" si="158"/>
        <v>35.768951154375884</v>
      </c>
      <c r="BJ742" s="1">
        <f t="shared" si="159"/>
        <v>5.7509699224579006E-2</v>
      </c>
      <c r="BK742" s="1">
        <f t="shared" si="160"/>
        <v>13.983308438379987</v>
      </c>
      <c r="BO742" s="1">
        <f t="shared" si="161"/>
        <v>-0.88506851520687102</v>
      </c>
      <c r="BP742" s="1">
        <f t="shared" si="162"/>
        <v>4.4160063610960121</v>
      </c>
      <c r="BT742" s="1">
        <f t="shared" si="163"/>
        <v>-2.464289229064597</v>
      </c>
      <c r="BU742" s="1">
        <f t="shared" si="164"/>
        <v>17.369636354899882</v>
      </c>
    </row>
    <row r="743" spans="49:73">
      <c r="AW743" s="1">
        <v>733</v>
      </c>
      <c r="AX743" s="1">
        <f t="shared" si="165"/>
        <v>366.5</v>
      </c>
      <c r="AZ743" s="1">
        <f t="shared" si="166"/>
        <v>19693.769728292118</v>
      </c>
      <c r="BA743" s="1">
        <f t="shared" si="167"/>
        <v>-186825.54594486725</v>
      </c>
      <c r="BC743" s="1">
        <f t="shared" si="168"/>
        <v>975.18194454451714</v>
      </c>
      <c r="BD743" s="1">
        <f t="shared" si="169"/>
        <v>-2411.6071494921121</v>
      </c>
      <c r="BF743" s="1">
        <f t="shared" si="157"/>
        <v>-3.3167783006408089</v>
      </c>
      <c r="BG743" s="1">
        <f t="shared" si="158"/>
        <v>35.283305622417579</v>
      </c>
      <c r="BJ743" s="1">
        <f t="shared" si="159"/>
        <v>2.1763694107298091E-2</v>
      </c>
      <c r="BK743" s="1">
        <f t="shared" si="160"/>
        <v>13.810658611870137</v>
      </c>
      <c r="BO743" s="1">
        <f t="shared" si="161"/>
        <v>-0.87904157106563541</v>
      </c>
      <c r="BP743" s="1">
        <f t="shared" si="162"/>
        <v>4.3588159632494516</v>
      </c>
      <c r="BT743" s="1">
        <f t="shared" si="163"/>
        <v>-2.4595004236824716</v>
      </c>
      <c r="BU743" s="1">
        <f t="shared" si="164"/>
        <v>17.113831047297992</v>
      </c>
    </row>
    <row r="744" spans="49:73">
      <c r="AW744" s="1">
        <v>734</v>
      </c>
      <c r="AX744" s="1">
        <f t="shared" si="165"/>
        <v>367</v>
      </c>
      <c r="AZ744" s="1">
        <f t="shared" si="166"/>
        <v>20180.946103276794</v>
      </c>
      <c r="BA744" s="1">
        <f t="shared" si="167"/>
        <v>-188026.93910641051</v>
      </c>
      <c r="BC744" s="1">
        <f t="shared" si="168"/>
        <v>973.52355539419671</v>
      </c>
      <c r="BD744" s="1">
        <f t="shared" si="169"/>
        <v>-2393.9654966809035</v>
      </c>
      <c r="BF744" s="1">
        <f t="shared" si="157"/>
        <v>-3.3401688412129058</v>
      </c>
      <c r="BG744" s="1">
        <f t="shared" si="158"/>
        <v>34.810410432131981</v>
      </c>
      <c r="BJ744" s="1">
        <f t="shared" si="159"/>
        <v>-1.2624836106090161E-2</v>
      </c>
      <c r="BK744" s="1">
        <f t="shared" si="160"/>
        <v>13.642159271967499</v>
      </c>
      <c r="BO744" s="1">
        <f t="shared" si="161"/>
        <v>-0.87312338561131364</v>
      </c>
      <c r="BP744" s="1">
        <f t="shared" si="162"/>
        <v>4.3030831347381904</v>
      </c>
      <c r="BT744" s="1">
        <f t="shared" si="163"/>
        <v>-2.4544206194955023</v>
      </c>
      <c r="BU744" s="1">
        <f t="shared" si="164"/>
        <v>16.865168025426293</v>
      </c>
    </row>
    <row r="745" spans="49:73">
      <c r="AW745" s="1">
        <v>735</v>
      </c>
      <c r="AX745" s="1">
        <f t="shared" si="165"/>
        <v>367.5</v>
      </c>
      <c r="AZ745" s="1">
        <f t="shared" si="166"/>
        <v>20667.290359868741</v>
      </c>
      <c r="BA745" s="1">
        <f t="shared" si="167"/>
        <v>-189219.57055344697</v>
      </c>
      <c r="BC745" s="1">
        <f t="shared" si="168"/>
        <v>971.85347097359022</v>
      </c>
      <c r="BD745" s="1">
        <f t="shared" si="169"/>
        <v>-2376.5602914648375</v>
      </c>
      <c r="BF745" s="1">
        <f t="shared" si="157"/>
        <v>-3.3621034783815777</v>
      </c>
      <c r="BG745" s="1">
        <f t="shared" si="158"/>
        <v>34.349791169508698</v>
      </c>
      <c r="BJ745" s="1">
        <f t="shared" si="159"/>
        <v>-4.5717459810293883E-2</v>
      </c>
      <c r="BK745" s="1">
        <f t="shared" si="160"/>
        <v>13.477669694560779</v>
      </c>
      <c r="BO745" s="1">
        <f t="shared" si="161"/>
        <v>-0.86731112495773821</v>
      </c>
      <c r="BP745" s="1">
        <f t="shared" si="162"/>
        <v>4.2487549163298937</v>
      </c>
      <c r="BT745" s="1">
        <f t="shared" si="163"/>
        <v>-2.4490748936135458</v>
      </c>
      <c r="BU745" s="1">
        <f t="shared" si="164"/>
        <v>16.623366558618024</v>
      </c>
    </row>
    <row r="746" spans="49:73">
      <c r="AW746" s="1">
        <v>736</v>
      </c>
      <c r="AX746" s="1">
        <f t="shared" si="165"/>
        <v>368</v>
      </c>
      <c r="AZ746" s="1">
        <f t="shared" si="166"/>
        <v>21152.79683242074</v>
      </c>
      <c r="BA746" s="1">
        <f t="shared" si="167"/>
        <v>-190403.55697528322</v>
      </c>
      <c r="BC746" s="1">
        <f t="shared" si="168"/>
        <v>970.1724192343994</v>
      </c>
      <c r="BD746" s="1">
        <f t="shared" si="169"/>
        <v>-2359.3853958800833</v>
      </c>
      <c r="BF746" s="1">
        <f t="shared" si="157"/>
        <v>-3.3826609675659749</v>
      </c>
      <c r="BG746" s="1">
        <f t="shared" si="158"/>
        <v>33.900996220445677</v>
      </c>
      <c r="BJ746" s="1">
        <f t="shared" si="159"/>
        <v>-7.7572426694647298E-2</v>
      </c>
      <c r="BK746" s="1">
        <f t="shared" si="160"/>
        <v>13.317055299187448</v>
      </c>
      <c r="BO746" s="1">
        <f t="shared" si="161"/>
        <v>-0.8616020553531043</v>
      </c>
      <c r="BP746" s="1">
        <f t="shared" si="162"/>
        <v>4.1957808431126278</v>
      </c>
      <c r="BT746" s="1">
        <f t="shared" si="163"/>
        <v>-2.4434864855182234</v>
      </c>
      <c r="BU746" s="1">
        <f t="shared" si="164"/>
        <v>16.388160078145599</v>
      </c>
    </row>
    <row r="747" spans="49:73">
      <c r="AW747" s="1">
        <v>737</v>
      </c>
      <c r="AX747" s="1">
        <f t="shared" si="165"/>
        <v>368.5</v>
      </c>
      <c r="AZ747" s="1">
        <f t="shared" si="166"/>
        <v>21637.460209416993</v>
      </c>
      <c r="BA747" s="1">
        <f t="shared" si="167"/>
        <v>-191579.0120486957</v>
      </c>
      <c r="BC747" s="1">
        <f t="shared" si="168"/>
        <v>968.48108875061644</v>
      </c>
      <c r="BD747" s="1">
        <f t="shared" si="169"/>
        <v>-2342.4348977698605</v>
      </c>
      <c r="BF747" s="1">
        <f t="shared" si="157"/>
        <v>-3.4019153556810693</v>
      </c>
      <c r="BG747" s="1">
        <f t="shared" si="158"/>
        <v>33.463595433629052</v>
      </c>
      <c r="BJ747" s="1">
        <f t="shared" si="159"/>
        <v>-0.10824487658348453</v>
      </c>
      <c r="BK747" s="1">
        <f t="shared" si="160"/>
        <v>13.160187322808639</v>
      </c>
      <c r="BO747" s="1">
        <f t="shared" si="161"/>
        <v>-0.85599353868587413</v>
      </c>
      <c r="BP747" s="1">
        <f t="shared" si="162"/>
        <v>4.144112800841306</v>
      </c>
      <c r="BT747" s="1">
        <f t="shared" si="163"/>
        <v>-2.4376769404117109</v>
      </c>
      <c r="BU747" s="1">
        <f t="shared" si="164"/>
        <v>16.159295309979111</v>
      </c>
    </row>
    <row r="748" spans="49:73">
      <c r="AW748" s="1">
        <v>738</v>
      </c>
      <c r="AX748" s="1">
        <f t="shared" si="165"/>
        <v>369</v>
      </c>
      <c r="AZ748" s="1">
        <f t="shared" si="166"/>
        <v>22121.275514372843</v>
      </c>
      <c r="BA748" s="1">
        <f t="shared" si="167"/>
        <v>-192746.04654815144</v>
      </c>
      <c r="BC748" s="1">
        <f t="shared" si="168"/>
        <v>966.78013107277593</v>
      </c>
      <c r="BD748" s="1">
        <f t="shared" si="169"/>
        <v>-2325.703100053046</v>
      </c>
      <c r="BF748" s="1">
        <f t="shared" si="157"/>
        <v>-3.4199363017601323</v>
      </c>
      <c r="BG748" s="1">
        <f t="shared" si="158"/>
        <v>33.037178875697208</v>
      </c>
      <c r="BJ748" s="1">
        <f t="shared" si="159"/>
        <v>-0.13778703323848732</v>
      </c>
      <c r="BK748" s="1">
        <f t="shared" si="160"/>
        <v>13.006942513906882</v>
      </c>
      <c r="BO748" s="1">
        <f t="shared" si="161"/>
        <v>-0.85048302823944411</v>
      </c>
      <c r="BP748" s="1">
        <f t="shared" si="162"/>
        <v>4.0937048920327435</v>
      </c>
      <c r="BT748" s="1">
        <f t="shared" si="163"/>
        <v>-2.4316662402822007</v>
      </c>
      <c r="BU748" s="1">
        <f t="shared" si="164"/>
        <v>15.936531469757579</v>
      </c>
    </row>
    <row r="749" spans="49:73">
      <c r="AW749" s="1">
        <v>739</v>
      </c>
      <c r="AX749" s="1">
        <f t="shared" si="165"/>
        <v>369.5</v>
      </c>
      <c r="AZ749" s="1">
        <f t="shared" si="166"/>
        <v>22604.238087871508</v>
      </c>
      <c r="BA749" s="1">
        <f t="shared" si="167"/>
        <v>-193904.76845081852</v>
      </c>
      <c r="BC749" s="1">
        <f t="shared" si="168"/>
        <v>965.07016292189587</v>
      </c>
      <c r="BD749" s="1">
        <f t="shared" si="169"/>
        <v>-2309.1845106151973</v>
      </c>
      <c r="BF749" s="1">
        <f t="shared" si="157"/>
        <v>-3.4367893728652144</v>
      </c>
      <c r="BG749" s="1">
        <f t="shared" si="158"/>
        <v>32.621355671385558</v>
      </c>
      <c r="BJ749" s="1">
        <f t="shared" si="159"/>
        <v>-0.16624838434155395</v>
      </c>
      <c r="BK749" s="1">
        <f t="shared" si="160"/>
        <v>12.857202845458652</v>
      </c>
      <c r="BO749" s="1">
        <f t="shared" si="161"/>
        <v>-0.84506806467883389</v>
      </c>
      <c r="BP749" s="1">
        <f t="shared" si="162"/>
        <v>4.0445133110495135</v>
      </c>
      <c r="BT749" s="1">
        <f t="shared" si="163"/>
        <v>-2.4254729238448265</v>
      </c>
      <c r="BU749" s="1">
        <f t="shared" si="164"/>
        <v>15.719639514877391</v>
      </c>
    </row>
    <row r="750" spans="49:73">
      <c r="AW750" s="1">
        <v>740</v>
      </c>
      <c r="AX750" s="1">
        <f t="shared" si="165"/>
        <v>370</v>
      </c>
      <c r="AZ750" s="1">
        <f t="shared" si="166"/>
        <v>23086.343570660847</v>
      </c>
      <c r="BA750" s="1">
        <f t="shared" si="167"/>
        <v>-195055.28303666718</v>
      </c>
      <c r="BC750" s="1">
        <f t="shared" si="168"/>
        <v>963.35176823546328</v>
      </c>
      <c r="BD750" s="1">
        <f t="shared" si="169"/>
        <v>-2292.8738327795045</v>
      </c>
      <c r="BF750" s="1">
        <f t="shared" si="157"/>
        <v>-3.4525363174172288</v>
      </c>
      <c r="BG750" s="1">
        <f t="shared" si="158"/>
        <v>32.21575292199023</v>
      </c>
      <c r="BJ750" s="1">
        <f t="shared" si="159"/>
        <v>-0.19367584876710847</v>
      </c>
      <c r="BK750" s="1">
        <f t="shared" si="160"/>
        <v>12.710855245447764</v>
      </c>
      <c r="BO750" s="1">
        <f t="shared" si="161"/>
        <v>-0.83974627225411136</v>
      </c>
      <c r="BP750" s="1">
        <f t="shared" si="162"/>
        <v>3.996496227479994</v>
      </c>
      <c r="BT750" s="1">
        <f t="shared" si="163"/>
        <v>-2.4191141963960088</v>
      </c>
      <c r="BU750" s="1">
        <f t="shared" si="164"/>
        <v>15.508401449062468</v>
      </c>
    </row>
    <row r="751" spans="49:73">
      <c r="AW751" s="1">
        <v>741</v>
      </c>
      <c r="AX751" s="1">
        <f t="shared" si="165"/>
        <v>370.5</v>
      </c>
      <c r="AZ751" s="1">
        <f t="shared" si="166"/>
        <v>23567.587887738904</v>
      </c>
      <c r="BA751" s="1">
        <f t="shared" si="167"/>
        <v>-196197.6929839417</v>
      </c>
      <c r="BC751" s="1">
        <f t="shared" si="168"/>
        <v>961.62550007675463</v>
      </c>
      <c r="BD751" s="1">
        <f t="shared" si="169"/>
        <v>-2276.7659563185093</v>
      </c>
      <c r="BF751" s="1">
        <f t="shared" si="157"/>
        <v>-3.4672353178748527</v>
      </c>
      <c r="BG751" s="1">
        <f t="shared" si="158"/>
        <v>31.820014696088137</v>
      </c>
      <c r="BJ751" s="1">
        <f t="shared" si="159"/>
        <v>-0.22011393215401209</v>
      </c>
      <c r="BK751" s="1">
        <f t="shared" si="160"/>
        <v>12.567791343695001</v>
      </c>
      <c r="BO751" s="1">
        <f t="shared" si="161"/>
        <v>-0.83451535520637432</v>
      </c>
      <c r="BP751" s="1">
        <f t="shared" si="162"/>
        <v>3.9496136771816923</v>
      </c>
      <c r="BT751" s="1">
        <f t="shared" si="163"/>
        <v>-2.4126060305144663</v>
      </c>
      <c r="BU751" s="1">
        <f t="shared" si="164"/>
        <v>15.302609675211441</v>
      </c>
    </row>
    <row r="752" spans="49:73">
      <c r="AW752" s="1">
        <v>742</v>
      </c>
      <c r="AX752" s="1">
        <f t="shared" si="165"/>
        <v>371</v>
      </c>
      <c r="AZ752" s="1">
        <f t="shared" si="166"/>
        <v>24047.967233362549</v>
      </c>
      <c r="BA752" s="1">
        <f t="shared" si="167"/>
        <v>-197332.09846026395</v>
      </c>
      <c r="BC752" s="1">
        <f t="shared" si="168"/>
        <v>959.89188241781721</v>
      </c>
      <c r="BD752" s="1">
        <f t="shared" si="169"/>
        <v>-2260.8559489704653</v>
      </c>
      <c r="BF752" s="1">
        <f t="shared" si="157"/>
        <v>-3.4809412245079137</v>
      </c>
      <c r="BG752" s="1">
        <f t="shared" si="158"/>
        <v>31.433801086969797</v>
      </c>
      <c r="BJ752" s="1">
        <f t="shared" si="159"/>
        <v>-0.24560487169810416</v>
      </c>
      <c r="BK752" s="1">
        <f t="shared" si="160"/>
        <v>12.427907233872819</v>
      </c>
      <c r="BO752" s="1">
        <f t="shared" si="161"/>
        <v>-0.82937309436328643</v>
      </c>
      <c r="BP752" s="1">
        <f t="shared" si="162"/>
        <v>3.9038274604095928</v>
      </c>
      <c r="BT752" s="1">
        <f t="shared" si="163"/>
        <v>-2.4059632584465231</v>
      </c>
      <c r="BU752" s="1">
        <f t="shared" si="164"/>
        <v>15.102066392687387</v>
      </c>
    </row>
    <row r="753" spans="49:73">
      <c r="AW753" s="1">
        <v>743</v>
      </c>
      <c r="AX753" s="1">
        <f t="shared" si="165"/>
        <v>371.5</v>
      </c>
      <c r="AZ753" s="1">
        <f t="shared" si="166"/>
        <v>24527.478056918397</v>
      </c>
      <c r="BA753" s="1">
        <f t="shared" si="167"/>
        <v>-198458.5972096133</v>
      </c>
      <c r="BC753" s="1">
        <f t="shared" si="168"/>
        <v>958.15141180556327</v>
      </c>
      <c r="BD753" s="1">
        <f t="shared" si="169"/>
        <v>-2245.1390484269805</v>
      </c>
      <c r="BF753" s="1">
        <f t="shared" si="157"/>
        <v>-3.493705771848123</v>
      </c>
      <c r="BG753" s="1">
        <f t="shared" si="158"/>
        <v>31.056787331723733</v>
      </c>
      <c r="BJ753" s="1">
        <f t="shared" si="159"/>
        <v>-0.27018877100588246</v>
      </c>
      <c r="BK753" s="1">
        <f t="shared" si="160"/>
        <v>12.291103249661536</v>
      </c>
      <c r="BO753" s="1">
        <f t="shared" si="161"/>
        <v>-0.82431734391213651</v>
      </c>
      <c r="BP753" s="1">
        <f t="shared" si="162"/>
        <v>3.8591010465004221</v>
      </c>
      <c r="BT753" s="1">
        <f t="shared" si="163"/>
        <v>-2.399199656930104</v>
      </c>
      <c r="BU753" s="1">
        <f t="shared" si="164"/>
        <v>14.906583035561775</v>
      </c>
    </row>
    <row r="754" spans="49:73">
      <c r="AW754" s="1">
        <v>744</v>
      </c>
      <c r="AX754" s="1">
        <f t="shared" si="165"/>
        <v>372</v>
      </c>
      <c r="AZ754" s="1">
        <f t="shared" si="166"/>
        <v>25006.117049599699</v>
      </c>
      <c r="BA754" s="1">
        <f t="shared" si="167"/>
        <v>-199577.28463541032</v>
      </c>
      <c r="BC754" s="1">
        <f t="shared" si="168"/>
        <v>956.40455891963916</v>
      </c>
      <c r="BD754" s="1">
        <f t="shared" si="169"/>
        <v>-2229.6106547611184</v>
      </c>
      <c r="BF754" s="1">
        <f t="shared" si="157"/>
        <v>-3.5055777792532212</v>
      </c>
      <c r="BG754" s="1">
        <f t="shared" si="158"/>
        <v>30.688662987346337</v>
      </c>
      <c r="BJ754" s="1">
        <f t="shared" si="159"/>
        <v>-0.29390372577713852</v>
      </c>
      <c r="BK754" s="1">
        <f t="shared" si="160"/>
        <v>12.157283754087743</v>
      </c>
      <c r="BO754" s="1">
        <f t="shared" si="161"/>
        <v>-0.81934602833925863</v>
      </c>
      <c r="BP754" s="1">
        <f t="shared" si="162"/>
        <v>3.8153994846279926</v>
      </c>
      <c r="BT754" s="1">
        <f t="shared" si="163"/>
        <v>-2.3923280251368242</v>
      </c>
      <c r="BU754" s="1">
        <f t="shared" si="164"/>
        <v>14.715979748630602</v>
      </c>
    </row>
    <row r="755" spans="49:73">
      <c r="AW755" s="1">
        <v>745</v>
      </c>
      <c r="AX755" s="1">
        <f t="shared" si="165"/>
        <v>372.5</v>
      </c>
      <c r="AZ755" s="1">
        <f t="shared" si="166"/>
        <v>25483.881131837112</v>
      </c>
      <c r="BA755" s="1">
        <f t="shared" si="167"/>
        <v>-200688.25387991747</v>
      </c>
      <c r="BC755" s="1">
        <f t="shared" si="168"/>
        <v>954.65177003001259</v>
      </c>
      <c r="BD755" s="1">
        <f t="shared" si="169"/>
        <v>-2214.2663232674454</v>
      </c>
      <c r="BF755" s="1">
        <f t="shared" si="157"/>
        <v>-3.516603336888946</v>
      </c>
      <c r="BG755" s="1">
        <f t="shared" si="158"/>
        <v>30.329131159638067</v>
      </c>
      <c r="BJ755" s="1">
        <f t="shared" si="159"/>
        <v>-0.31678594101841073</v>
      </c>
      <c r="BK755" s="1">
        <f t="shared" si="160"/>
        <v>12.026356941153407</v>
      </c>
      <c r="BO755" s="1">
        <f t="shared" si="161"/>
        <v>-0.81445713952556609</v>
      </c>
      <c r="BP755" s="1">
        <f t="shared" si="162"/>
        <v>3.7726893201856138</v>
      </c>
      <c r="BT755" s="1">
        <f t="shared" si="163"/>
        <v>-2.3853602563449692</v>
      </c>
      <c r="BU755" s="1">
        <f t="shared" si="164"/>
        <v>14.530084898299044</v>
      </c>
    </row>
    <row r="756" spans="49:73">
      <c r="AW756" s="1">
        <v>746</v>
      </c>
      <c r="AX756" s="1">
        <f t="shared" si="165"/>
        <v>373</v>
      </c>
      <c r="AZ756" s="1">
        <f t="shared" si="166"/>
        <v>25960.767441435004</v>
      </c>
      <c r="BA756" s="1">
        <f t="shared" si="167"/>
        <v>-201791.59590015622</v>
      </c>
      <c r="BC756" s="1">
        <f t="shared" si="168"/>
        <v>952.89346836156813</v>
      </c>
      <c r="BD756" s="1">
        <f t="shared" si="169"/>
        <v>-2199.1017576876266</v>
      </c>
      <c r="BF756" s="1">
        <f t="shared" si="157"/>
        <v>-3.5268259783141094</v>
      </c>
      <c r="BG756" s="1">
        <f t="shared" si="158"/>
        <v>29.977907781002493</v>
      </c>
      <c r="BJ756" s="1">
        <f t="shared" si="159"/>
        <v>-0.33886984042956891</v>
      </c>
      <c r="BK756" s="1">
        <f t="shared" si="160"/>
        <v>11.898234648936704</v>
      </c>
      <c r="BO756" s="1">
        <f t="shared" si="161"/>
        <v>-0.80964873398864246</v>
      </c>
      <c r="BP756" s="1">
        <f t="shared" si="162"/>
        <v>3.7309385163878743</v>
      </c>
      <c r="BT756" s="1">
        <f t="shared" si="163"/>
        <v>-2.378307403895898</v>
      </c>
      <c r="BU756" s="1">
        <f t="shared" si="164"/>
        <v>14.348734615677916</v>
      </c>
    </row>
    <row r="757" spans="49:73">
      <c r="AW757" s="1">
        <v>747</v>
      </c>
      <c r="AX757" s="1">
        <f t="shared" si="165"/>
        <v>373.5</v>
      </c>
      <c r="AZ757" s="1">
        <f t="shared" si="166"/>
        <v>26436.773322368499</v>
      </c>
      <c r="BA757" s="1">
        <f t="shared" si="167"/>
        <v>-202887.3995405274</v>
      </c>
      <c r="BC757" s="1">
        <f t="shared" si="168"/>
        <v>951.13005537241111</v>
      </c>
      <c r="BD757" s="1">
        <f t="shared" si="169"/>
        <v>-2184.1128037971253</v>
      </c>
      <c r="BF757" s="1">
        <f t="shared" si="157"/>
        <v>-3.5362868407482817</v>
      </c>
      <c r="BG757" s="1">
        <f t="shared" si="158"/>
        <v>29.634720933589193</v>
      </c>
      <c r="BJ757" s="1">
        <f t="shared" si="159"/>
        <v>-0.36018816855168517</v>
      </c>
      <c r="BK757" s="1">
        <f t="shared" si="160"/>
        <v>11.772832183403697</v>
      </c>
      <c r="BO757" s="1">
        <f t="shared" si="161"/>
        <v>-0.8049189302624703</v>
      </c>
      <c r="BP757" s="1">
        <f t="shared" si="162"/>
        <v>3.6901163807171349</v>
      </c>
      <c r="BT757" s="1">
        <f t="shared" si="163"/>
        <v>-2.3711797419341263</v>
      </c>
      <c r="BU757" s="1">
        <f t="shared" si="164"/>
        <v>14.171772369468359</v>
      </c>
    </row>
    <row r="758" spans="49:73">
      <c r="AW758" s="1">
        <v>748</v>
      </c>
      <c r="AX758" s="1">
        <f t="shared" si="165"/>
        <v>374</v>
      </c>
      <c r="AZ758" s="1">
        <f t="shared" si="166"/>
        <v>26911.896314199614</v>
      </c>
      <c r="BA758" s="1">
        <f t="shared" si="167"/>
        <v>-203975.75160230926</v>
      </c>
      <c r="BC758" s="1">
        <f t="shared" si="168"/>
        <v>949.36191195203696</v>
      </c>
      <c r="BD758" s="1">
        <f t="shared" si="169"/>
        <v>-2169.2954433303307</v>
      </c>
      <c r="BF758" s="1">
        <f t="shared" si="157"/>
        <v>-3.545024814004857</v>
      </c>
      <c r="BG758" s="1">
        <f t="shared" si="158"/>
        <v>29.299310214511632</v>
      </c>
      <c r="BJ758" s="1">
        <f t="shared" si="159"/>
        <v>-0.38077208621531999</v>
      </c>
      <c r="BK758" s="1">
        <f t="shared" si="160"/>
        <v>11.650068152228734</v>
      </c>
      <c r="BO758" s="1">
        <f t="shared" si="161"/>
        <v>-0.80026590640673867</v>
      </c>
      <c r="BP758" s="1">
        <f t="shared" si="162"/>
        <v>3.6501934958714055</v>
      </c>
      <c r="BT758" s="1">
        <f t="shared" si="163"/>
        <v>-2.3639868213827984</v>
      </c>
      <c r="BU758" s="1">
        <f t="shared" si="164"/>
        <v>13.999048566411492</v>
      </c>
    </row>
    <row r="759" spans="49:73">
      <c r="AW759" s="1">
        <v>749</v>
      </c>
      <c r="AX759" s="1">
        <f t="shared" si="165"/>
        <v>374.5</v>
      </c>
      <c r="AZ759" s="1">
        <f t="shared" si="166"/>
        <v>27386.134142073883</v>
      </c>
      <c r="BA759" s="1">
        <f t="shared" si="167"/>
        <v>-205056.73691019759</v>
      </c>
      <c r="BC759" s="1">
        <f t="shared" si="168"/>
        <v>947.58939954503455</v>
      </c>
      <c r="BD759" s="1">
        <f t="shared" si="169"/>
        <v>-2154.6457882230748</v>
      </c>
      <c r="BF759" s="1">
        <f t="shared" si="157"/>
        <v>-3.5530766789850903</v>
      </c>
      <c r="BG759" s="1">
        <f t="shared" si="158"/>
        <v>28.971426140133467</v>
      </c>
      <c r="BJ759" s="1">
        <f t="shared" si="159"/>
        <v>-0.40065125978370958</v>
      </c>
      <c r="BK759" s="1">
        <f t="shared" si="160"/>
        <v>11.529864307971206</v>
      </c>
      <c r="BO759" s="1">
        <f t="shared" si="161"/>
        <v>-0.79568789763784764</v>
      </c>
      <c r="BP759" s="1">
        <f t="shared" si="162"/>
        <v>3.6111416548959641</v>
      </c>
      <c r="BT759" s="1">
        <f t="shared" si="163"/>
        <v>-2.3567375215635331</v>
      </c>
      <c r="BU759" s="1">
        <f t="shared" si="164"/>
        <v>13.830420177266298</v>
      </c>
    </row>
    <row r="760" spans="49:73">
      <c r="AW760" s="1">
        <v>750</v>
      </c>
      <c r="AX760" s="1">
        <f t="shared" si="165"/>
        <v>375</v>
      </c>
      <c r="AZ760" s="1">
        <f t="shared" si="166"/>
        <v>27859.484707261527</v>
      </c>
      <c r="BA760" s="1">
        <f t="shared" si="167"/>
        <v>-206130.43837604162</v>
      </c>
      <c r="BC760" s="1">
        <f t="shared" si="168"/>
        <v>945.81286120554205</v>
      </c>
      <c r="BD760" s="1">
        <f t="shared" si="169"/>
        <v>-2140.1600751530082</v>
      </c>
      <c r="BF760" s="1">
        <f t="shared" si="157"/>
        <v>-3.5604772365516411</v>
      </c>
      <c r="BG760" s="1">
        <f t="shared" si="158"/>
        <v>28.650829586667292</v>
      </c>
      <c r="BJ760" s="1">
        <f t="shared" si="159"/>
        <v>-0.41985394464488451</v>
      </c>
      <c r="BK760" s="1">
        <f t="shared" si="160"/>
        <v>11.412145400006619</v>
      </c>
      <c r="BO760" s="1">
        <f t="shared" si="161"/>
        <v>-0.79118319407475812</v>
      </c>
      <c r="BP760" s="1">
        <f t="shared" si="162"/>
        <v>3.5729338002084536</v>
      </c>
      <c r="BT760" s="1">
        <f t="shared" si="163"/>
        <v>-2.3494400978319985</v>
      </c>
      <c r="BU760" s="1">
        <f t="shared" si="164"/>
        <v>13.665750386452221</v>
      </c>
    </row>
    <row r="761" spans="49:73">
      <c r="AW761" s="1">
        <v>751</v>
      </c>
      <c r="AX761" s="1">
        <f t="shared" si="165"/>
        <v>375.5</v>
      </c>
      <c r="AZ761" s="1">
        <f t="shared" si="166"/>
        <v>28331.94607820973</v>
      </c>
      <c r="BA761" s="1">
        <f t="shared" si="167"/>
        <v>-207196.93705991979</v>
      </c>
      <c r="BC761" s="1">
        <f t="shared" si="168"/>
        <v>944.03262258726625</v>
      </c>
      <c r="BD761" s="1">
        <f t="shared" si="169"/>
        <v>-2125.8346603596747</v>
      </c>
      <c r="BF761" s="1">
        <f t="shared" si="157"/>
        <v>-3.5672594275275924</v>
      </c>
      <c r="BG761" s="1">
        <f t="shared" si="158"/>
        <v>28.337291264538337</v>
      </c>
      <c r="BJ761" s="1">
        <f t="shared" si="159"/>
        <v>-0.43840706336977564</v>
      </c>
      <c r="BK761" s="1">
        <f t="shared" si="160"/>
        <v>11.296839034650759</v>
      </c>
      <c r="BO761" s="1">
        <f t="shared" si="161"/>
        <v>-0.78675013859289744</v>
      </c>
      <c r="BP761" s="1">
        <f t="shared" si="162"/>
        <v>3.5355439662481372</v>
      </c>
      <c r="BT761" s="1">
        <f t="shared" si="163"/>
        <v>-2.3421022255649193</v>
      </c>
      <c r="BU761" s="1">
        <f t="shared" si="164"/>
        <v>13.50490826363944</v>
      </c>
    </row>
    <row r="762" spans="49:73">
      <c r="AW762" s="1">
        <v>752</v>
      </c>
      <c r="AX762" s="1">
        <f t="shared" si="165"/>
        <v>376</v>
      </c>
      <c r="AZ762" s="1">
        <f t="shared" si="166"/>
        <v>28803.51648207492</v>
      </c>
      <c r="BA762" s="1">
        <f t="shared" si="167"/>
        <v>-208256.31222869156</v>
      </c>
      <c r="BC762" s="1">
        <f t="shared" si="168"/>
        <v>942.2489928735024</v>
      </c>
      <c r="BD762" s="1">
        <f t="shared" si="169"/>
        <v>-2111.6660147274056</v>
      </c>
      <c r="BF762" s="1">
        <f t="shared" si="157"/>
        <v>-3.5734544445040717</v>
      </c>
      <c r="BG762" s="1">
        <f t="shared" si="158"/>
        <v>28.030591224175677</v>
      </c>
      <c r="BJ762" s="1">
        <f t="shared" si="159"/>
        <v>-0.45633627891986395</v>
      </c>
      <c r="BK762" s="1">
        <f t="shared" si="160"/>
        <v>11.183875542958921</v>
      </c>
      <c r="BO762" s="1">
        <f t="shared" si="161"/>
        <v>-0.78238712477997363</v>
      </c>
      <c r="BP762" s="1">
        <f t="shared" si="162"/>
        <v>3.4989472255017748</v>
      </c>
      <c r="BT762" s="1">
        <f t="shared" si="163"/>
        <v>-2.3347310408042343</v>
      </c>
      <c r="BU762" s="1">
        <f t="shared" si="164"/>
        <v>13.347768455714981</v>
      </c>
    </row>
    <row r="763" spans="49:73">
      <c r="AW763" s="1">
        <v>753</v>
      </c>
      <c r="AX763" s="1">
        <f t="shared" si="165"/>
        <v>376.5</v>
      </c>
      <c r="AZ763" s="1">
        <f t="shared" si="166"/>
        <v>29274.194296706108</v>
      </c>
      <c r="BA763" s="1">
        <f t="shared" si="167"/>
        <v>-209308.64141215224</v>
      </c>
      <c r="BC763" s="1">
        <f t="shared" si="168"/>
        <v>940.46226565125039</v>
      </c>
      <c r="BD763" s="1">
        <f t="shared" si="169"/>
        <v>-2097.6507191153178</v>
      </c>
      <c r="BF763" s="1">
        <f t="shared" si="157"/>
        <v>-3.5790918360811221</v>
      </c>
      <c r="BG763" s="1">
        <f t="shared" si="158"/>
        <v>27.730518391071271</v>
      </c>
      <c r="BJ763" s="1">
        <f t="shared" si="159"/>
        <v>-0.47366606325718769</v>
      </c>
      <c r="BK763" s="1">
        <f t="shared" si="160"/>
        <v>11.073187855715652</v>
      </c>
      <c r="BO763" s="1">
        <f t="shared" si="161"/>
        <v>-0.77809259498801342</v>
      </c>
      <c r="BP763" s="1">
        <f t="shared" si="162"/>
        <v>3.4631196376778588</v>
      </c>
      <c r="BT763" s="1">
        <f t="shared" si="163"/>
        <v>-2.327333177835921</v>
      </c>
      <c r="BU763" s="1">
        <f t="shared" si="164"/>
        <v>13.194210897677761</v>
      </c>
    </row>
    <row r="764" spans="49:73">
      <c r="AW764" s="1">
        <v>754</v>
      </c>
      <c r="AX764" s="1">
        <f t="shared" si="165"/>
        <v>377</v>
      </c>
      <c r="AZ764" s="1">
        <f t="shared" si="166"/>
        <v>29743.978043052222</v>
      </c>
      <c r="BA764" s="1">
        <f t="shared" si="167"/>
        <v>-210354.00045691102</v>
      </c>
      <c r="BC764" s="1">
        <f t="shared" si="168"/>
        <v>938.67271973320987</v>
      </c>
      <c r="BD764" s="1">
        <f t="shared" si="169"/>
        <v>-2083.7854599197822</v>
      </c>
      <c r="BF764" s="1">
        <f t="shared" si="157"/>
        <v>-3.5841996041133548</v>
      </c>
      <c r="BG764" s="1">
        <f t="shared" si="158"/>
        <v>27.436870128115423</v>
      </c>
      <c r="BJ764" s="1">
        <f t="shared" si="159"/>
        <v>-0.49041976168172774</v>
      </c>
      <c r="BK764" s="1">
        <f t="shared" si="160"/>
        <v>10.964711385168778</v>
      </c>
      <c r="BO764" s="1">
        <f t="shared" si="161"/>
        <v>-0.77386503847615651</v>
      </c>
      <c r="BP764" s="1">
        <f t="shared" si="162"/>
        <v>3.4280382018176709</v>
      </c>
      <c r="BT764" s="1">
        <f t="shared" si="163"/>
        <v>-2.3199148039554705</v>
      </c>
      <c r="BU764" s="1">
        <f t="shared" si="164"/>
        <v>13.044120541128972</v>
      </c>
    </row>
    <row r="765" spans="49:73">
      <c r="AW765" s="1">
        <v>755</v>
      </c>
      <c r="AX765" s="1">
        <f t="shared" si="165"/>
        <v>377.5</v>
      </c>
      <c r="AZ765" s="1">
        <f t="shared" si="166"/>
        <v>30212.866377968312</v>
      </c>
      <c r="BA765" s="1">
        <f t="shared" si="167"/>
        <v>-211392.46357810489</v>
      </c>
      <c r="BC765" s="1">
        <f t="shared" si="168"/>
        <v>936.88061993115321</v>
      </c>
      <c r="BD765" s="1">
        <f t="shared" si="169"/>
        <v>-2070.0670248557244</v>
      </c>
      <c r="BF765" s="1">
        <f t="shared" si="157"/>
        <v>-3.5888042944849046</v>
      </c>
      <c r="BG765" s="1">
        <f t="shared" si="158"/>
        <v>27.14945182337172</v>
      </c>
      <c r="BJ765" s="1">
        <f t="shared" si="159"/>
        <v>-0.50661965319559077</v>
      </c>
      <c r="BK765" s="1">
        <f t="shared" si="160"/>
        <v>10.858383913089915</v>
      </c>
      <c r="BO765" s="1">
        <f t="shared" si="161"/>
        <v>-0.7697029896392853</v>
      </c>
      <c r="BP765" s="1">
        <f t="shared" si="162"/>
        <v>3.3936808111484829</v>
      </c>
      <c r="BT765" s="1">
        <f t="shared" si="163"/>
        <v>-2.3124816516500286</v>
      </c>
      <c r="BU765" s="1">
        <f t="shared" si="164"/>
        <v>12.897387099133324</v>
      </c>
    </row>
    <row r="766" spans="49:73">
      <c r="AW766" s="1">
        <v>756</v>
      </c>
      <c r="AX766" s="1">
        <f t="shared" si="165"/>
        <v>378</v>
      </c>
      <c r="AZ766" s="1">
        <f t="shared" si="166"/>
        <v>30680.858087397079</v>
      </c>
      <c r="BA766" s="1">
        <f t="shared" si="167"/>
        <v>-212424.10340905481</v>
      </c>
      <c r="BC766" s="1">
        <f t="shared" si="168"/>
        <v>935.0862177839108</v>
      </c>
      <c r="BD766" s="1">
        <f t="shared" si="169"/>
        <v>-2056.4922989440383</v>
      </c>
      <c r="BF766" s="1">
        <f t="shared" si="157"/>
        <v>-3.5929310818940743</v>
      </c>
      <c r="BG766" s="1">
        <f t="shared" si="158"/>
        <v>26.868076501590352</v>
      </c>
      <c r="BJ766" s="1">
        <f t="shared" si="159"/>
        <v>-0.52228700717006549</v>
      </c>
      <c r="BK766" s="1">
        <f t="shared" si="160"/>
        <v>10.754145484772321</v>
      </c>
      <c r="BO766" s="1">
        <f t="shared" si="161"/>
        <v>-0.7656050263176386</v>
      </c>
      <c r="BP766" s="1">
        <f t="shared" si="162"/>
        <v>3.3600262104976619</v>
      </c>
      <c r="BT766" s="1">
        <f t="shared" si="163"/>
        <v>-2.3050390484063703</v>
      </c>
      <c r="BU766" s="1">
        <f t="shared" si="164"/>
        <v>12.753904806320367</v>
      </c>
    </row>
    <row r="767" spans="49:73">
      <c r="AW767" s="1">
        <v>757</v>
      </c>
      <c r="AX767" s="1">
        <f t="shared" si="165"/>
        <v>378.5</v>
      </c>
      <c r="AZ767" s="1">
        <f t="shared" si="166"/>
        <v>31147.952079903796</v>
      </c>
      <c r="BA767" s="1">
        <f t="shared" si="167"/>
        <v>-213448.99104896412</v>
      </c>
      <c r="BC767" s="1">
        <f t="shared" si="168"/>
        <v>933.2897522429638</v>
      </c>
      <c r="BD767" s="1">
        <f t="shared" si="169"/>
        <v>-2043.0582606932433</v>
      </c>
      <c r="BF767" s="1">
        <f t="shared" si="157"/>
        <v>-3.5966038490889334</v>
      </c>
      <c r="BG767" s="1">
        <f t="shared" si="158"/>
        <v>26.592564457891193</v>
      </c>
      <c r="BJ767" s="1">
        <f t="shared" si="159"/>
        <v>-0.537442136570489</v>
      </c>
      <c r="BK767" s="1">
        <f t="shared" si="160"/>
        <v>10.65193830860761</v>
      </c>
      <c r="BO767" s="1">
        <f t="shared" si="161"/>
        <v>-0.76156976818322131</v>
      </c>
      <c r="BP767" s="1">
        <f t="shared" si="162"/>
        <v>3.3270539561015076</v>
      </c>
      <c r="BT767" s="1">
        <f t="shared" si="163"/>
        <v>-2.2975919443352231</v>
      </c>
      <c r="BU767" s="1">
        <f t="shared" si="164"/>
        <v>12.613572193182074</v>
      </c>
    </row>
    <row r="768" spans="49:73">
      <c r="AW768" s="1">
        <v>758</v>
      </c>
      <c r="AX768" s="1">
        <f t="shared" si="165"/>
        <v>379</v>
      </c>
      <c r="AZ768" s="1">
        <f t="shared" si="166"/>
        <v>31614.147380544142</v>
      </c>
      <c r="BA768" s="1">
        <f t="shared" si="167"/>
        <v>-214467.1961087535</v>
      </c>
      <c r="BC768" s="1">
        <f t="shared" si="168"/>
        <v>931.49145031841931</v>
      </c>
      <c r="BD768" s="1">
        <f t="shared" si="169"/>
        <v>-2029.7619784642977</v>
      </c>
      <c r="BF768" s="1">
        <f t="shared" si="157"/>
        <v>-3.5998452609591958</v>
      </c>
      <c r="BG768" s="1">
        <f t="shared" si="158"/>
        <v>26.322742912161434</v>
      </c>
      <c r="BJ768" s="1">
        <f t="shared" si="159"/>
        <v>-0.55210444797411096</v>
      </c>
      <c r="BK768" s="1">
        <f t="shared" si="160"/>
        <v>10.551706660901953</v>
      </c>
      <c r="BO768" s="1">
        <f t="shared" si="161"/>
        <v>-0.75759587519867122</v>
      </c>
      <c r="BP768" s="1">
        <f t="shared" si="162"/>
        <v>3.2947443776530339</v>
      </c>
      <c r="BT768" s="1">
        <f t="shared" si="163"/>
        <v>-2.2901449377864136</v>
      </c>
      <c r="BU768" s="1">
        <f t="shared" si="164"/>
        <v>12.476291873606447</v>
      </c>
    </row>
    <row r="769" spans="49:73">
      <c r="AW769" s="1">
        <v>759</v>
      </c>
      <c r="AX769" s="1">
        <f t="shared" si="165"/>
        <v>379.5</v>
      </c>
      <c r="AZ769" s="1">
        <f t="shared" si="166"/>
        <v>32079.443125045731</v>
      </c>
      <c r="BA769" s="1">
        <f t="shared" si="167"/>
        <v>-215478.78675512163</v>
      </c>
      <c r="BC769" s="1">
        <f t="shared" si="168"/>
        <v>929.6915276879397</v>
      </c>
      <c r="BD769" s="1">
        <f t="shared" si="169"/>
        <v>-2016.6006070082169</v>
      </c>
      <c r="BF769" s="1">
        <f t="shared" si="157"/>
        <v>-3.6026768338567785</v>
      </c>
      <c r="BG769" s="1">
        <f t="shared" si="158"/>
        <v>26.058445682822018</v>
      </c>
      <c r="BJ769" s="1">
        <f t="shared" si="159"/>
        <v>-0.56629248859848469</v>
      </c>
      <c r="BK769" s="1">
        <f t="shared" si="160"/>
        <v>10.453396795620131</v>
      </c>
      <c r="BO769" s="1">
        <f t="shared" si="161"/>
        <v>-0.75368204614490064</v>
      </c>
      <c r="BP769" s="1">
        <f t="shared" si="162"/>
        <v>3.263078542445927</v>
      </c>
      <c r="BT769" s="1">
        <f t="shared" si="163"/>
        <v>-2.2827022991133932</v>
      </c>
      <c r="BU769" s="1">
        <f t="shared" si="164"/>
        <v>12.341970344755962</v>
      </c>
    </row>
    <row r="770" spans="49:73">
      <c r="AW770" s="1">
        <v>760</v>
      </c>
      <c r="AX770" s="1">
        <f t="shared" si="165"/>
        <v>380</v>
      </c>
      <c r="AZ770" s="1">
        <f t="shared" si="166"/>
        <v>32543.838554285467</v>
      </c>
      <c r="BA770" s="1">
        <f t="shared" si="167"/>
        <v>-216483.82975291539</v>
      </c>
      <c r="BC770" s="1">
        <f t="shared" si="168"/>
        <v>927.89018927101131</v>
      </c>
      <c r="BD770" s="1">
        <f t="shared" si="169"/>
        <v>-2003.571384166806</v>
      </c>
      <c r="BF770" s="1">
        <f t="shared" si="157"/>
        <v>-3.6051190004879556</v>
      </c>
      <c r="BG770" s="1">
        <f t="shared" si="158"/>
        <v>25.799512878716317</v>
      </c>
      <c r="BJ770" s="1">
        <f t="shared" si="159"/>
        <v>-0.58002399054143472</v>
      </c>
      <c r="BK770" s="1">
        <f t="shared" si="160"/>
        <v>10.356956858764331</v>
      </c>
      <c r="BO770" s="1">
        <f t="shared" si="161"/>
        <v>-0.74982701721379263</v>
      </c>
      <c r="BP770" s="1">
        <f t="shared" si="162"/>
        <v>3.2320382214811403</v>
      </c>
      <c r="BT770" s="1">
        <f t="shared" si="163"/>
        <v>-2.2752679927327284</v>
      </c>
      <c r="BU770" s="1">
        <f t="shared" si="164"/>
        <v>12.210517798470846</v>
      </c>
    </row>
    <row r="771" spans="49:73">
      <c r="AW771" s="1">
        <v>761</v>
      </c>
      <c r="AX771" s="1">
        <f t="shared" si="165"/>
        <v>380.5</v>
      </c>
      <c r="AZ771" s="1">
        <f t="shared" si="166"/>
        <v>33007.333009045913</v>
      </c>
      <c r="BA771" s="1">
        <f t="shared" si="167"/>
        <v>-217482.39050588896</v>
      </c>
      <c r="BC771" s="1">
        <f t="shared" si="168"/>
        <v>926.08762977076731</v>
      </c>
      <c r="BD771" s="1">
        <f t="shared" si="169"/>
        <v>-1990.6716277274477</v>
      </c>
      <c r="BF771" s="1">
        <f t="shared" si="157"/>
        <v>-3.6071911706923823</v>
      </c>
      <c r="BG771" s="1">
        <f t="shared" si="158"/>
        <v>25.545790607962413</v>
      </c>
      <c r="BJ771" s="1">
        <f t="shared" si="159"/>
        <v>-0.5933159124186318</v>
      </c>
      <c r="BK771" s="1">
        <f t="shared" si="160"/>
        <v>10.262336807114435</v>
      </c>
      <c r="BO771" s="1">
        <f t="shared" si="161"/>
        <v>-0.74602956066258952</v>
      </c>
      <c r="BP771" s="1">
        <f t="shared" si="162"/>
        <v>3.2016058574126443</v>
      </c>
      <c r="BT771" s="1">
        <f t="shared" si="163"/>
        <v>-2.2678456976111607</v>
      </c>
      <c r="BU771" s="1">
        <f t="shared" si="164"/>
        <v>12.081847943435333</v>
      </c>
    </row>
    <row r="772" spans="49:73">
      <c r="AW772" s="1">
        <v>762</v>
      </c>
      <c r="AX772" s="1">
        <f t="shared" si="165"/>
        <v>381</v>
      </c>
      <c r="AZ772" s="1">
        <f t="shared" si="166"/>
        <v>33469.925925034964</v>
      </c>
      <c r="BA772" s="1">
        <f t="shared" si="167"/>
        <v>-218474.53309592669</v>
      </c>
      <c r="BC772" s="1">
        <f t="shared" si="168"/>
        <v>924.28403418542109</v>
      </c>
      <c r="BD772" s="1">
        <f t="shared" si="169"/>
        <v>-1977.8987324234665</v>
      </c>
      <c r="BF772" s="1">
        <f t="shared" si="157"/>
        <v>-3.6089117883996922</v>
      </c>
      <c r="BG772" s="1">
        <f t="shared" si="158"/>
        <v>25.297130702696276</v>
      </c>
      <c r="BJ772" s="1">
        <f t="shared" si="159"/>
        <v>-0.60618447857105495</v>
      </c>
      <c r="BK772" s="1">
        <f t="shared" si="160"/>
        <v>10.169488331075314</v>
      </c>
      <c r="BO772" s="1">
        <f t="shared" si="161"/>
        <v>-0.74228848352672716</v>
      </c>
      <c r="BP772" s="1">
        <f t="shared" si="162"/>
        <v>3.1717645342173078</v>
      </c>
      <c r="BT772" s="1">
        <f t="shared" si="163"/>
        <v>-2.2604388263019102</v>
      </c>
      <c r="BU772" s="1">
        <f t="shared" si="164"/>
        <v>11.955877837403653</v>
      </c>
    </row>
    <row r="773" spans="49:73">
      <c r="AW773" s="1">
        <v>763</v>
      </c>
      <c r="AX773" s="1">
        <f t="shared" si="165"/>
        <v>381.5</v>
      </c>
      <c r="AZ773" s="1">
        <f t="shared" si="166"/>
        <v>33931.616828154125</v>
      </c>
      <c r="BA773" s="1">
        <f t="shared" si="167"/>
        <v>-219460.32032080059</v>
      </c>
      <c r="BC773" s="1">
        <f t="shared" si="168"/>
        <v>922.47957829122129</v>
      </c>
      <c r="BD773" s="1">
        <f t="shared" si="169"/>
        <v>-1965.2501670721183</v>
      </c>
      <c r="BF773" s="1">
        <f t="shared" si="157"/>
        <v>-3.6102983850318737</v>
      </c>
      <c r="BG773" s="1">
        <f t="shared" si="158"/>
        <v>25.053390458709565</v>
      </c>
      <c r="BJ773" s="1">
        <f t="shared" si="159"/>
        <v>-0.61864521600192468</v>
      </c>
      <c r="BK773" s="1">
        <f t="shared" si="160"/>
        <v>10.078364781392795</v>
      </c>
      <c r="BO773" s="1">
        <f t="shared" si="161"/>
        <v>-0.73860262638826812</v>
      </c>
      <c r="BP773" s="1">
        <f t="shared" si="162"/>
        <v>3.1424979484828341</v>
      </c>
      <c r="BT773" s="1">
        <f t="shared" si="163"/>
        <v>-2.2530505426416809</v>
      </c>
      <c r="BU773" s="1">
        <f t="shared" si="164"/>
        <v>11.832527728833936</v>
      </c>
    </row>
    <row r="774" spans="49:73">
      <c r="AW774" s="1">
        <v>764</v>
      </c>
      <c r="AX774" s="1">
        <f t="shared" si="165"/>
        <v>382</v>
      </c>
      <c r="AZ774" s="1">
        <f t="shared" si="166"/>
        <v>34392.405330001609</v>
      </c>
      <c r="BA774" s="1">
        <f t="shared" si="167"/>
        <v>-220439.81373052931</v>
      </c>
      <c r="BC774" s="1">
        <f t="shared" si="168"/>
        <v>920.67442909870533</v>
      </c>
      <c r="BD774" s="1">
        <f t="shared" si="169"/>
        <v>-1952.7234718427635</v>
      </c>
      <c r="BF774" s="1">
        <f t="shared" si="157"/>
        <v>-3.6113676295982056</v>
      </c>
      <c r="BG774" s="1">
        <f t="shared" si="158"/>
        <v>24.814432389054069</v>
      </c>
      <c r="BJ774" s="1">
        <f t="shared" si="159"/>
        <v>-0.63071298919107766</v>
      </c>
      <c r="BK774" s="1">
        <f t="shared" si="160"/>
        <v>9.9889210995159985</v>
      </c>
      <c r="BO774" s="1">
        <f t="shared" si="161"/>
        <v>-0.73497086219687258</v>
      </c>
      <c r="BP774" s="1">
        <f t="shared" si="162"/>
        <v>3.1137903822134363</v>
      </c>
      <c r="BT774" s="1">
        <f t="shared" si="163"/>
        <v>-2.2456837782102554</v>
      </c>
      <c r="BU774" s="1">
        <f t="shared" si="164"/>
        <v>11.711720907324633</v>
      </c>
    </row>
    <row r="775" spans="49:73">
      <c r="AW775" s="1">
        <v>765</v>
      </c>
      <c r="AX775" s="1">
        <f t="shared" si="165"/>
        <v>382.5</v>
      </c>
      <c r="AZ775" s="1">
        <f t="shared" si="166"/>
        <v>34852.291123597264</v>
      </c>
      <c r="BA775" s="1">
        <f t="shared" si="167"/>
        <v>-221413.07366240205</v>
      </c>
      <c r="BC775" s="1">
        <f t="shared" si="168"/>
        <v>918.86874528390626</v>
      </c>
      <c r="BD775" s="1">
        <f t="shared" si="169"/>
        <v>-1940.3162556482364</v>
      </c>
      <c r="BF775" s="1">
        <f t="shared" si="157"/>
        <v>-3.6121353757112962</v>
      </c>
      <c r="BG775" s="1">
        <f t="shared" si="158"/>
        <v>24.580123990752632</v>
      </c>
      <c r="BJ775" s="1">
        <f t="shared" si="159"/>
        <v>-0.64240203292401366</v>
      </c>
      <c r="BK775" s="1">
        <f t="shared" si="160"/>
        <v>9.9011137513977463</v>
      </c>
      <c r="BO775" s="1">
        <f t="shared" si="161"/>
        <v>-0.7313920951409052</v>
      </c>
      <c r="BP775" s="1">
        <f t="shared" si="162"/>
        <v>3.0856266770619634</v>
      </c>
      <c r="BT775" s="1">
        <f t="shared" si="163"/>
        <v>-2.2383412476463773</v>
      </c>
      <c r="BU775" s="1">
        <f t="shared" si="164"/>
        <v>11.593383562292921</v>
      </c>
    </row>
    <row r="776" spans="49:73">
      <c r="AW776" s="1">
        <v>766</v>
      </c>
      <c r="AX776" s="1">
        <f t="shared" si="165"/>
        <v>383</v>
      </c>
      <c r="AZ776" s="1">
        <f t="shared" si="166"/>
        <v>35311.273979317251</v>
      </c>
      <c r="BA776" s="1">
        <f t="shared" si="167"/>
        <v>-222380.15927472731</v>
      </c>
      <c r="BC776" s="1">
        <f t="shared" si="168"/>
        <v>917.06267759605066</v>
      </c>
      <c r="BD776" s="1">
        <f t="shared" si="169"/>
        <v>-1928.02619365286</v>
      </c>
      <c r="BF776" s="1">
        <f t="shared" si="157"/>
        <v>-3.6126167057349008</v>
      </c>
      <c r="BG776" s="1">
        <f t="shared" si="158"/>
        <v>24.350337523814389</v>
      </c>
      <c r="BJ776" s="1">
        <f t="shared" si="159"/>
        <v>-0.6537259832629746</v>
      </c>
      <c r="BK776" s="1">
        <f t="shared" si="160"/>
        <v>9.8149006645377419</v>
      </c>
      <c r="BO776" s="1">
        <f t="shared" si="161"/>
        <v>-0.72786525956596582</v>
      </c>
      <c r="BP776" s="1">
        <f t="shared" si="162"/>
        <v>3.0579922099015033</v>
      </c>
      <c r="BT776" s="1">
        <f t="shared" si="163"/>
        <v>-2.2310254629059605</v>
      </c>
      <c r="BU776" s="1">
        <f t="shared" si="164"/>
        <v>11.477444649375144</v>
      </c>
    </row>
    <row r="777" spans="49:73">
      <c r="AW777" s="1">
        <v>767</v>
      </c>
      <c r="AX777" s="1">
        <f t="shared" si="165"/>
        <v>383.5</v>
      </c>
      <c r="AZ777" s="1">
        <f t="shared" si="166"/>
        <v>35769.353741027066</v>
      </c>
      <c r="BA777" s="1">
        <f t="shared" si="167"/>
        <v>-223341.12857936329</v>
      </c>
      <c r="BC777" s="1">
        <f t="shared" si="168"/>
        <v>915.25636924318326</v>
      </c>
      <c r="BD777" s="1">
        <f t="shared" si="169"/>
        <v>-1915.8510248909529</v>
      </c>
      <c r="BF777" s="1">
        <f t="shared" si="157"/>
        <v>-3.6128259722583462</v>
      </c>
      <c r="BG777" s="1">
        <f t="shared" si="158"/>
        <v>24.124949801808711</v>
      </c>
      <c r="BJ777" s="1">
        <f t="shared" si="159"/>
        <v>-0.6646979067784613</v>
      </c>
      <c r="BK777" s="1">
        <f t="shared" si="160"/>
        <v>9.730241168087769</v>
      </c>
      <c r="BO777" s="1">
        <f t="shared" si="161"/>
        <v>-0.72438931893866221</v>
      </c>
      <c r="BP777" s="1">
        <f t="shared" si="162"/>
        <v>3.0308728696570135</v>
      </c>
      <c r="BT777" s="1">
        <f t="shared" si="163"/>
        <v>-2.2237387465412226</v>
      </c>
      <c r="BU777" s="1">
        <f t="shared" si="164"/>
        <v>11.36383576406393</v>
      </c>
    </row>
    <row r="778" spans="49:73">
      <c r="AW778" s="1">
        <v>768</v>
      </c>
      <c r="AX778" s="1">
        <f t="shared" si="165"/>
        <v>384</v>
      </c>
      <c r="AZ778" s="1">
        <f t="shared" si="166"/>
        <v>36226.530322402126</v>
      </c>
      <c r="BA778" s="1">
        <f t="shared" si="167"/>
        <v>-224296.03847308355</v>
      </c>
      <c r="BC778" s="1">
        <f t="shared" si="168"/>
        <v>913.44995625705405</v>
      </c>
      <c r="BD778" s="1">
        <f t="shared" si="169"/>
        <v>-1903.7885499900485</v>
      </c>
      <c r="BF778" s="1">
        <f t="shared" si="157"/>
        <v>-3.612776837077885</v>
      </c>
      <c r="BG778" s="1">
        <f t="shared" si="158"/>
        <v>23.903841993301857</v>
      </c>
      <c r="BJ778" s="1">
        <f t="shared" si="159"/>
        <v>-0.67533032815097915</v>
      </c>
      <c r="BK778" s="1">
        <f t="shared" si="160"/>
        <v>9.6470959358458206</v>
      </c>
      <c r="BO778" s="1">
        <f t="shared" si="161"/>
        <v>-0.72096326485325934</v>
      </c>
      <c r="BP778" s="1">
        <f t="shared" si="162"/>
        <v>3.0042550353215995</v>
      </c>
      <c r="BT778" s="1">
        <f t="shared" si="163"/>
        <v>-2.2164832440736464</v>
      </c>
      <c r="BU778" s="1">
        <f t="shared" si="164"/>
        <v>11.252491022134436</v>
      </c>
    </row>
    <row r="779" spans="49:73">
      <c r="AW779" s="1">
        <v>769</v>
      </c>
      <c r="AX779" s="1">
        <f t="shared" si="165"/>
        <v>384.5</v>
      </c>
      <c r="AZ779" s="1">
        <f t="shared" si="166"/>
        <v>36682.80370342602</v>
      </c>
      <c r="BA779" s="1">
        <f t="shared" si="167"/>
        <v>-225244.94476782941</v>
      </c>
      <c r="BC779" s="1">
        <f t="shared" si="168"/>
        <v>911.64356783851508</v>
      </c>
      <c r="BD779" s="1">
        <f t="shared" si="169"/>
        <v>-1891.8366289933977</v>
      </c>
      <c r="BF779" s="1">
        <f t="shared" ref="BF779:BF842" si="170">BJ779 + BO779 + BT779</f>
        <v>-3.6124823078517845</v>
      </c>
      <c r="BG779" s="1">
        <f t="shared" ref="BG779:BG842" si="171">BK779 + BP779 + BU779</f>
        <v>23.686899433509602</v>
      </c>
      <c r="BJ779" s="1">
        <f t="shared" ref="BJ779:BJ842" si="172">$M$22*($M$18 - AZ779)/ (SQRT(($M$18 - AZ779)^2 + ($N$18 - BA779)^2 )^2 + $M$23^2)^(3/2)</f>
        <v>-0.68563525624539312</v>
      </c>
      <c r="BK779" s="1">
        <f t="shared" ref="BK779:BK842" si="173">$M$22*($N$18 - BA779)/ (SQRT(($M$18 - AZ779)^2 + ($N$18 - BA779)^2 )^2 + $M$23^2)^(3/2)</f>
        <v>9.5654269319814187</v>
      </c>
      <c r="BO779" s="1">
        <f t="shared" ref="BO779:BO842" si="174">$M$30*($M$26 - AZ779)/ (SQRT(($M$26 - AZ779)^2 + ($N$26 - BA779)^2 )^2 + $M$31^2)^(3/2)</f>
        <v>-0.71758611607924239</v>
      </c>
      <c r="BP779" s="1">
        <f t="shared" ref="BP779:BP842" si="175">$M$30*($N$26 - BA779)/ (SQRT(($M$26 - AZ779)^2 + ($N$26 - BA779)^2 )^2 + $M$31^2)^(3/2)</f>
        <v>2.978125555088226</v>
      </c>
      <c r="BT779" s="1">
        <f t="shared" ref="BT779:BT842" si="176">$M$38*($M$34 - AZ779)/ (SQRT(($M$34 - AZ779)^2 + ($N$34 - BA779)^2 )^2 + $M$39^2)^(3/2)</f>
        <v>-2.2092609355271491</v>
      </c>
      <c r="BU779" s="1">
        <f t="shared" ref="BU779:BU842" si="177">$M$38*($N$34 - BA779)/ (SQRT(($M$34 - AZ779)^2 + ($N$34 - BA779)^2 )^2 + $M$39^2)^(3/2)</f>
        <v>11.143346946439959</v>
      </c>
    </row>
    <row r="780" spans="49:73">
      <c r="AW780" s="1">
        <v>770</v>
      </c>
      <c r="AX780" s="1">
        <f t="shared" ref="AX780:AX843" si="178">AX779+$M$5</f>
        <v>385</v>
      </c>
      <c r="AZ780" s="1">
        <f t="shared" ref="AZ780:AZ843" si="179">AZ779 + BC779 * $M$5 + 0.5 * BF779 * POWER($M$5, 2)</f>
        <v>37138.1739270568</v>
      </c>
      <c r="BA780" s="1">
        <f t="shared" ref="BA780:BA843" si="180">BA779+BD779*$M$5+0.5*BG779* POWER($M$5, 2)</f>
        <v>-226187.9022198969</v>
      </c>
      <c r="BC780" s="1">
        <f t="shared" ref="BC780:BC843" si="181">BC779 + BF779 * $M$5</f>
        <v>909.83732668458924</v>
      </c>
      <c r="BD780" s="1">
        <f t="shared" ref="BD780:BD843" si="182">BD779+BG779*$M$5</f>
        <v>-1879.9931792766429</v>
      </c>
      <c r="BF780" s="1">
        <f t="shared" si="170"/>
        <v>-3.6119547725835432</v>
      </c>
      <c r="BG780" s="1">
        <f t="shared" si="171"/>
        <v>23.474011445559874</v>
      </c>
      <c r="BJ780" s="1">
        <f t="shared" si="172"/>
        <v>-0.69562420875284292</v>
      </c>
      <c r="BK780" s="1">
        <f t="shared" si="173"/>
        <v>9.4851973593399244</v>
      </c>
      <c r="BO780" s="1">
        <f t="shared" si="174"/>
        <v>-0.71425691764770793</v>
      </c>
      <c r="BP780" s="1">
        <f t="shared" si="175"/>
        <v>2.9524717265312774</v>
      </c>
      <c r="BT780" s="1">
        <f t="shared" si="176"/>
        <v>-2.2020736461829924</v>
      </c>
      <c r="BU780" s="1">
        <f t="shared" si="177"/>
        <v>11.036342359688671</v>
      </c>
    </row>
    <row r="781" spans="49:73">
      <c r="AW781" s="1">
        <v>771</v>
      </c>
      <c r="AX781" s="1">
        <f t="shared" si="178"/>
        <v>385.5</v>
      </c>
      <c r="AZ781" s="1">
        <f t="shared" si="179"/>
        <v>37592.641096052517</v>
      </c>
      <c r="BA781" s="1">
        <f t="shared" si="180"/>
        <v>-227124.96455810452</v>
      </c>
      <c r="BC781" s="1">
        <f t="shared" si="181"/>
        <v>908.03134929829753</v>
      </c>
      <c r="BD781" s="1">
        <f t="shared" si="182"/>
        <v>-1868.2561735538629</v>
      </c>
      <c r="BF781" s="1">
        <f t="shared" si="170"/>
        <v>-3.6112060320765722</v>
      </c>
      <c r="BG781" s="1">
        <f t="shared" si="171"/>
        <v>23.265071170803139</v>
      </c>
      <c r="BJ781" s="1">
        <f t="shared" si="172"/>
        <v>-0.70530823548887112</v>
      </c>
      <c r="BK781" s="1">
        <f t="shared" si="173"/>
        <v>9.4063716101868931</v>
      </c>
      <c r="BO781" s="1">
        <f t="shared" si="174"/>
        <v>-0.71097473997478799</v>
      </c>
      <c r="BP781" s="1">
        <f t="shared" si="175"/>
        <v>2.9272812777774235</v>
      </c>
      <c r="BT781" s="1">
        <f t="shared" si="176"/>
        <v>-2.1949230566129132</v>
      </c>
      <c r="BU781" s="1">
        <f t="shared" si="177"/>
        <v>10.931418282838822</v>
      </c>
    </row>
    <row r="782" spans="49:73">
      <c r="AW782" s="1">
        <v>772</v>
      </c>
      <c r="AX782" s="1">
        <f t="shared" si="178"/>
        <v>386</v>
      </c>
      <c r="AZ782" s="1">
        <f t="shared" si="179"/>
        <v>38046.205369947653</v>
      </c>
      <c r="BA782" s="1">
        <f t="shared" si="180"/>
        <v>-228056.1845109851</v>
      </c>
      <c r="BC782" s="1">
        <f t="shared" si="181"/>
        <v>906.22574628225925</v>
      </c>
      <c r="BD782" s="1">
        <f t="shared" si="182"/>
        <v>-1856.6236379684615</v>
      </c>
      <c r="BF782" s="1">
        <f t="shared" si="170"/>
        <v>-3.6102473304929266</v>
      </c>
      <c r="BG782" s="1">
        <f t="shared" si="171"/>
        <v>23.059975407642586</v>
      </c>
      <c r="BJ782" s="1">
        <f t="shared" si="172"/>
        <v>-0.71469794043013413</v>
      </c>
      <c r="BK782" s="1">
        <f t="shared" si="173"/>
        <v>9.3289152192591978</v>
      </c>
      <c r="BO782" s="1">
        <f t="shared" si="174"/>
        <v>-0.70773867802033075</v>
      </c>
      <c r="BP782" s="1">
        <f t="shared" si="175"/>
        <v>2.9025423496088987</v>
      </c>
      <c r="BT782" s="1">
        <f t="shared" si="176"/>
        <v>-2.1878107120424617</v>
      </c>
      <c r="BU782" s="1">
        <f t="shared" si="177"/>
        <v>10.82851783877449</v>
      </c>
    </row>
    <row r="783" spans="49:73">
      <c r="AW783" s="1">
        <v>773</v>
      </c>
      <c r="AX783" s="1">
        <f t="shared" si="178"/>
        <v>386.5</v>
      </c>
      <c r="AZ783" s="1">
        <f t="shared" si="179"/>
        <v>38498.866962172469</v>
      </c>
      <c r="BA783" s="1">
        <f t="shared" si="180"/>
        <v>-228981.61383304338</v>
      </c>
      <c r="BC783" s="1">
        <f t="shared" si="181"/>
        <v>904.42062261701278</v>
      </c>
      <c r="BD783" s="1">
        <f t="shared" si="182"/>
        <v>-1845.0936502646402</v>
      </c>
      <c r="BF783" s="1">
        <f t="shared" si="170"/>
        <v>-3.6090893841393497</v>
      </c>
      <c r="BG783" s="1">
        <f t="shared" si="171"/>
        <v>22.858624458392455</v>
      </c>
      <c r="BJ783" s="1">
        <f t="shared" si="172"/>
        <v>-0.72380350256651438</v>
      </c>
      <c r="BK783" s="1">
        <f t="shared" si="173"/>
        <v>9.2527948189988631</v>
      </c>
      <c r="BO783" s="1">
        <f t="shared" si="174"/>
        <v>-0.70454785048017154</v>
      </c>
      <c r="BP783" s="1">
        <f t="shared" si="175"/>
        <v>2.8782434784460014</v>
      </c>
      <c r="BT783" s="1">
        <f t="shared" si="176"/>
        <v>-2.1807380310926638</v>
      </c>
      <c r="BU783" s="1">
        <f t="shared" si="177"/>
        <v>10.72758616094759</v>
      </c>
    </row>
    <row r="784" spans="49:73">
      <c r="AW784" s="1">
        <v>774</v>
      </c>
      <c r="AX784" s="1">
        <f t="shared" si="178"/>
        <v>387</v>
      </c>
      <c r="AZ784" s="1">
        <f t="shared" si="179"/>
        <v>38950.626137307954</v>
      </c>
      <c r="BA784" s="1">
        <f t="shared" si="180"/>
        <v>-229901.30333011842</v>
      </c>
      <c r="BC784" s="1">
        <f t="shared" si="181"/>
        <v>902.61607792494306</v>
      </c>
      <c r="BD784" s="1">
        <f t="shared" si="182"/>
        <v>-1833.664338035444</v>
      </c>
      <c r="BF784" s="1">
        <f t="shared" si="170"/>
        <v>-3.6077424085948966</v>
      </c>
      <c r="BG784" s="1">
        <f t="shared" si="171"/>
        <v>22.660921983704895</v>
      </c>
      <c r="BJ784" s="1">
        <f t="shared" si="172"/>
        <v>-0.73263469564033923</v>
      </c>
      <c r="BK784" s="1">
        <f t="shared" si="173"/>
        <v>9.177978096853991</v>
      </c>
      <c r="BO784" s="1">
        <f t="shared" si="174"/>
        <v>-0.70140139901038123</v>
      </c>
      <c r="BP784" s="1">
        <f t="shared" si="175"/>
        <v>2.8543735801589398</v>
      </c>
      <c r="BT784" s="1">
        <f t="shared" si="176"/>
        <v>-2.1737063139441761</v>
      </c>
      <c r="BU784" s="1">
        <f t="shared" si="177"/>
        <v>10.628570306691962</v>
      </c>
    </row>
    <row r="785" spans="49:73">
      <c r="AW785" s="1">
        <v>775</v>
      </c>
      <c r="AX785" s="1">
        <f t="shared" si="178"/>
        <v>387.5</v>
      </c>
      <c r="AZ785" s="1">
        <f t="shared" si="179"/>
        <v>39401.483208469355</v>
      </c>
      <c r="BA785" s="1">
        <f t="shared" si="180"/>
        <v>-230815.30288388819</v>
      </c>
      <c r="BC785" s="1">
        <f t="shared" si="181"/>
        <v>900.81220672064558</v>
      </c>
      <c r="BD785" s="1">
        <f t="shared" si="182"/>
        <v>-1822.3338770435914</v>
      </c>
      <c r="BF785" s="1">
        <f t="shared" si="170"/>
        <v>-3.6062161442864067</v>
      </c>
      <c r="BG785" s="1">
        <f t="shared" si="171"/>
        <v>22.466774864134752</v>
      </c>
      <c r="BJ785" s="1">
        <f t="shared" si="172"/>
        <v>-0.74120090683944995</v>
      </c>
      <c r="BK785" s="1">
        <f t="shared" si="173"/>
        <v>9.1044337545362222</v>
      </c>
      <c r="BO785" s="1">
        <f t="shared" si="174"/>
        <v>-0.69829848748211909</v>
      </c>
      <c r="BP785" s="1">
        <f t="shared" si="175"/>
        <v>2.830921934662928</v>
      </c>
      <c r="BT785" s="1">
        <f t="shared" si="176"/>
        <v>-2.1667167499648379</v>
      </c>
      <c r="BU785" s="1">
        <f t="shared" si="177"/>
        <v>10.531419174935602</v>
      </c>
    </row>
    <row r="786" spans="49:73">
      <c r="AW786" s="1">
        <v>776</v>
      </c>
      <c r="AX786" s="1">
        <f t="shared" si="178"/>
        <v>388</v>
      </c>
      <c r="AZ786" s="1">
        <f t="shared" si="179"/>
        <v>39851.438534811641</v>
      </c>
      <c r="BA786" s="1">
        <f t="shared" si="180"/>
        <v>-231723.66147555195</v>
      </c>
      <c r="BC786" s="1">
        <f t="shared" si="181"/>
        <v>899.00909864850234</v>
      </c>
      <c r="BD786" s="1">
        <f t="shared" si="182"/>
        <v>-1811.1004896115242</v>
      </c>
      <c r="BF786" s="1">
        <f t="shared" si="170"/>
        <v>-3.6045198806103298</v>
      </c>
      <c r="BG786" s="1">
        <f t="shared" si="171"/>
        <v>22.276093068439145</v>
      </c>
      <c r="BJ786" s="1">
        <f t="shared" si="172"/>
        <v>-0.74951115450649852</v>
      </c>
      <c r="BK786" s="1">
        <f t="shared" si="173"/>
        <v>9.0321314691320431</v>
      </c>
      <c r="BO786" s="1">
        <f t="shared" si="174"/>
        <v>-0.69523830126550279</v>
      </c>
      <c r="BP786" s="1">
        <f t="shared" si="175"/>
        <v>2.807878171252197</v>
      </c>
      <c r="BT786" s="1">
        <f t="shared" si="176"/>
        <v>-2.1597704248383285</v>
      </c>
      <c r="BU786" s="1">
        <f t="shared" si="177"/>
        <v>10.436083428054905</v>
      </c>
    </row>
    <row r="787" spans="49:73">
      <c r="AW787" s="1">
        <v>777</v>
      </c>
      <c r="AX787" s="1">
        <f t="shared" si="178"/>
        <v>388.5</v>
      </c>
      <c r="AZ787" s="1">
        <f t="shared" si="179"/>
        <v>40300.492519150815</v>
      </c>
      <c r="BA787" s="1">
        <f t="shared" si="180"/>
        <v>-232626.42720872414</v>
      </c>
      <c r="BC787" s="1">
        <f t="shared" si="181"/>
        <v>897.20683870819721</v>
      </c>
      <c r="BD787" s="1">
        <f t="shared" si="182"/>
        <v>-1799.9624430773047</v>
      </c>
      <c r="BF787" s="1">
        <f t="shared" si="170"/>
        <v>-3.6026624786929937</v>
      </c>
      <c r="BG787" s="1">
        <f t="shared" si="171"/>
        <v>22.088789528236475</v>
      </c>
      <c r="BJ787" s="1">
        <f t="shared" si="172"/>
        <v>-0.75757410492274857</v>
      </c>
      <c r="BK787" s="1">
        <f t="shared" si="173"/>
        <v>8.9610418559714979</v>
      </c>
      <c r="BO787" s="1">
        <f t="shared" si="174"/>
        <v>-0.69222004654134228</v>
      </c>
      <c r="BP787" s="1">
        <f t="shared" si="175"/>
        <v>2.7852322546327986</v>
      </c>
      <c r="BT787" s="1">
        <f t="shared" si="176"/>
        <v>-2.1528683272289029</v>
      </c>
      <c r="BU787" s="1">
        <f t="shared" si="177"/>
        <v>10.34251541763218</v>
      </c>
    </row>
    <row r="788" spans="49:73">
      <c r="AW788" s="1">
        <v>778</v>
      </c>
      <c r="AX788" s="1">
        <f t="shared" si="178"/>
        <v>389</v>
      </c>
      <c r="AZ788" s="1">
        <f t="shared" si="179"/>
        <v>40748.645605695077</v>
      </c>
      <c r="BA788" s="1">
        <f t="shared" si="180"/>
        <v>-233523.64733157176</v>
      </c>
      <c r="BC788" s="1">
        <f t="shared" si="181"/>
        <v>895.40550746885071</v>
      </c>
      <c r="BD788" s="1">
        <f t="shared" si="182"/>
        <v>-1788.9180483131863</v>
      </c>
      <c r="BF788" s="1">
        <f t="shared" si="170"/>
        <v>-3.6006523928742933</v>
      </c>
      <c r="BG788" s="1">
        <f t="shared" si="171"/>
        <v>21.904780018669449</v>
      </c>
      <c r="BJ788" s="1">
        <f t="shared" si="172"/>
        <v>-0.76539808822071653</v>
      </c>
      <c r="BK788" s="1">
        <f t="shared" si="173"/>
        <v>8.891136433162341</v>
      </c>
      <c r="BO788" s="1">
        <f t="shared" si="174"/>
        <v>-0.68924294963935873</v>
      </c>
      <c r="BP788" s="1">
        <f t="shared" si="175"/>
        <v>2.7629744716154154</v>
      </c>
      <c r="BT788" s="1">
        <f t="shared" si="176"/>
        <v>-2.1460113550142181</v>
      </c>
      <c r="BU788" s="1">
        <f t="shared" si="177"/>
        <v>10.250669113891695</v>
      </c>
    </row>
    <row r="789" spans="49:73">
      <c r="AW789" s="1">
        <v>779</v>
      </c>
      <c r="AX789" s="1">
        <f t="shared" si="178"/>
        <v>389.5</v>
      </c>
      <c r="AZ789" s="1">
        <f t="shared" si="179"/>
        <v>41195.898277880391</v>
      </c>
      <c r="BA789" s="1">
        <f t="shared" si="180"/>
        <v>-234415.36825822602</v>
      </c>
      <c r="BC789" s="1">
        <f t="shared" si="181"/>
        <v>893.60518127241357</v>
      </c>
      <c r="BD789" s="1">
        <f t="shared" si="182"/>
        <v>-1777.9656583038516</v>
      </c>
      <c r="BF789" s="1">
        <f t="shared" si="170"/>
        <v>-3.5984976909945754</v>
      </c>
      <c r="BG789" s="1">
        <f t="shared" si="171"/>
        <v>21.723983044742987</v>
      </c>
      <c r="BJ789" s="1">
        <f t="shared" si="172"/>
        <v>-0.77299111347657068</v>
      </c>
      <c r="BK789" s="1">
        <f t="shared" si="173"/>
        <v>8.8223875877045757</v>
      </c>
      <c r="BO789" s="1">
        <f t="shared" si="174"/>
        <v>-0.68630625640172427</v>
      </c>
      <c r="BP789" s="1">
        <f t="shared" si="175"/>
        <v>2.7410954184323804</v>
      </c>
      <c r="BT789" s="1">
        <f t="shared" si="176"/>
        <v>-2.1392003211162804</v>
      </c>
      <c r="BU789" s="1">
        <f t="shared" si="177"/>
        <v>10.160500038606031</v>
      </c>
    </row>
    <row r="790" spans="49:73">
      <c r="AW790" s="1">
        <v>780</v>
      </c>
      <c r="AX790" s="1">
        <f t="shared" si="178"/>
        <v>390</v>
      </c>
      <c r="AZ790" s="1">
        <f t="shared" si="179"/>
        <v>41642.251056305227</v>
      </c>
      <c r="BA790" s="1">
        <f t="shared" si="180"/>
        <v>-235301.63558949737</v>
      </c>
      <c r="BC790" s="1">
        <f t="shared" si="181"/>
        <v>891.80593242691634</v>
      </c>
      <c r="BD790" s="1">
        <f t="shared" si="182"/>
        <v>-1767.1036667814801</v>
      </c>
      <c r="BF790" s="1">
        <f t="shared" si="170"/>
        <v>-3.5962060735587098</v>
      </c>
      <c r="BG790" s="1">
        <f t="shared" si="171"/>
        <v>21.546319733026188</v>
      </c>
      <c r="BJ790" s="1">
        <f t="shared" si="172"/>
        <v>-0.78036088302980666</v>
      </c>
      <c r="BK790" s="1">
        <f t="shared" si="173"/>
        <v>8.7547685431040545</v>
      </c>
      <c r="BO790" s="1">
        <f t="shared" si="174"/>
        <v>-0.68340923157082678</v>
      </c>
      <c r="BP790" s="1">
        <f t="shared" si="175"/>
        <v>2.7195859886453282</v>
      </c>
      <c r="BT790" s="1">
        <f t="shared" si="176"/>
        <v>-2.1324359589580761</v>
      </c>
      <c r="BU790" s="1">
        <f t="shared" si="177"/>
        <v>10.071965201276804</v>
      </c>
    </row>
    <row r="791" spans="49:73">
      <c r="AW791" s="1">
        <v>781</v>
      </c>
      <c r="AX791" s="1">
        <f t="shared" si="178"/>
        <v>390.5</v>
      </c>
      <c r="AZ791" s="1">
        <f t="shared" si="179"/>
        <v>42087.704496759492</v>
      </c>
      <c r="BA791" s="1">
        <f t="shared" si="180"/>
        <v>-236182.49413292148</v>
      </c>
      <c r="BC791" s="1">
        <f t="shared" si="181"/>
        <v>890.00782939013698</v>
      </c>
      <c r="BD791" s="1">
        <f t="shared" si="182"/>
        <v>-1756.3305069149669</v>
      </c>
      <c r="BF791" s="1">
        <f t="shared" si="170"/>
        <v>-3.5937848918459636</v>
      </c>
      <c r="BG791" s="1">
        <f t="shared" si="171"/>
        <v>21.371713728425394</v>
      </c>
      <c r="BJ791" s="1">
        <f t="shared" si="172"/>
        <v>-0.78751480607467383</v>
      </c>
      <c r="BK791" s="1">
        <f t="shared" si="173"/>
        <v>8.6882533284087931</v>
      </c>
      <c r="BO791" s="1">
        <f t="shared" si="174"/>
        <v>-0.68055115820006884</v>
      </c>
      <c r="BP791" s="1">
        <f t="shared" si="175"/>
        <v>2.6984373616113579</v>
      </c>
      <c r="BT791" s="1">
        <f t="shared" si="176"/>
        <v>-2.1257189275712212</v>
      </c>
      <c r="BU791" s="1">
        <f t="shared" si="177"/>
        <v>9.9850230384052434</v>
      </c>
    </row>
    <row r="792" spans="49:73">
      <c r="AW792" s="1">
        <v>782</v>
      </c>
      <c r="AX792" s="1">
        <f t="shared" si="178"/>
        <v>391</v>
      </c>
      <c r="AZ792" s="1">
        <f t="shared" si="179"/>
        <v>42532.25918834308</v>
      </c>
      <c r="BA792" s="1">
        <f t="shared" si="180"/>
        <v>-237057.98792216292</v>
      </c>
      <c r="BC792" s="1">
        <f t="shared" si="181"/>
        <v>888.21093694421404</v>
      </c>
      <c r="BD792" s="1">
        <f t="shared" si="182"/>
        <v>-1745.6446500507543</v>
      </c>
      <c r="BF792" s="1">
        <f t="shared" si="170"/>
        <v>-3.5912411650306222</v>
      </c>
      <c r="BG792" s="1">
        <f t="shared" si="171"/>
        <v>21.200091095758268</v>
      </c>
      <c r="BJ792" s="1">
        <f t="shared" si="172"/>
        <v>-0.79446001156504942</v>
      </c>
      <c r="BK792" s="1">
        <f t="shared" si="173"/>
        <v>8.6228167485967084</v>
      </c>
      <c r="BO792" s="1">
        <f t="shared" si="174"/>
        <v>-0.67773133708688083</v>
      </c>
      <c r="BP792" s="1">
        <f t="shared" si="175"/>
        <v>2.6776409914787629</v>
      </c>
      <c r="BT792" s="1">
        <f t="shared" si="176"/>
        <v>-2.1190498163786922</v>
      </c>
      <c r="BU792" s="1">
        <f t="shared" si="177"/>
        <v>9.8996333556827949</v>
      </c>
    </row>
    <row r="793" spans="49:73">
      <c r="AW793" s="1">
        <v>783</v>
      </c>
      <c r="AX793" s="1">
        <f t="shared" si="178"/>
        <v>391.5</v>
      </c>
      <c r="AZ793" s="1">
        <f t="shared" si="179"/>
        <v>42975.915751669563</v>
      </c>
      <c r="BA793" s="1">
        <f t="shared" si="180"/>
        <v>-237928.1602358013</v>
      </c>
      <c r="BC793" s="1">
        <f t="shared" si="181"/>
        <v>886.41531636169873</v>
      </c>
      <c r="BD793" s="1">
        <f t="shared" si="182"/>
        <v>-1735.0446045028752</v>
      </c>
      <c r="BF793" s="1">
        <f t="shared" si="170"/>
        <v>-3.5885815963725758</v>
      </c>
      <c r="BG793" s="1">
        <f t="shared" si="171"/>
        <v>21.031380225868446</v>
      </c>
      <c r="BJ793" s="1">
        <f t="shared" si="172"/>
        <v>-0.80120336047173335</v>
      </c>
      <c r="BK793" s="1">
        <f t="shared" si="173"/>
        <v>8.5584343562467247</v>
      </c>
      <c r="BO793" s="1">
        <f t="shared" si="174"/>
        <v>-0.67494908622671523</v>
      </c>
      <c r="BP793" s="1">
        <f t="shared" si="175"/>
        <v>2.6571885966833029</v>
      </c>
      <c r="BT793" s="1">
        <f t="shared" si="176"/>
        <v>-2.112429149674127</v>
      </c>
      <c r="BU793" s="1">
        <f t="shared" si="177"/>
        <v>9.8157572729384164</v>
      </c>
    </row>
    <row r="794" spans="49:73">
      <c r="AW794" s="1">
        <v>784</v>
      </c>
      <c r="AX794" s="1">
        <f t="shared" si="178"/>
        <v>392</v>
      </c>
      <c r="AZ794" s="1">
        <f t="shared" si="179"/>
        <v>43418.674837150866</v>
      </c>
      <c r="BA794" s="1">
        <f t="shared" si="180"/>
        <v>-238793.05361552449</v>
      </c>
      <c r="BC794" s="1">
        <f t="shared" si="181"/>
        <v>884.62102556351249</v>
      </c>
      <c r="BD794" s="1">
        <f t="shared" si="182"/>
        <v>-1724.5289143899411</v>
      </c>
      <c r="BF794" s="1">
        <f t="shared" si="170"/>
        <v>-3.5858125885345009</v>
      </c>
      <c r="BG794" s="1">
        <f t="shared" si="171"/>
        <v>20.865511746042493</v>
      </c>
      <c r="BJ794" s="1">
        <f t="shared" si="172"/>
        <v>-0.80775145742867815</v>
      </c>
      <c r="BK794" s="1">
        <f t="shared" si="173"/>
        <v>8.4950824244290626</v>
      </c>
      <c r="BO794" s="1">
        <f t="shared" si="174"/>
        <v>-0.67220374028734986</v>
      </c>
      <c r="BP794" s="1">
        <f t="shared" si="175"/>
        <v>2.6370721499197463</v>
      </c>
      <c r="BT794" s="1">
        <f t="shared" si="176"/>
        <v>-2.105857390818473</v>
      </c>
      <c r="BU794" s="1">
        <f t="shared" si="177"/>
        <v>9.7333571716936866</v>
      </c>
    </row>
    <row r="795" spans="49:73">
      <c r="AW795" s="1">
        <v>785</v>
      </c>
      <c r="AX795" s="1">
        <f t="shared" si="178"/>
        <v>392.5</v>
      </c>
      <c r="AZ795" s="1">
        <f t="shared" si="179"/>
        <v>43860.537123359056</v>
      </c>
      <c r="BA795" s="1">
        <f t="shared" si="180"/>
        <v>-239652.7098837512</v>
      </c>
      <c r="BC795" s="1">
        <f t="shared" si="181"/>
        <v>882.82811926924524</v>
      </c>
      <c r="BD795" s="1">
        <f t="shared" si="182"/>
        <v>-1714.0961585169198</v>
      </c>
      <c r="BF795" s="1">
        <f t="shared" si="170"/>
        <v>-3.5829402580774472</v>
      </c>
      <c r="BG795" s="1">
        <f t="shared" si="171"/>
        <v>20.70241843450059</v>
      </c>
      <c r="BJ795" s="1">
        <f t="shared" si="172"/>
        <v>-0.81411066180246461</v>
      </c>
      <c r="BK795" s="1">
        <f t="shared" si="173"/>
        <v>8.4327379207550379</v>
      </c>
      <c r="BO795" s="1">
        <f t="shared" si="174"/>
        <v>-0.66949465010247311</v>
      </c>
      <c r="BP795" s="1">
        <f t="shared" si="175"/>
        <v>2.6172838685633129</v>
      </c>
      <c r="BT795" s="1">
        <f t="shared" si="176"/>
        <v>-2.0993349461725095</v>
      </c>
      <c r="BU795" s="1">
        <f t="shared" si="177"/>
        <v>9.6523966451822396</v>
      </c>
    </row>
    <row r="796" spans="49:73">
      <c r="AW796" s="1">
        <v>786</v>
      </c>
      <c r="AX796" s="1">
        <f t="shared" si="178"/>
        <v>393</v>
      </c>
      <c r="AZ796" s="1">
        <f t="shared" si="179"/>
        <v>44301.503315461421</v>
      </c>
      <c r="BA796" s="1">
        <f t="shared" si="180"/>
        <v>-240507.17016070537</v>
      </c>
      <c r="BC796" s="1">
        <f t="shared" si="181"/>
        <v>881.03664914020646</v>
      </c>
      <c r="BD796" s="1">
        <f t="shared" si="182"/>
        <v>-1703.7449492996695</v>
      </c>
      <c r="BF796" s="1">
        <f t="shared" si="170"/>
        <v>-3.5799704491838709</v>
      </c>
      <c r="BG796" s="1">
        <f t="shared" si="171"/>
        <v>20.542035138748524</v>
      </c>
      <c r="BJ796" s="1">
        <f t="shared" si="172"/>
        <v>-0.82028709821709311</v>
      </c>
      <c r="BK796" s="1">
        <f t="shared" si="173"/>
        <v>8.3713784825288737</v>
      </c>
      <c r="BO796" s="1">
        <f t="shared" si="174"/>
        <v>-0.66682118218376496</v>
      </c>
      <c r="BP796" s="1">
        <f t="shared" si="175"/>
        <v>2.5978162055179386</v>
      </c>
      <c r="BT796" s="1">
        <f t="shared" si="176"/>
        <v>-2.0928621687830127</v>
      </c>
      <c r="BU796" s="1">
        <f t="shared" si="177"/>
        <v>9.5728404507017117</v>
      </c>
    </row>
    <row r="797" spans="49:73">
      <c r="AW797" s="1">
        <v>787</v>
      </c>
      <c r="AX797" s="1">
        <f t="shared" si="178"/>
        <v>393.5</v>
      </c>
      <c r="AZ797" s="1">
        <f t="shared" si="179"/>
        <v>44741.574143725375</v>
      </c>
      <c r="BA797" s="1">
        <f t="shared" si="180"/>
        <v>-241356.47488096287</v>
      </c>
      <c r="BC797" s="1">
        <f t="shared" si="181"/>
        <v>879.24666391561448</v>
      </c>
      <c r="BD797" s="1">
        <f t="shared" si="182"/>
        <v>-1693.4739317302954</v>
      </c>
      <c r="BF797" s="1">
        <f t="shared" si="170"/>
        <v>-3.5769087466535718</v>
      </c>
      <c r="BG797" s="1">
        <f t="shared" si="171"/>
        <v>20.384298697589813</v>
      </c>
      <c r="BJ797" s="1">
        <f t="shared" si="172"/>
        <v>-0.82628666656425109</v>
      </c>
      <c r="BK797" s="1">
        <f t="shared" si="173"/>
        <v>8.3109823929480822</v>
      </c>
      <c r="BO797" s="1">
        <f t="shared" si="174"/>
        <v>-0.66418271825070263</v>
      </c>
      <c r="BP797" s="1">
        <f t="shared" si="175"/>
        <v>2.5786618404695139</v>
      </c>
      <c r="BT797" s="1">
        <f t="shared" si="176"/>
        <v>-2.0864393618386181</v>
      </c>
      <c r="BU797" s="1">
        <f t="shared" si="177"/>
        <v>9.4946544641722159</v>
      </c>
    </row>
    <row r="798" spans="49:73">
      <c r="AW798" s="1">
        <v>788</v>
      </c>
      <c r="AX798" s="1">
        <f t="shared" si="178"/>
        <v>394</v>
      </c>
      <c r="AZ798" s="1">
        <f t="shared" si="179"/>
        <v>45180.75036208985</v>
      </c>
      <c r="BA798" s="1">
        <f t="shared" si="180"/>
        <v>-242200.66380949083</v>
      </c>
      <c r="BC798" s="1">
        <f t="shared" si="181"/>
        <v>877.4582095422877</v>
      </c>
      <c r="BD798" s="1">
        <f t="shared" si="182"/>
        <v>-1683.2817823815005</v>
      </c>
      <c r="BF798" s="1">
        <f t="shared" si="170"/>
        <v>-3.5737604882154699</v>
      </c>
      <c r="BG798" s="1">
        <f t="shared" si="171"/>
        <v>20.229147866609875</v>
      </c>
      <c r="BJ798" s="1">
        <f t="shared" si="172"/>
        <v>-0.83211505152727427</v>
      </c>
      <c r="BK798" s="1">
        <f t="shared" si="173"/>
        <v>8.2515285583008566</v>
      </c>
      <c r="BO798" s="1">
        <f t="shared" si="174"/>
        <v>-0.66157865477730671</v>
      </c>
      <c r="BP798" s="1">
        <f t="shared" si="175"/>
        <v>2.5598136715233282</v>
      </c>
      <c r="BT798" s="1">
        <f t="shared" si="176"/>
        <v>-2.0800667819108889</v>
      </c>
      <c r="BU798" s="1">
        <f t="shared" si="177"/>
        <v>9.4178056367856904</v>
      </c>
    </row>
    <row r="799" spans="49:73">
      <c r="AW799" s="1">
        <v>789</v>
      </c>
      <c r="AX799" s="1">
        <f t="shared" si="178"/>
        <v>394.5</v>
      </c>
      <c r="AZ799" s="1">
        <f t="shared" si="179"/>
        <v>45619.032746799967</v>
      </c>
      <c r="BA799" s="1">
        <f t="shared" si="180"/>
        <v>-243039.77605719827</v>
      </c>
      <c r="BC799" s="1">
        <f t="shared" si="181"/>
        <v>875.67132929818001</v>
      </c>
      <c r="BD799" s="1">
        <f t="shared" si="182"/>
        <v>-1673.1672084481957</v>
      </c>
      <c r="BF799" s="1">
        <f t="shared" si="170"/>
        <v>-3.5705307761945821</v>
      </c>
      <c r="BG799" s="1">
        <f t="shared" si="171"/>
        <v>20.076523246952878</v>
      </c>
      <c r="BJ799" s="1">
        <f t="shared" si="172"/>
        <v>-0.83777773164548042</v>
      </c>
      <c r="BK799" s="1">
        <f t="shared" si="173"/>
        <v>8.1929964861137883</v>
      </c>
      <c r="BO799" s="1">
        <f t="shared" si="174"/>
        <v>-0.65900840255512194</v>
      </c>
      <c r="BP799" s="1">
        <f t="shared" si="175"/>
        <v>2.5412648072062933</v>
      </c>
      <c r="BT799" s="1">
        <f t="shared" si="176"/>
        <v>-2.0737446419939798</v>
      </c>
      <c r="BU799" s="1">
        <f t="shared" si="177"/>
        <v>9.3422619536327964</v>
      </c>
    </row>
    <row r="800" spans="49:73">
      <c r="AW800" s="1">
        <v>790</v>
      </c>
      <c r="AX800" s="1">
        <f t="shared" si="178"/>
        <v>395</v>
      </c>
      <c r="AZ800" s="1">
        <f t="shared" si="179"/>
        <v>46056.422095102032</v>
      </c>
      <c r="BA800" s="1">
        <f t="shared" si="180"/>
        <v>-243873.85009601648</v>
      </c>
      <c r="BC800" s="1">
        <f t="shared" si="181"/>
        <v>873.88606391008273</v>
      </c>
      <c r="BD800" s="1">
        <f t="shared" si="182"/>
        <v>-1663.1289468247192</v>
      </c>
      <c r="BF800" s="1">
        <f t="shared" si="170"/>
        <v>-3.5672244885722737</v>
      </c>
      <c r="BG800" s="1">
        <f t="shared" si="171"/>
        <v>19.926367217225973</v>
      </c>
      <c r="BJ800" s="1">
        <f t="shared" si="172"/>
        <v>-0.84327998794367709</v>
      </c>
      <c r="BK800" s="1">
        <f t="shared" si="173"/>
        <v>8.1353662642029132</v>
      </c>
      <c r="BO800" s="1">
        <f t="shared" si="174"/>
        <v>-0.65647138627180401</v>
      </c>
      <c r="BP800" s="1">
        <f t="shared" si="175"/>
        <v>2.5230085588158091</v>
      </c>
      <c r="BT800" s="1">
        <f t="shared" si="176"/>
        <v>-2.0674731143567926</v>
      </c>
      <c r="BU800" s="1">
        <f t="shared" si="177"/>
        <v>9.2679923942072531</v>
      </c>
    </row>
    <row r="801" spans="49:73">
      <c r="AW801" s="1">
        <v>791</v>
      </c>
      <c r="AX801" s="1">
        <f t="shared" si="178"/>
        <v>395.5</v>
      </c>
      <c r="AZ801" s="1">
        <f t="shared" si="179"/>
        <v>46492.919223996003</v>
      </c>
      <c r="BA801" s="1">
        <f t="shared" si="180"/>
        <v>-244702.92377352668</v>
      </c>
      <c r="BC801" s="1">
        <f t="shared" si="181"/>
        <v>872.10245166579659</v>
      </c>
      <c r="BD801" s="1">
        <f t="shared" si="182"/>
        <v>-1653.1657632161061</v>
      </c>
      <c r="BF801" s="1">
        <f t="shared" si="170"/>
        <v>-3.5638462894738816</v>
      </c>
      <c r="BG801" s="1">
        <f t="shared" si="171"/>
        <v>19.77862386837003</v>
      </c>
      <c r="BJ801" s="1">
        <f t="shared" si="172"/>
        <v>-0.84862691215039454</v>
      </c>
      <c r="BK801" s="1">
        <f t="shared" si="173"/>
        <v>8.078618540586298</v>
      </c>
      <c r="BO801" s="1">
        <f t="shared" si="174"/>
        <v>-0.65396704410454021</v>
      </c>
      <c r="BP801" s="1">
        <f t="shared" si="175"/>
        <v>2.505038433097496</v>
      </c>
      <c r="BT801" s="1">
        <f t="shared" si="176"/>
        <v>-2.0612523332189467</v>
      </c>
      <c r="BU801" s="1">
        <f t="shared" si="177"/>
        <v>9.1949668946862353</v>
      </c>
    </row>
    <row r="802" spans="49:73">
      <c r="AW802" s="1">
        <v>792</v>
      </c>
      <c r="AX802" s="1">
        <f t="shared" si="178"/>
        <v>396</v>
      </c>
      <c r="AZ802" s="1">
        <f t="shared" si="179"/>
        <v>46928.524969042715</v>
      </c>
      <c r="BA802" s="1">
        <f t="shared" si="180"/>
        <v>-245527.03432715117</v>
      </c>
      <c r="BC802" s="1">
        <f t="shared" si="181"/>
        <v>870.3205285210596</v>
      </c>
      <c r="BD802" s="1">
        <f t="shared" si="182"/>
        <v>-1643.276451281921</v>
      </c>
      <c r="BF802" s="1">
        <f t="shared" si="170"/>
        <v>-3.5604006391173004</v>
      </c>
      <c r="BG802" s="1">
        <f t="shared" si="171"/>
        <v>19.633238941350964</v>
      </c>
      <c r="BJ802" s="1">
        <f t="shared" si="172"/>
        <v>-0.85382341452678756</v>
      </c>
      <c r="BK802" s="1">
        <f t="shared" si="173"/>
        <v>8.0227345042165119</v>
      </c>
      <c r="BO802" s="1">
        <f t="shared" si="174"/>
        <v>-0.65149482732784736</v>
      </c>
      <c r="BP802" s="1">
        <f t="shared" si="175"/>
        <v>2.4873481252360756</v>
      </c>
      <c r="BT802" s="1">
        <f t="shared" si="176"/>
        <v>-2.0550823972626655</v>
      </c>
      <c r="BU802" s="1">
        <f t="shared" si="177"/>
        <v>9.1231563118983772</v>
      </c>
    </row>
    <row r="803" spans="49:73">
      <c r="AW803" s="1">
        <v>793</v>
      </c>
      <c r="AX803" s="1">
        <f t="shared" si="178"/>
        <v>396.5</v>
      </c>
      <c r="AZ803" s="1">
        <f t="shared" si="179"/>
        <v>47363.240183223352</v>
      </c>
      <c r="BA803" s="1">
        <f t="shared" si="180"/>
        <v>-246346.21839792444</v>
      </c>
      <c r="BC803" s="1">
        <f t="shared" si="181"/>
        <v>868.54032820150098</v>
      </c>
      <c r="BD803" s="1">
        <f t="shared" si="182"/>
        <v>-1633.4598318112455</v>
      </c>
      <c r="BF803" s="1">
        <f t="shared" si="170"/>
        <v>-3.5568918032525403</v>
      </c>
      <c r="BG803" s="1">
        <f t="shared" si="171"/>
        <v>19.490159767529029</v>
      </c>
      <c r="BJ803" s="1">
        <f t="shared" si="172"/>
        <v>-0.85887423132704155</v>
      </c>
      <c r="BK803" s="1">
        <f t="shared" si="173"/>
        <v>7.9676958664955517</v>
      </c>
      <c r="BO803" s="1">
        <f t="shared" si="174"/>
        <v>-0.64905419993505431</v>
      </c>
      <c r="BP803" s="1">
        <f t="shared" si="175"/>
        <v>2.4699315121436025</v>
      </c>
      <c r="BT803" s="1">
        <f t="shared" si="176"/>
        <v>-2.0489633719904443</v>
      </c>
      <c r="BU803" s="1">
        <f t="shared" si="177"/>
        <v>9.0525323888898725</v>
      </c>
    </row>
    <row r="804" spans="49:73">
      <c r="AW804" s="1">
        <v>794</v>
      </c>
      <c r="AX804" s="1">
        <f t="shared" si="178"/>
        <v>397</v>
      </c>
      <c r="AZ804" s="1">
        <f t="shared" si="179"/>
        <v>47797.065735848693</v>
      </c>
      <c r="BA804" s="1">
        <f t="shared" si="180"/>
        <v>-247160.51204385914</v>
      </c>
      <c r="BC804" s="1">
        <f t="shared" si="181"/>
        <v>866.76188229987474</v>
      </c>
      <c r="BD804" s="1">
        <f t="shared" si="182"/>
        <v>-1623.7147519274811</v>
      </c>
      <c r="BF804" s="1">
        <f t="shared" si="170"/>
        <v>-3.5533238621213257</v>
      </c>
      <c r="BG804" s="1">
        <f t="shared" si="171"/>
        <v>19.349335211573937</v>
      </c>
      <c r="BJ804" s="1">
        <f t="shared" si="172"/>
        <v>-0.86378393190963576</v>
      </c>
      <c r="BK804" s="1">
        <f t="shared" si="173"/>
        <v>7.9134848435343192</v>
      </c>
      <c r="BO804" s="1">
        <f t="shared" si="174"/>
        <v>-0.64664463827288809</v>
      </c>
      <c r="BP804" s="1">
        <f t="shared" si="175"/>
        <v>2.4527826460304007</v>
      </c>
      <c r="BT804" s="1">
        <f t="shared" si="176"/>
        <v>-2.0428952919388017</v>
      </c>
      <c r="BU804" s="1">
        <f t="shared" si="177"/>
        <v>8.9830677220092188</v>
      </c>
    </row>
    <row r="805" spans="49:73">
      <c r="AW805" s="1">
        <v>795</v>
      </c>
      <c r="AX805" s="1">
        <f t="shared" si="178"/>
        <v>397.5</v>
      </c>
      <c r="AZ805" s="1">
        <f t="shared" si="179"/>
        <v>48230.002511515864</v>
      </c>
      <c r="BA805" s="1">
        <f t="shared" si="180"/>
        <v>-247969.95075292143</v>
      </c>
      <c r="BC805" s="1">
        <f t="shared" si="181"/>
        <v>864.98522036881411</v>
      </c>
      <c r="BD805" s="1">
        <f t="shared" si="182"/>
        <v>-1614.0400843216942</v>
      </c>
      <c r="BF805" s="1">
        <f t="shared" si="170"/>
        <v>-3.549700718963674</v>
      </c>
      <c r="BG805" s="1">
        <f t="shared" si="171"/>
        <v>19.210715616801622</v>
      </c>
      <c r="BJ805" s="1">
        <f t="shared" si="172"/>
        <v>-0.86855692551800812</v>
      </c>
      <c r="BK805" s="1">
        <f t="shared" si="173"/>
        <v>7.8600841391239236</v>
      </c>
      <c r="BO805" s="1">
        <f t="shared" si="174"/>
        <v>-0.64426563068875131</v>
      </c>
      <c r="BP805" s="1">
        <f t="shared" si="175"/>
        <v>2.435895748245438</v>
      </c>
      <c r="BT805" s="1">
        <f t="shared" si="176"/>
        <v>-2.0368781627569148</v>
      </c>
      <c r="BU805" s="1">
        <f t="shared" si="177"/>
        <v>8.9147357294322624</v>
      </c>
    </row>
    <row r="806" spans="49:73">
      <c r="AW806" s="1">
        <v>796</v>
      </c>
      <c r="AX806" s="1">
        <f t="shared" si="178"/>
        <v>398</v>
      </c>
      <c r="AZ806" s="1">
        <f t="shared" si="179"/>
        <v>48662.051409110405</v>
      </c>
      <c r="BA806" s="1">
        <f t="shared" si="180"/>
        <v>-248774.56945563018</v>
      </c>
      <c r="BC806" s="1">
        <f t="shared" si="181"/>
        <v>863.21037000933222</v>
      </c>
      <c r="BD806" s="1">
        <f t="shared" si="182"/>
        <v>-1604.4347265132933</v>
      </c>
      <c r="BF806" s="1">
        <f t="shared" si="170"/>
        <v>-3.5460261080967612</v>
      </c>
      <c r="BG806" s="1">
        <f t="shared" si="171"/>
        <v>19.074252752813294</v>
      </c>
      <c r="BJ806" s="1">
        <f t="shared" si="172"/>
        <v>-0.87319746774770723</v>
      </c>
      <c r="BK806" s="1">
        <f t="shared" si="173"/>
        <v>7.8074769283841592</v>
      </c>
      <c r="BO806" s="1">
        <f t="shared" si="174"/>
        <v>-0.64191667719006562</v>
      </c>
      <c r="BP806" s="1">
        <f t="shared" si="175"/>
        <v>2.4192652033726958</v>
      </c>
      <c r="BT806" s="1">
        <f t="shared" si="176"/>
        <v>-2.0309119631589883</v>
      </c>
      <c r="BU806" s="1">
        <f t="shared" si="177"/>
        <v>8.8475106210564416</v>
      </c>
    </row>
    <row r="807" spans="49:73">
      <c r="AW807" s="1">
        <v>797</v>
      </c>
      <c r="AX807" s="1">
        <f t="shared" si="178"/>
        <v>398.5</v>
      </c>
      <c r="AZ807" s="1">
        <f t="shared" si="179"/>
        <v>49093.213340851558</v>
      </c>
      <c r="BA807" s="1">
        <f t="shared" si="180"/>
        <v>-249574.40253729271</v>
      </c>
      <c r="BC807" s="1">
        <f t="shared" si="181"/>
        <v>861.4373569552838</v>
      </c>
      <c r="BD807" s="1">
        <f t="shared" si="182"/>
        <v>-1594.8976001368867</v>
      </c>
      <c r="BF807" s="1">
        <f t="shared" si="170"/>
        <v>-3.5423036025896932</v>
      </c>
      <c r="BG807" s="1">
        <f t="shared" si="171"/>
        <v>18.939899765325265</v>
      </c>
      <c r="BJ807" s="1">
        <f t="shared" si="172"/>
        <v>-0.87770966671641315</v>
      </c>
      <c r="BK807" s="1">
        <f t="shared" si="173"/>
        <v>7.7556468420591402</v>
      </c>
      <c r="BO807" s="1">
        <f t="shared" si="174"/>
        <v>-0.6395972891152516</v>
      </c>
      <c r="BP807" s="1">
        <f t="shared" si="175"/>
        <v>2.4028855535714655</v>
      </c>
      <c r="BT807" s="1">
        <f t="shared" si="176"/>
        <v>-2.0249966467580287</v>
      </c>
      <c r="BU807" s="1">
        <f t="shared" si="177"/>
        <v>8.7813673696946601</v>
      </c>
    </row>
    <row r="808" spans="49:73">
      <c r="AW808" s="1">
        <v>798</v>
      </c>
      <c r="AX808" s="1">
        <f t="shared" si="178"/>
        <v>399</v>
      </c>
      <c r="AZ808" s="1">
        <f t="shared" si="179"/>
        <v>49523.489231378873</v>
      </c>
      <c r="BA808" s="1">
        <f t="shared" si="180"/>
        <v>-250369.48384989047</v>
      </c>
      <c r="BC808" s="1">
        <f t="shared" si="181"/>
        <v>859.66620515398893</v>
      </c>
      <c r="BD808" s="1">
        <f t="shared" si="182"/>
        <v>-1585.4276502542241</v>
      </c>
      <c r="BF808" s="1">
        <f t="shared" si="170"/>
        <v>-3.5385366215565903</v>
      </c>
      <c r="BG808" s="1">
        <f t="shared" si="171"/>
        <v>18.807611128084584</v>
      </c>
      <c r="BJ808" s="1">
        <f t="shared" si="172"/>
        <v>-0.88209748895224771</v>
      </c>
      <c r="BK808" s="1">
        <f t="shared" si="173"/>
        <v>7.7045779514312835</v>
      </c>
      <c r="BO808" s="1">
        <f t="shared" si="174"/>
        <v>-0.63730698881584558</v>
      </c>
      <c r="BP808" s="1">
        <f t="shared" si="175"/>
        <v>2.386751493148823</v>
      </c>
      <c r="BT808" s="1">
        <f t="shared" si="176"/>
        <v>-2.019132143788497</v>
      </c>
      <c r="BU808" s="1">
        <f t="shared" si="177"/>
        <v>8.7162816835044783</v>
      </c>
    </row>
    <row r="809" spans="49:73">
      <c r="AW809" s="1">
        <v>799</v>
      </c>
      <c r="AX809" s="1">
        <f t="shared" si="178"/>
        <v>399.5</v>
      </c>
      <c r="AZ809" s="1">
        <f t="shared" si="179"/>
        <v>49952.880016878175</v>
      </c>
      <c r="BA809" s="1">
        <f t="shared" si="180"/>
        <v>-251159.84672362657</v>
      </c>
      <c r="BC809" s="1">
        <f t="shared" si="181"/>
        <v>857.8969368432106</v>
      </c>
      <c r="BD809" s="1">
        <f t="shared" si="182"/>
        <v>-1576.0238446901817</v>
      </c>
      <c r="BF809" s="1">
        <f t="shared" si="170"/>
        <v>-3.5347284370890786</v>
      </c>
      <c r="BG809" s="1">
        <f t="shared" si="171"/>
        <v>18.677342596770494</v>
      </c>
      <c r="BJ809" s="1">
        <f t="shared" si="172"/>
        <v>-0.88636476501462047</v>
      </c>
      <c r="BK809" s="1">
        <f t="shared" si="173"/>
        <v>7.6542547538238441</v>
      </c>
      <c r="BO809" s="1">
        <f t="shared" si="174"/>
        <v>-0.63504530934939984</v>
      </c>
      <c r="BP809" s="1">
        <f t="shared" si="175"/>
        <v>2.3708578633536108</v>
      </c>
      <c r="BT809" s="1">
        <f t="shared" si="176"/>
        <v>-2.0133183627250584</v>
      </c>
      <c r="BU809" s="1">
        <f t="shared" si="177"/>
        <v>8.6522299795930397</v>
      </c>
    </row>
    <row r="810" spans="49:73">
      <c r="AW810" s="1">
        <v>800</v>
      </c>
      <c r="AX810" s="1">
        <f t="shared" si="178"/>
        <v>400</v>
      </c>
      <c r="AZ810" s="1">
        <f t="shared" si="179"/>
        <v>50381.386644245147</v>
      </c>
      <c r="BA810" s="1">
        <f t="shared" si="180"/>
        <v>-251945.52397814707</v>
      </c>
      <c r="BC810" s="1">
        <f t="shared" si="181"/>
        <v>856.12957262466603</v>
      </c>
      <c r="BD810" s="1">
        <f t="shared" si="182"/>
        <v>-1566.6851733917965</v>
      </c>
      <c r="BF810" s="1">
        <f t="shared" si="170"/>
        <v>-3.5308821808474105</v>
      </c>
      <c r="BG810" s="1">
        <f t="shared" si="171"/>
        <v>18.549051164786107</v>
      </c>
      <c r="BJ810" s="1">
        <f t="shared" si="172"/>
        <v>-0.89051519486144204</v>
      </c>
      <c r="BK810" s="1">
        <f t="shared" si="173"/>
        <v>7.6046621586672138</v>
      </c>
      <c r="BO810" s="1">
        <f t="shared" si="174"/>
        <v>-0.63281179418258937</v>
      </c>
      <c r="BP810" s="1">
        <f t="shared" si="175"/>
        <v>2.3551996473809673</v>
      </c>
      <c r="BT810" s="1">
        <f t="shared" si="176"/>
        <v>-2.0075551918033789</v>
      </c>
      <c r="BU810" s="1">
        <f t="shared" si="177"/>
        <v>8.5891893587379275</v>
      </c>
    </row>
    <row r="811" spans="49:73">
      <c r="AW811" s="1">
        <v>801</v>
      </c>
      <c r="AX811" s="1">
        <f t="shared" si="178"/>
        <v>400.5</v>
      </c>
      <c r="AZ811" s="1">
        <f t="shared" si="179"/>
        <v>50809.010070284872</v>
      </c>
      <c r="BA811" s="1">
        <f t="shared" si="180"/>
        <v>-252726.54793344735</v>
      </c>
      <c r="BC811" s="1">
        <f t="shared" si="181"/>
        <v>854.36413153424235</v>
      </c>
      <c r="BD811" s="1">
        <f t="shared" si="182"/>
        <v>-1557.4106478094034</v>
      </c>
      <c r="BF811" s="1">
        <f t="shared" si="170"/>
        <v>-3.5270008503292796</v>
      </c>
      <c r="BG811" s="1">
        <f t="shared" si="171"/>
        <v>18.42269502085302</v>
      </c>
      <c r="BJ811" s="1">
        <f t="shared" si="172"/>
        <v>-0.89455235297548719</v>
      </c>
      <c r="BK811" s="1">
        <f t="shared" si="173"/>
        <v>7.5557854741030726</v>
      </c>
      <c r="BO811" s="1">
        <f t="shared" si="174"/>
        <v>-0.6306059969042892</v>
      </c>
      <c r="BP811" s="1">
        <f t="shared" si="175"/>
        <v>2.339771965578159</v>
      </c>
      <c r="BT811" s="1">
        <f t="shared" si="176"/>
        <v>-2.0018425004495031</v>
      </c>
      <c r="BU811" s="1">
        <f t="shared" si="177"/>
        <v>8.5271375811717878</v>
      </c>
    </row>
    <row r="812" spans="49:73">
      <c r="AW812" s="1">
        <v>802</v>
      </c>
      <c r="AX812" s="1">
        <f t="shared" si="178"/>
        <v>401</v>
      </c>
      <c r="AZ812" s="1">
        <f t="shared" si="179"/>
        <v>51235.751260945697</v>
      </c>
      <c r="BA812" s="1">
        <f t="shared" si="180"/>
        <v>-253502.95042047443</v>
      </c>
      <c r="BC812" s="1">
        <f t="shared" si="181"/>
        <v>852.60063110907765</v>
      </c>
      <c r="BD812" s="1">
        <f t="shared" si="182"/>
        <v>-1548.1993002989768</v>
      </c>
      <c r="BF812" s="1">
        <f t="shared" si="170"/>
        <v>-3.5230873148333082</v>
      </c>
      <c r="BG812" s="1">
        <f t="shared" si="171"/>
        <v>18.298233508322518</v>
      </c>
      <c r="BJ812" s="1">
        <f t="shared" si="172"/>
        <v>-0.89847969326206134</v>
      </c>
      <c r="BK812" s="1">
        <f t="shared" si="173"/>
        <v>7.5076103941026497</v>
      </c>
      <c r="BO812" s="1">
        <f t="shared" si="174"/>
        <v>-0.62842748094813505</v>
      </c>
      <c r="BP812" s="1">
        <f t="shared" si="175"/>
        <v>2.3245700708420061</v>
      </c>
      <c r="BT812" s="1">
        <f t="shared" si="176"/>
        <v>-1.9961801406231114</v>
      </c>
      <c r="BU812" s="1">
        <f t="shared" si="177"/>
        <v>8.46605304337786</v>
      </c>
    </row>
    <row r="813" spans="49:73">
      <c r="AW813" s="1">
        <v>803</v>
      </c>
      <c r="AX813" s="1">
        <f t="shared" si="178"/>
        <v>401.5</v>
      </c>
      <c r="AZ813" s="1">
        <f t="shared" si="179"/>
        <v>51661.611190585878</v>
      </c>
      <c r="BA813" s="1">
        <f t="shared" si="180"/>
        <v>-254274.76279143538</v>
      </c>
      <c r="BC813" s="1">
        <f t="shared" si="181"/>
        <v>850.83908745166104</v>
      </c>
      <c r="BD813" s="1">
        <f t="shared" si="182"/>
        <v>-1539.0501835448156</v>
      </c>
      <c r="BF813" s="1">
        <f t="shared" si="170"/>
        <v>-3.5191443211337177</v>
      </c>
      <c r="BG813" s="1">
        <f t="shared" si="171"/>
        <v>18.175627086123882</v>
      </c>
      <c r="BJ813" s="1">
        <f t="shared" si="172"/>
        <v>-0.90230055372941176</v>
      </c>
      <c r="BK813" s="1">
        <f t="shared" si="173"/>
        <v>7.4601229860762128</v>
      </c>
      <c r="BO813" s="1">
        <f t="shared" si="174"/>
        <v>-0.62627581932420973</v>
      </c>
      <c r="BP813" s="1">
        <f t="shared" si="175"/>
        <v>2.3095893441991171</v>
      </c>
      <c r="BT813" s="1">
        <f t="shared" si="176"/>
        <v>-1.9905679480800964</v>
      </c>
      <c r="BU813" s="1">
        <f t="shared" si="177"/>
        <v>8.4059147558485545</v>
      </c>
    </row>
    <row r="814" spans="49:73">
      <c r="AW814" s="1">
        <v>804</v>
      </c>
      <c r="AX814" s="1">
        <f t="shared" si="178"/>
        <v>402</v>
      </c>
      <c r="AZ814" s="1">
        <f t="shared" si="179"/>
        <v>52086.590841271565</v>
      </c>
      <c r="BA814" s="1">
        <f t="shared" si="180"/>
        <v>-255042.01592982202</v>
      </c>
      <c r="BC814" s="1">
        <f t="shared" si="181"/>
        <v>849.07951529109414</v>
      </c>
      <c r="BD814" s="1">
        <f t="shared" si="182"/>
        <v>-1529.9623700017537</v>
      </c>
      <c r="BF814" s="1">
        <f t="shared" si="170"/>
        <v>-3.5151744988817546</v>
      </c>
      <c r="BG814" s="1">
        <f t="shared" si="171"/>
        <v>18.054837291274659</v>
      </c>
      <c r="BJ814" s="1">
        <f t="shared" si="172"/>
        <v>-0.90601816096273047</v>
      </c>
      <c r="BK814" s="1">
        <f t="shared" si="173"/>
        <v>7.41330967895244</v>
      </c>
      <c r="BO814" s="1">
        <f t="shared" si="174"/>
        <v>-0.62415059435956821</v>
      </c>
      <c r="BP814" s="1">
        <f t="shared" si="175"/>
        <v>2.2948252905607722</v>
      </c>
      <c r="BT814" s="1">
        <f t="shared" si="176"/>
        <v>-1.9850057435594559</v>
      </c>
      <c r="BU814" s="1">
        <f t="shared" si="177"/>
        <v>8.3467023217614464</v>
      </c>
    </row>
    <row r="815" spans="49:73">
      <c r="AW815" s="1">
        <v>805</v>
      </c>
      <c r="AX815" s="1">
        <f t="shared" si="178"/>
        <v>402.5</v>
      </c>
      <c r="AZ815" s="1">
        <f t="shared" si="179"/>
        <v>52510.691202104746</v>
      </c>
      <c r="BA815" s="1">
        <f t="shared" si="180"/>
        <v>-255804.74026016149</v>
      </c>
      <c r="BC815" s="1">
        <f t="shared" si="181"/>
        <v>847.32192804165322</v>
      </c>
      <c r="BD815" s="1">
        <f t="shared" si="182"/>
        <v>-1520.9349513561165</v>
      </c>
      <c r="BF815" s="1">
        <f t="shared" si="170"/>
        <v>-3.5111803657479532</v>
      </c>
      <c r="BG815" s="1">
        <f t="shared" si="171"/>
        <v>17.935826702879439</v>
      </c>
      <c r="BJ815" s="1">
        <f t="shared" si="172"/>
        <v>-0.90963563440200801</v>
      </c>
      <c r="BK815" s="1">
        <f t="shared" si="173"/>
        <v>7.3671572517074591</v>
      </c>
      <c r="BO815" s="1">
        <f t="shared" si="174"/>
        <v>-0.622051397447137</v>
      </c>
      <c r="BP815" s="1">
        <f t="shared" si="175"/>
        <v>2.280273534644051</v>
      </c>
      <c r="BT815" s="1">
        <f t="shared" si="176"/>
        <v>-1.9794933338988083</v>
      </c>
      <c r="BU815" s="1">
        <f t="shared" si="177"/>
        <v>8.2883959165279286</v>
      </c>
    </row>
    <row r="816" spans="49:73">
      <c r="AW816" s="1">
        <v>806</v>
      </c>
      <c r="AX816" s="1">
        <f t="shared" si="178"/>
        <v>403</v>
      </c>
      <c r="AZ816" s="1">
        <f t="shared" si="179"/>
        <v>52933.913268579854</v>
      </c>
      <c r="BA816" s="1">
        <f t="shared" si="180"/>
        <v>-256562.96575750166</v>
      </c>
      <c r="BC816" s="1">
        <f t="shared" si="181"/>
        <v>845.56633785877921</v>
      </c>
      <c r="BD816" s="1">
        <f t="shared" si="182"/>
        <v>-1511.9670380046769</v>
      </c>
      <c r="BF816" s="1">
        <f t="shared" si="170"/>
        <v>-3.5071643323193822</v>
      </c>
      <c r="BG816" s="1">
        <f t="shared" si="171"/>
        <v>17.818558907550432</v>
      </c>
      <c r="BJ816" s="1">
        <f t="shared" si="172"/>
        <v>-0.91315599043327189</v>
      </c>
      <c r="BK816" s="1">
        <f t="shared" si="173"/>
        <v>7.3216528223230002</v>
      </c>
      <c r="BO816" s="1">
        <f t="shared" si="174"/>
        <v>-0.61997782880286079</v>
      </c>
      <c r="BP816" s="1">
        <f t="shared" si="175"/>
        <v>2.2659298170523785</v>
      </c>
      <c r="BT816" s="1">
        <f t="shared" si="176"/>
        <v>-1.9740305130832496</v>
      </c>
      <c r="BU816" s="1">
        <f t="shared" si="177"/>
        <v>8.230976268175052</v>
      </c>
    </row>
    <row r="817" spans="49:73">
      <c r="AW817" s="1">
        <v>807</v>
      </c>
      <c r="AX817" s="1">
        <f t="shared" si="178"/>
        <v>403.5</v>
      </c>
      <c r="AZ817" s="1">
        <f t="shared" si="179"/>
        <v>53356.258041967703</v>
      </c>
      <c r="BA817" s="1">
        <f t="shared" si="180"/>
        <v>-257316.72195664054</v>
      </c>
      <c r="BC817" s="1">
        <f t="shared" si="181"/>
        <v>843.81275569261948</v>
      </c>
      <c r="BD817" s="1">
        <f t="shared" si="182"/>
        <v>-1503.0577585509016</v>
      </c>
      <c r="BF817" s="1">
        <f t="shared" si="170"/>
        <v>-3.5031287067643695</v>
      </c>
      <c r="BG817" s="1">
        <f t="shared" si="171"/>
        <v>17.702998466184575</v>
      </c>
      <c r="BJ817" s="1">
        <f t="shared" si="172"/>
        <v>-0.91658214630254353</v>
      </c>
      <c r="BK817" s="1">
        <f t="shared" si="173"/>
        <v>7.2767838371567812</v>
      </c>
      <c r="BO817" s="1">
        <f t="shared" si="174"/>
        <v>-0.61792949723056989</v>
      </c>
      <c r="BP817" s="1">
        <f t="shared" si="175"/>
        <v>2.2517899905075374</v>
      </c>
      <c r="BT817" s="1">
        <f t="shared" si="176"/>
        <v>-1.9686170632312561</v>
      </c>
      <c r="BU817" s="1">
        <f t="shared" si="177"/>
        <v>8.1744246385202537</v>
      </c>
    </row>
    <row r="818" spans="49:73">
      <c r="AW818" s="1">
        <v>808</v>
      </c>
      <c r="AX818" s="1">
        <f t="shared" si="178"/>
        <v>404</v>
      </c>
      <c r="AZ818" s="1">
        <f t="shared" si="179"/>
        <v>53777.726528725667</v>
      </c>
      <c r="BA818" s="1">
        <f t="shared" si="180"/>
        <v>-258066.03796110774</v>
      </c>
      <c r="BC818" s="1">
        <f t="shared" si="181"/>
        <v>842.06119133923733</v>
      </c>
      <c r="BD818" s="1">
        <f t="shared" si="182"/>
        <v>-1494.2062593178093</v>
      </c>
      <c r="BF818" s="1">
        <f t="shared" si="170"/>
        <v>-3.4990756992769736</v>
      </c>
      <c r="BG818" s="1">
        <f t="shared" si="171"/>
        <v>17.589110882035399</v>
      </c>
      <c r="BJ818" s="1">
        <f t="shared" si="172"/>
        <v>-0.91991692386089818</v>
      </c>
      <c r="BK818" s="1">
        <f t="shared" si="173"/>
        <v>7.2325380607054548</v>
      </c>
      <c r="BO818" s="1">
        <f t="shared" si="174"/>
        <v>-0.61590601989444138</v>
      </c>
      <c r="BP818" s="1">
        <f t="shared" si="175"/>
        <v>2.2378500162269752</v>
      </c>
      <c r="BT818" s="1">
        <f t="shared" si="176"/>
        <v>-1.9632527555216341</v>
      </c>
      <c r="BU818" s="1">
        <f t="shared" si="177"/>
        <v>8.1187228051029692</v>
      </c>
    </row>
    <row r="819" spans="49:73">
      <c r="AW819" s="1">
        <v>809</v>
      </c>
      <c r="AX819" s="1">
        <f t="shared" si="178"/>
        <v>404.5</v>
      </c>
      <c r="AZ819" s="1">
        <f t="shared" si="179"/>
        <v>54198.319739932878</v>
      </c>
      <c r="BA819" s="1">
        <f t="shared" si="180"/>
        <v>-258810.94245190639</v>
      </c>
      <c r="BC819" s="1">
        <f t="shared" si="181"/>
        <v>840.31165348959883</v>
      </c>
      <c r="BD819" s="1">
        <f t="shared" si="182"/>
        <v>-1485.4117038767915</v>
      </c>
      <c r="BF819" s="1">
        <f t="shared" si="170"/>
        <v>-3.4950074263127435</v>
      </c>
      <c r="BG819" s="1">
        <f t="shared" si="171"/>
        <v>17.476862570023094</v>
      </c>
      <c r="BJ819" s="1">
        <f t="shared" si="172"/>
        <v>-0.92316305314910041</v>
      </c>
      <c r="BK819" s="1">
        <f t="shared" si="173"/>
        <v>7.1889035657457363</v>
      </c>
      <c r="BO819" s="1">
        <f t="shared" si="174"/>
        <v>-0.61390702209869552</v>
      </c>
      <c r="BP819" s="1">
        <f t="shared" si="175"/>
        <v>2.2241059604396769</v>
      </c>
      <c r="BT819" s="1">
        <f t="shared" si="176"/>
        <v>-1.9579373510649478</v>
      </c>
      <c r="BU819" s="1">
        <f t="shared" si="177"/>
        <v>8.0638530438376819</v>
      </c>
    </row>
    <row r="820" spans="49:73">
      <c r="AW820" s="1">
        <v>810</v>
      </c>
      <c r="AX820" s="1">
        <f t="shared" si="178"/>
        <v>405</v>
      </c>
      <c r="AZ820" s="1">
        <f t="shared" si="179"/>
        <v>54618.038690749388</v>
      </c>
      <c r="BA820" s="1">
        <f t="shared" si="180"/>
        <v>-259551.46369602354</v>
      </c>
      <c r="BC820" s="1">
        <f t="shared" si="181"/>
        <v>838.56414977644249</v>
      </c>
      <c r="BD820" s="1">
        <f t="shared" si="182"/>
        <v>-1476.67327259178</v>
      </c>
      <c r="BF820" s="1">
        <f t="shared" si="170"/>
        <v>-3.4909259146262692</v>
      </c>
      <c r="BG820" s="1">
        <f t="shared" si="171"/>
        <v>17.366220827225334</v>
      </c>
      <c r="BJ820" s="1">
        <f t="shared" si="172"/>
        <v>-0.92632317582926038</v>
      </c>
      <c r="BK820" s="1">
        <f t="shared" si="173"/>
        <v>7.1458687238354912</v>
      </c>
      <c r="BO820" s="1">
        <f t="shared" si="174"/>
        <v>-0.61193213707428662</v>
      </c>
      <c r="BP820" s="1">
        <f t="shared" si="175"/>
        <v>2.2105539910345926</v>
      </c>
      <c r="BT820" s="1">
        <f t="shared" si="176"/>
        <v>-1.9526706017227222</v>
      </c>
      <c r="BU820" s="1">
        <f t="shared" si="177"/>
        <v>8.0097981123552504</v>
      </c>
    </row>
    <row r="821" spans="49:73">
      <c r="AW821" s="1">
        <v>811</v>
      </c>
      <c r="AX821" s="1">
        <f t="shared" si="178"/>
        <v>405.5</v>
      </c>
      <c r="AZ821" s="1">
        <f t="shared" si="179"/>
        <v>55036.884399898285</v>
      </c>
      <c r="BA821" s="1">
        <f t="shared" si="180"/>
        <v>-260287.62955471603</v>
      </c>
      <c r="BC821" s="1">
        <f t="shared" si="181"/>
        <v>836.81868681912931</v>
      </c>
      <c r="BD821" s="1">
        <f t="shared" si="182"/>
        <v>-1467.9901621781673</v>
      </c>
      <c r="BF821" s="1">
        <f t="shared" si="170"/>
        <v>-3.4868331051209633</v>
      </c>
      <c r="BG821" s="1">
        <f t="shared" si="171"/>
        <v>17.257153804498106</v>
      </c>
      <c r="BJ821" s="1">
        <f t="shared" si="172"/>
        <v>-0.92939984847097235</v>
      </c>
      <c r="BK821" s="1">
        <f t="shared" si="173"/>
        <v>7.1034221961606976</v>
      </c>
      <c r="BO821" s="1">
        <f t="shared" si="174"/>
        <v>-0.60998100577229175</v>
      </c>
      <c r="BP821" s="1">
        <f t="shared" si="175"/>
        <v>2.1971903743356616</v>
      </c>
      <c r="BT821" s="1">
        <f t="shared" si="176"/>
        <v>-1.947452250877699</v>
      </c>
      <c r="BU821" s="1">
        <f t="shared" si="177"/>
        <v>7.9565412340017474</v>
      </c>
    </row>
    <row r="822" spans="49:73">
      <c r="AW822" s="1">
        <v>812</v>
      </c>
      <c r="AX822" s="1">
        <f t="shared" si="178"/>
        <v>406</v>
      </c>
      <c r="AZ822" s="1">
        <f t="shared" si="179"/>
        <v>55454.857889169711</v>
      </c>
      <c r="BA822" s="1">
        <f t="shared" si="180"/>
        <v>-261019.46749157956</v>
      </c>
      <c r="BC822" s="1">
        <f t="shared" si="181"/>
        <v>835.07527026656885</v>
      </c>
      <c r="BD822" s="1">
        <f t="shared" si="182"/>
        <v>-1459.3615852759183</v>
      </c>
      <c r="BF822" s="1">
        <f t="shared" si="170"/>
        <v>-3.482730856520508</v>
      </c>
      <c r="BG822" s="1">
        <f t="shared" si="171"/>
        <v>17.149630479176288</v>
      </c>
      <c r="BJ822" s="1">
        <f t="shared" si="172"/>
        <v>-0.93239554569893124</v>
      </c>
      <c r="BK822" s="1">
        <f t="shared" si="173"/>
        <v>7.0615529247143423</v>
      </c>
      <c r="BO822" s="1">
        <f t="shared" si="174"/>
        <v>-0.60805327666381082</v>
      </c>
      <c r="BP822" s="1">
        <f t="shared" si="175"/>
        <v>2.1840114719981414</v>
      </c>
      <c r="BT822" s="1">
        <f t="shared" si="176"/>
        <v>-1.9422820341577662</v>
      </c>
      <c r="BU822" s="1">
        <f t="shared" si="177"/>
        <v>7.904066082463804</v>
      </c>
    </row>
    <row r="823" spans="49:73">
      <c r="AW823" s="1">
        <v>813</v>
      </c>
      <c r="AX823" s="1">
        <f t="shared" si="178"/>
        <v>406.5</v>
      </c>
      <c r="AZ823" s="1">
        <f t="shared" si="179"/>
        <v>55871.960182945928</v>
      </c>
      <c r="BA823" s="1">
        <f t="shared" si="180"/>
        <v>-261747.00458040761</v>
      </c>
      <c r="BC823" s="1">
        <f t="shared" si="181"/>
        <v>833.33390483830863</v>
      </c>
      <c r="BD823" s="1">
        <f t="shared" si="182"/>
        <v>-1450.7867700363302</v>
      </c>
      <c r="BF823" s="1">
        <f t="shared" si="170"/>
        <v>-3.4786209488711086</v>
      </c>
      <c r="BG823" s="1">
        <f t="shared" si="171"/>
        <v>17.043620628806146</v>
      </c>
      <c r="BJ823" s="1">
        <f t="shared" si="172"/>
        <v>-0.93531266320837103</v>
      </c>
      <c r="BK823" s="1">
        <f t="shared" si="173"/>
        <v>7.0202501237917128</v>
      </c>
      <c r="BO823" s="1">
        <f t="shared" si="174"/>
        <v>-0.60614860554607519</v>
      </c>
      <c r="BP823" s="1">
        <f t="shared" si="175"/>
        <v>2.1710137380207244</v>
      </c>
      <c r="BT823" s="1">
        <f t="shared" si="176"/>
        <v>-1.9371596801166624</v>
      </c>
      <c r="BU823" s="1">
        <f t="shared" si="177"/>
        <v>7.8523567669937071</v>
      </c>
    </row>
    <row r="824" spans="49:73">
      <c r="AW824" s="1">
        <v>814</v>
      </c>
      <c r="AX824" s="1">
        <f t="shared" si="178"/>
        <v>407</v>
      </c>
      <c r="AZ824" s="1">
        <f t="shared" si="179"/>
        <v>56288.192307746474</v>
      </c>
      <c r="BA824" s="1">
        <f t="shared" si="180"/>
        <v>-262470.2675128472</v>
      </c>
      <c r="BC824" s="1">
        <f t="shared" si="181"/>
        <v>831.59459436387306</v>
      </c>
      <c r="BD824" s="1">
        <f t="shared" si="182"/>
        <v>-1442.264959721927</v>
      </c>
      <c r="BF824" s="1">
        <f t="shared" si="170"/>
        <v>-3.4745050868830565</v>
      </c>
      <c r="BG824" s="1">
        <f t="shared" si="171"/>
        <v>16.93909480586559</v>
      </c>
      <c r="BJ824" s="1">
        <f t="shared" si="172"/>
        <v>-0.93815352065480162</v>
      </c>
      <c r="BK824" s="1">
        <f t="shared" si="173"/>
        <v>6.9795032717909633</v>
      </c>
      <c r="BO824" s="1">
        <f t="shared" si="174"/>
        <v>-0.60426665535460566</v>
      </c>
      <c r="BP824" s="1">
        <f t="shared" si="175"/>
        <v>2.1581937158687197</v>
      </c>
      <c r="BT824" s="1">
        <f t="shared" si="176"/>
        <v>-1.9320849108736491</v>
      </c>
      <c r="BU824" s="1">
        <f t="shared" si="177"/>
        <v>7.8013978182059072</v>
      </c>
    </row>
    <row r="825" spans="49:73">
      <c r="AW825" s="1">
        <v>815</v>
      </c>
      <c r="AX825" s="1">
        <f t="shared" si="178"/>
        <v>407.5</v>
      </c>
      <c r="AZ825" s="1">
        <f t="shared" si="179"/>
        <v>56703.555291792552</v>
      </c>
      <c r="BA825" s="1">
        <f t="shared" si="180"/>
        <v>-263189.28260585741</v>
      </c>
      <c r="BC825" s="1">
        <f t="shared" si="181"/>
        <v>829.85734182043154</v>
      </c>
      <c r="BD825" s="1">
        <f t="shared" si="182"/>
        <v>-1433.7954123189941</v>
      </c>
      <c r="BF825" s="1">
        <f t="shared" si="170"/>
        <v>-3.4703849031197334</v>
      </c>
      <c r="BG825" s="1">
        <f t="shared" si="171"/>
        <v>16.836024313428812</v>
      </c>
      <c r="BJ825" s="1">
        <f t="shared" si="172"/>
        <v>-0.94092036442373006</v>
      </c>
      <c r="BK825" s="1">
        <f t="shared" si="173"/>
        <v>6.9393021033048354</v>
      </c>
      <c r="BO825" s="1">
        <f t="shared" si="174"/>
        <v>-0.60240709598113451</v>
      </c>
      <c r="BP825" s="1">
        <f t="shared" si="175"/>
        <v>2.1455480357032881</v>
      </c>
      <c r="BT825" s="1">
        <f t="shared" si="176"/>
        <v>-1.9270574427148688</v>
      </c>
      <c r="BU825" s="1">
        <f t="shared" si="177"/>
        <v>7.7511741744206892</v>
      </c>
    </row>
    <row r="826" spans="49:73">
      <c r="AW826" s="1">
        <v>816</v>
      </c>
      <c r="AX826" s="1">
        <f t="shared" si="178"/>
        <v>408</v>
      </c>
      <c r="AZ826" s="1">
        <f t="shared" si="179"/>
        <v>57118.050164589877</v>
      </c>
      <c r="BA826" s="1">
        <f t="shared" si="180"/>
        <v>-263904.07580897777</v>
      </c>
      <c r="BC826" s="1">
        <f t="shared" si="181"/>
        <v>828.12214936887165</v>
      </c>
      <c r="BD826" s="1">
        <f t="shared" si="182"/>
        <v>-1425.3774001622796</v>
      </c>
      <c r="BF826" s="1">
        <f t="shared" si="170"/>
        <v>-3.466261961041603</v>
      </c>
      <c r="BG826" s="1">
        <f t="shared" si="171"/>
        <v>16.734381181734651</v>
      </c>
      <c r="BJ826" s="1">
        <f t="shared" si="172"/>
        <v>-0.9436153702860538</v>
      </c>
      <c r="BK826" s="1">
        <f t="shared" si="173"/>
        <v>6.8996366014923325</v>
      </c>
      <c r="BO826" s="1">
        <f t="shared" si="174"/>
        <v>-0.60056960409714433</v>
      </c>
      <c r="BP826" s="1">
        <f t="shared" si="175"/>
        <v>2.133073411712429</v>
      </c>
      <c r="BT826" s="1">
        <f t="shared" si="176"/>
        <v>-1.9220769866584051</v>
      </c>
      <c r="BU826" s="1">
        <f t="shared" si="177"/>
        <v>7.7016711685298889</v>
      </c>
    </row>
    <row r="827" spans="49:73">
      <c r="AW827" s="1">
        <v>817</v>
      </c>
      <c r="AX827" s="1">
        <f t="shared" si="178"/>
        <v>408.5</v>
      </c>
      <c r="AZ827" s="1">
        <f t="shared" si="179"/>
        <v>57531.67795652918</v>
      </c>
      <c r="BA827" s="1">
        <f t="shared" si="180"/>
        <v>-264614.6727114112</v>
      </c>
      <c r="BC827" s="1">
        <f t="shared" si="181"/>
        <v>826.38901838835079</v>
      </c>
      <c r="BD827" s="1">
        <f t="shared" si="182"/>
        <v>-1417.0102095714124</v>
      </c>
      <c r="BF827" s="1">
        <f t="shared" si="170"/>
        <v>-3.4621377579125712</v>
      </c>
      <c r="BG827" s="1">
        <f t="shared" si="171"/>
        <v>16.634138145620689</v>
      </c>
      <c r="BJ827" s="1">
        <f t="shared" si="172"/>
        <v>-0.94624064594443047</v>
      </c>
      <c r="BK827" s="1">
        <f t="shared" si="173"/>
        <v>6.8604969907189988</v>
      </c>
      <c r="BO827" s="1">
        <f t="shared" si="174"/>
        <v>-0.5987538629827861</v>
      </c>
      <c r="BP827" s="1">
        <f t="shared" si="175"/>
        <v>2.1207666395392915</v>
      </c>
      <c r="BT827" s="1">
        <f t="shared" si="176"/>
        <v>-1.9171432489853548</v>
      </c>
      <c r="BU827" s="1">
        <f t="shared" si="177"/>
        <v>7.6528745153623978</v>
      </c>
    </row>
    <row r="828" spans="49:73">
      <c r="AW828" s="1">
        <v>818</v>
      </c>
      <c r="AX828" s="1">
        <f t="shared" si="178"/>
        <v>409</v>
      </c>
      <c r="AZ828" s="1">
        <f t="shared" si="179"/>
        <v>57944.439698503615</v>
      </c>
      <c r="BA828" s="1">
        <f t="shared" si="180"/>
        <v>-265321.09854892874</v>
      </c>
      <c r="BC828" s="1">
        <f t="shared" si="181"/>
        <v>824.65794950939448</v>
      </c>
      <c r="BD828" s="1">
        <f t="shared" si="182"/>
        <v>-1408.6931404986019</v>
      </c>
      <c r="BF828" s="1">
        <f t="shared" si="170"/>
        <v>-3.4580137275753264</v>
      </c>
      <c r="BG828" s="1">
        <f t="shared" si="171"/>
        <v>16.535268622785352</v>
      </c>
      <c r="BJ828" s="1">
        <f t="shared" si="172"/>
        <v>-0.94879823347562153</v>
      </c>
      <c r="BK828" s="1">
        <f t="shared" si="173"/>
        <v>6.821873729454758</v>
      </c>
      <c r="BO828" s="1">
        <f t="shared" si="174"/>
        <v>-0.5969595623609727</v>
      </c>
      <c r="BP828" s="1">
        <f t="shared" si="175"/>
        <v>2.1086245938036554</v>
      </c>
      <c r="BT828" s="1">
        <f t="shared" si="176"/>
        <v>-1.9122559317387324</v>
      </c>
      <c r="BU828" s="1">
        <f t="shared" si="177"/>
        <v>7.6047702995269404</v>
      </c>
    </row>
    <row r="829" spans="49:73">
      <c r="AW829" s="1">
        <v>819</v>
      </c>
      <c r="AX829" s="1">
        <f t="shared" si="178"/>
        <v>409.5</v>
      </c>
      <c r="AZ829" s="1">
        <f t="shared" si="179"/>
        <v>58356.336421542364</v>
      </c>
      <c r="BA829" s="1">
        <f t="shared" si="180"/>
        <v>-266023.37821060017</v>
      </c>
      <c r="BC829" s="1">
        <f t="shared" si="181"/>
        <v>822.92894264560687</v>
      </c>
      <c r="BD829" s="1">
        <f t="shared" si="182"/>
        <v>-1400.4255061872093</v>
      </c>
      <c r="BF829" s="1">
        <f t="shared" si="170"/>
        <v>-3.4538912431022508</v>
      </c>
      <c r="BG829" s="1">
        <f t="shared" si="171"/>
        <v>16.437746692843174</v>
      </c>
      <c r="BJ829" s="1">
        <f t="shared" si="172"/>
        <v>-0.95129011167350197</v>
      </c>
      <c r="BK829" s="1">
        <f t="shared" si="173"/>
        <v>6.7837575034183182</v>
      </c>
      <c r="BO829" s="1">
        <f t="shared" si="174"/>
        <v>-0.59518639823652286</v>
      </c>
      <c r="BP829" s="1">
        <f t="shared" si="175"/>
        <v>2.0966442257129057</v>
      </c>
      <c r="BT829" s="1">
        <f t="shared" si="176"/>
        <v>-1.9074147331922258</v>
      </c>
      <c r="BU829" s="1">
        <f t="shared" si="177"/>
        <v>7.557344963711949</v>
      </c>
    </row>
    <row r="830" spans="49:73">
      <c r="AW830" s="1">
        <v>820</v>
      </c>
      <c r="AX830" s="1">
        <f t="shared" si="178"/>
        <v>410</v>
      </c>
      <c r="AZ830" s="1">
        <f t="shared" si="179"/>
        <v>58767.369156459783</v>
      </c>
      <c r="BA830" s="1">
        <f t="shared" si="180"/>
        <v>-266721.53624535719</v>
      </c>
      <c r="BC830" s="1">
        <f t="shared" si="181"/>
        <v>821.20199702405569</v>
      </c>
      <c r="BD830" s="1">
        <f t="shared" si="182"/>
        <v>-1392.2066328407877</v>
      </c>
      <c r="BF830" s="1">
        <f t="shared" si="170"/>
        <v>-3.4497716193281036</v>
      </c>
      <c r="BG830" s="1">
        <f t="shared" si="171"/>
        <v>16.341547077141065</v>
      </c>
      <c r="BJ830" s="1">
        <f t="shared" si="172"/>
        <v>-0.95371819829749183</v>
      </c>
      <c r="BK830" s="1">
        <f t="shared" si="173"/>
        <v>6.7461392189599696</v>
      </c>
      <c r="BO830" s="1">
        <f t="shared" si="174"/>
        <v>-0.59343407274013504</v>
      </c>
      <c r="BP830" s="1">
        <f t="shared" si="175"/>
        <v>2.0848225607586097</v>
      </c>
      <c r="BT830" s="1">
        <f t="shared" si="176"/>
        <v>-1.9026193482904765</v>
      </c>
      <c r="BU830" s="1">
        <f t="shared" si="177"/>
        <v>7.5105852974224874</v>
      </c>
    </row>
    <row r="831" spans="49:73">
      <c r="AW831" s="1">
        <v>821</v>
      </c>
      <c r="AX831" s="1">
        <f t="shared" si="178"/>
        <v>410.5</v>
      </c>
      <c r="AZ831" s="1">
        <f t="shared" si="179"/>
        <v>59177.53893351939</v>
      </c>
      <c r="BA831" s="1">
        <f t="shared" si="180"/>
        <v>-267415.59686839295</v>
      </c>
      <c r="BC831" s="1">
        <f t="shared" si="181"/>
        <v>819.47711121439158</v>
      </c>
      <c r="BD831" s="1">
        <f t="shared" si="182"/>
        <v>-1384.0358593022172</v>
      </c>
      <c r="BF831" s="1">
        <f t="shared" si="170"/>
        <v>-3.4456561152699026</v>
      </c>
      <c r="BG831" s="1">
        <f t="shared" si="171"/>
        <v>16.246645119301451</v>
      </c>
      <c r="BJ831" s="1">
        <f t="shared" si="172"/>
        <v>-0.95608435223041111</v>
      </c>
      <c r="BK831" s="1">
        <f t="shared" si="173"/>
        <v>6.7090099966711376</v>
      </c>
      <c r="BO831" s="1">
        <f t="shared" si="174"/>
        <v>-0.59170229397700336</v>
      </c>
      <c r="BP831" s="1">
        <f t="shared" si="175"/>
        <v>2.073156696495106</v>
      </c>
      <c r="BT831" s="1">
        <f t="shared" si="176"/>
        <v>-1.897869469062488</v>
      </c>
      <c r="BU831" s="1">
        <f t="shared" si="177"/>
        <v>7.4644784261352095</v>
      </c>
    </row>
    <row r="832" spans="49:73">
      <c r="AW832" s="1">
        <v>822</v>
      </c>
      <c r="AX832" s="1">
        <f t="shared" si="178"/>
        <v>411</v>
      </c>
      <c r="AZ832" s="1">
        <f t="shared" si="179"/>
        <v>59586.846782112181</v>
      </c>
      <c r="BA832" s="1">
        <f t="shared" si="180"/>
        <v>-268105.58396740415</v>
      </c>
      <c r="BC832" s="1">
        <f t="shared" si="181"/>
        <v>817.75428315675663</v>
      </c>
      <c r="BD832" s="1">
        <f t="shared" si="182"/>
        <v>-1375.9125367425665</v>
      </c>
      <c r="BF832" s="1">
        <f t="shared" si="170"/>
        <v>-3.4415459364398622</v>
      </c>
      <c r="BG832" s="1">
        <f t="shared" si="171"/>
        <v>16.15301676646413</v>
      </c>
      <c r="BJ832" s="1">
        <f t="shared" si="172"/>
        <v>-0.95839037555003537</v>
      </c>
      <c r="BK832" s="1">
        <f t="shared" si="173"/>
        <v>6.6723611652131192</v>
      </c>
      <c r="BO832" s="1">
        <f t="shared" si="174"/>
        <v>-0.58999077587995152</v>
      </c>
      <c r="BP832" s="1">
        <f t="shared" si="175"/>
        <v>2.0616438003968529</v>
      </c>
      <c r="BT832" s="1">
        <f t="shared" si="176"/>
        <v>-1.8931647850098752</v>
      </c>
      <c r="BU832" s="1">
        <f t="shared" si="177"/>
        <v>7.4190118008541575</v>
      </c>
    </row>
    <row r="833" spans="49:73">
      <c r="AW833" s="1">
        <v>823</v>
      </c>
      <c r="AX833" s="1">
        <f t="shared" si="178"/>
        <v>411.5</v>
      </c>
      <c r="AZ833" s="1">
        <f t="shared" si="179"/>
        <v>59995.293730448502</v>
      </c>
      <c r="BA833" s="1">
        <f t="shared" si="180"/>
        <v>-268791.52110867959</v>
      </c>
      <c r="BC833" s="1">
        <f t="shared" si="181"/>
        <v>816.03351018853675</v>
      </c>
      <c r="BD833" s="1">
        <f t="shared" si="182"/>
        <v>-1367.8360283593345</v>
      </c>
      <c r="BF833" s="1">
        <f t="shared" si="170"/>
        <v>-3.4374422370564317</v>
      </c>
      <c r="BG833" s="1">
        <f t="shared" si="171"/>
        <v>16.060638551197531</v>
      </c>
      <c r="BJ833" s="1">
        <f t="shared" si="172"/>
        <v>-0.96063801551824346</v>
      </c>
      <c r="BK833" s="1">
        <f t="shared" si="173"/>
        <v>6.636184255356449</v>
      </c>
      <c r="BO833" s="1">
        <f t="shared" si="174"/>
        <v>-0.5882992380669575</v>
      </c>
      <c r="BP833" s="1">
        <f t="shared" si="175"/>
        <v>2.0502811077914238</v>
      </c>
      <c r="BT833" s="1">
        <f t="shared" si="176"/>
        <v>-1.8885049834712309</v>
      </c>
      <c r="BU833" s="1">
        <f t="shared" si="177"/>
        <v>7.3741731880496593</v>
      </c>
    </row>
    <row r="834" spans="49:73">
      <c r="AW834" s="1">
        <v>824</v>
      </c>
      <c r="AX834" s="1">
        <f t="shared" si="178"/>
        <v>412</v>
      </c>
      <c r="AZ834" s="1">
        <f t="shared" si="179"/>
        <v>60402.880805263143</v>
      </c>
      <c r="BA834" s="1">
        <f t="shared" si="180"/>
        <v>-269473.43154304038</v>
      </c>
      <c r="BC834" s="1">
        <f t="shared" si="181"/>
        <v>814.31478907000849</v>
      </c>
      <c r="BD834" s="1">
        <f t="shared" si="182"/>
        <v>-1359.8057090837358</v>
      </c>
      <c r="BF834" s="1">
        <f t="shared" si="170"/>
        <v>-3.4333461221581167</v>
      </c>
      <c r="BG834" s="1">
        <f t="shared" si="171"/>
        <v>15.969487574050389</v>
      </c>
      <c r="BJ834" s="1">
        <f t="shared" si="172"/>
        <v>-0.96282896649122784</v>
      </c>
      <c r="BK834" s="1">
        <f t="shared" si="173"/>
        <v>6.6004709942211628</v>
      </c>
      <c r="BO834" s="1">
        <f t="shared" si="174"/>
        <v>-0.58662740570279515</v>
      </c>
      <c r="BP834" s="1">
        <f t="shared" si="175"/>
        <v>2.0390659198646475</v>
      </c>
      <c r="BT834" s="1">
        <f t="shared" si="176"/>
        <v>-1.8838897499640939</v>
      </c>
      <c r="BU834" s="1">
        <f t="shared" si="177"/>
        <v>7.3299506599645792</v>
      </c>
    </row>
    <row r="835" spans="49:73">
      <c r="AW835" s="1">
        <v>825</v>
      </c>
      <c r="AX835" s="1">
        <f t="shared" si="178"/>
        <v>412.5</v>
      </c>
      <c r="AZ835" s="1">
        <f t="shared" si="179"/>
        <v>60809.609031532877</v>
      </c>
      <c r="BA835" s="1">
        <f t="shared" si="180"/>
        <v>-270151.33821163548</v>
      </c>
      <c r="BC835" s="1">
        <f t="shared" si="181"/>
        <v>812.59811600892942</v>
      </c>
      <c r="BD835" s="1">
        <f t="shared" si="182"/>
        <v>-1351.8209652967107</v>
      </c>
      <c r="BF835" s="1">
        <f t="shared" si="170"/>
        <v>-3.4292586496251527</v>
      </c>
      <c r="BG835" s="1">
        <f t="shared" si="171"/>
        <v>15.879541486720075</v>
      </c>
      <c r="BJ835" s="1">
        <f t="shared" si="172"/>
        <v>-0.96496487175457135</v>
      </c>
      <c r="BK835" s="1">
        <f t="shared" si="173"/>
        <v>6.5652132997122292</v>
      </c>
      <c r="BO835" s="1">
        <f t="shared" si="174"/>
        <v>-0.58497500936481672</v>
      </c>
      <c r="BP835" s="1">
        <f t="shared" si="175"/>
        <v>2.0279956017355421</v>
      </c>
      <c r="BT835" s="1">
        <f t="shared" si="176"/>
        <v>-1.8793187685057646</v>
      </c>
      <c r="BU835" s="1">
        <f t="shared" si="177"/>
        <v>7.2863325852723051</v>
      </c>
    </row>
    <row r="836" spans="49:73">
      <c r="AW836" s="1">
        <v>826</v>
      </c>
      <c r="AX836" s="1">
        <f t="shared" si="178"/>
        <v>413</v>
      </c>
      <c r="AZ836" s="1">
        <f t="shared" si="179"/>
        <v>61215.479432206135</v>
      </c>
      <c r="BA836" s="1">
        <f t="shared" si="180"/>
        <v>-270825.26375159802</v>
      </c>
      <c r="BC836" s="1">
        <f t="shared" si="181"/>
        <v>810.88348668411686</v>
      </c>
      <c r="BD836" s="1">
        <f t="shared" si="182"/>
        <v>-1343.8811945533507</v>
      </c>
      <c r="BF836" s="1">
        <f t="shared" si="170"/>
        <v>-3.4251808321130754</v>
      </c>
      <c r="BG836" s="1">
        <f t="shared" si="171"/>
        <v>15.790778475810484</v>
      </c>
      <c r="BJ836" s="1">
        <f t="shared" si="172"/>
        <v>-0.96704732528625215</v>
      </c>
      <c r="BK836" s="1">
        <f t="shared" si="173"/>
        <v>6.5304032751407108</v>
      </c>
      <c r="BO836" s="1">
        <f t="shared" si="174"/>
        <v>-0.58334178491259225</v>
      </c>
      <c r="BP836" s="1">
        <f t="shared" si="175"/>
        <v>2.0170675805977538</v>
      </c>
      <c r="BT836" s="1">
        <f t="shared" si="176"/>
        <v>-1.8747917219142314</v>
      </c>
      <c r="BU836" s="1">
        <f t="shared" si="177"/>
        <v>7.2433076200720201</v>
      </c>
    </row>
    <row r="837" spans="49:73">
      <c r="AW837" s="1">
        <v>827</v>
      </c>
      <c r="AX837" s="1">
        <f t="shared" si="178"/>
        <v>413.5</v>
      </c>
      <c r="AZ837" s="1">
        <f t="shared" si="179"/>
        <v>61620.493027944183</v>
      </c>
      <c r="BA837" s="1">
        <f t="shared" si="180"/>
        <v>-271495.23050156521</v>
      </c>
      <c r="BC837" s="1">
        <f t="shared" si="181"/>
        <v>809.17089626806035</v>
      </c>
      <c r="BD837" s="1">
        <f t="shared" si="182"/>
        <v>-1335.9858053154455</v>
      </c>
      <c r="BF837" s="1">
        <f t="shared" si="170"/>
        <v>-3.4211136389024999</v>
      </c>
      <c r="BG837" s="1">
        <f t="shared" si="171"/>
        <v>15.703177247156473</v>
      </c>
      <c r="BJ837" s="1">
        <f t="shared" si="172"/>
        <v>-0.96907787345088137</v>
      </c>
      <c r="BK837" s="1">
        <f t="shared" si="173"/>
        <v>6.4960332040244921</v>
      </c>
      <c r="BO837" s="1">
        <f t="shared" si="174"/>
        <v>-0.58172747336136199</v>
      </c>
      <c r="BP837" s="1">
        <f t="shared" si="175"/>
        <v>2.006279343925133</v>
      </c>
      <c r="BT837" s="1">
        <f t="shared" si="176"/>
        <v>-1.8703082920902567</v>
      </c>
      <c r="BU837" s="1">
        <f t="shared" si="177"/>
        <v>7.2008646992068481</v>
      </c>
    </row>
    <row r="838" spans="49:73">
      <c r="AW838" s="1">
        <v>828</v>
      </c>
      <c r="AX838" s="1">
        <f t="shared" si="178"/>
        <v>414</v>
      </c>
      <c r="AZ838" s="1">
        <f t="shared" si="179"/>
        <v>62024.650836873348</v>
      </c>
      <c r="BA838" s="1">
        <f t="shared" si="180"/>
        <v>-272161.26050706703</v>
      </c>
      <c r="BC838" s="1">
        <f t="shared" si="181"/>
        <v>807.46033944860915</v>
      </c>
      <c r="BD838" s="1">
        <f t="shared" si="182"/>
        <v>-1328.1342166918673</v>
      </c>
      <c r="BF838" s="1">
        <f t="shared" si="170"/>
        <v>-3.4170579976690592</v>
      </c>
      <c r="BG838" s="1">
        <f t="shared" si="171"/>
        <v>15.616717010692149</v>
      </c>
      <c r="BJ838" s="1">
        <f t="shared" si="172"/>
        <v>-0.97105801662818469</v>
      </c>
      <c r="BK838" s="1">
        <f t="shared" si="173"/>
        <v>6.4620955450616506</v>
      </c>
      <c r="BO838" s="1">
        <f t="shared" si="174"/>
        <v>-0.58013182075914327</v>
      </c>
      <c r="BP838" s="1">
        <f t="shared" si="175"/>
        <v>1.9956284377387954</v>
      </c>
      <c r="BT838" s="1">
        <f t="shared" si="176"/>
        <v>-1.8658681602817313</v>
      </c>
      <c r="BU838" s="1">
        <f t="shared" si="177"/>
        <v>7.1589930278917047</v>
      </c>
    </row>
    <row r="839" spans="49:73">
      <c r="AW839" s="1">
        <v>829</v>
      </c>
      <c r="AX839" s="1">
        <f t="shared" si="178"/>
        <v>414.5</v>
      </c>
      <c r="AZ839" s="1">
        <f t="shared" si="179"/>
        <v>62427.953874347942</v>
      </c>
      <c r="BA839" s="1">
        <f t="shared" si="180"/>
        <v>-272823.3755257866</v>
      </c>
      <c r="BC839" s="1">
        <f t="shared" si="181"/>
        <v>805.75181044977467</v>
      </c>
      <c r="BD839" s="1">
        <f t="shared" si="182"/>
        <v>-1320.3258581865211</v>
      </c>
      <c r="BF839" s="1">
        <f t="shared" si="170"/>
        <v>-3.413014796177321</v>
      </c>
      <c r="BG839" s="1">
        <f t="shared" si="171"/>
        <v>15.531377465841121</v>
      </c>
      <c r="BJ839" s="1">
        <f t="shared" si="172"/>
        <v>-0.97298921077848621</v>
      </c>
      <c r="BK839" s="1">
        <f t="shared" si="173"/>
        <v>6.4285829272691544</v>
      </c>
      <c r="BO839" s="1">
        <f t="shared" si="174"/>
        <v>-0.57855457806736155</v>
      </c>
      <c r="BP839" s="1">
        <f t="shared" si="175"/>
        <v>1.9851124649332181</v>
      </c>
      <c r="BT839" s="1">
        <f t="shared" si="176"/>
        <v>-1.8614710073314731</v>
      </c>
      <c r="BU839" s="1">
        <f t="shared" si="177"/>
        <v>7.1176820736387478</v>
      </c>
    </row>
    <row r="840" spans="49:73">
      <c r="AW840" s="1">
        <v>830</v>
      </c>
      <c r="AX840" s="1">
        <f t="shared" si="178"/>
        <v>415</v>
      </c>
      <c r="AZ840" s="1">
        <f t="shared" si="179"/>
        <v>62830.403152723309</v>
      </c>
      <c r="BA840" s="1">
        <f t="shared" si="180"/>
        <v>-273481.59703269659</v>
      </c>
      <c r="BC840" s="1">
        <f t="shared" si="181"/>
        <v>804.04530305168601</v>
      </c>
      <c r="BD840" s="1">
        <f t="shared" si="182"/>
        <v>-1312.5601694536006</v>
      </c>
      <c r="BF840" s="1">
        <f t="shared" si="170"/>
        <v>-3.4089848839021455</v>
      </c>
      <c r="BG840" s="1">
        <f t="shared" si="171"/>
        <v>15.447138787408193</v>
      </c>
      <c r="BJ840" s="1">
        <f t="shared" si="172"/>
        <v>-0.97487286894812353</v>
      </c>
      <c r="BK840" s="1">
        <f t="shared" si="173"/>
        <v>6.3954881452819938</v>
      </c>
      <c r="BO840" s="1">
        <f t="shared" si="174"/>
        <v>-0.57699550104490471</v>
      </c>
      <c r="BP840" s="1">
        <f t="shared" si="175"/>
        <v>1.9747290836590932</v>
      </c>
      <c r="BT840" s="1">
        <f t="shared" si="176"/>
        <v>-1.8571165139091173</v>
      </c>
      <c r="BU840" s="1">
        <f t="shared" si="177"/>
        <v>7.0769215584671068</v>
      </c>
    </row>
    <row r="841" spans="49:73">
      <c r="AW841" s="1">
        <v>831</v>
      </c>
      <c r="AX841" s="1">
        <f t="shared" si="178"/>
        <v>415.5</v>
      </c>
      <c r="AZ841" s="1">
        <f t="shared" si="179"/>
        <v>63231.999681138659</v>
      </c>
      <c r="BA841" s="1">
        <f t="shared" si="180"/>
        <v>-274135.94622507499</v>
      </c>
      <c r="BC841" s="1">
        <f t="shared" si="181"/>
        <v>802.34081060973494</v>
      </c>
      <c r="BD841" s="1">
        <f t="shared" si="182"/>
        <v>-1304.8366000598965</v>
      </c>
      <c r="BF841" s="1">
        <f t="shared" si="170"/>
        <v>-3.4049690735807276</v>
      </c>
      <c r="BG841" s="1">
        <f t="shared" si="171"/>
        <v>15.363981611951377</v>
      </c>
      <c r="BJ841" s="1">
        <f t="shared" si="172"/>
        <v>-0.97671036271708833</v>
      </c>
      <c r="BK841" s="1">
        <f t="shared" si="173"/>
        <v>6.3628041548046737</v>
      </c>
      <c r="BO841" s="1">
        <f t="shared" si="174"/>
        <v>-0.57545435013547397</v>
      </c>
      <c r="BP841" s="1">
        <f t="shared" si="175"/>
        <v>1.964476005760692</v>
      </c>
      <c r="BT841" s="1">
        <f t="shared" si="176"/>
        <v>-1.8528043607281652</v>
      </c>
      <c r="BU841" s="1">
        <f t="shared" si="177"/>
        <v>7.0367014513860111</v>
      </c>
    </row>
    <row r="842" spans="49:73">
      <c r="AW842" s="1">
        <v>832</v>
      </c>
      <c r="AX842" s="1">
        <f t="shared" si="178"/>
        <v>416</v>
      </c>
      <c r="AZ842" s="1">
        <f t="shared" si="179"/>
        <v>63632.744465309326</v>
      </c>
      <c r="BA842" s="1">
        <f t="shared" si="180"/>
        <v>-274786.44402740343</v>
      </c>
      <c r="BC842" s="1">
        <f t="shared" si="181"/>
        <v>800.63832607294455</v>
      </c>
      <c r="BD842" s="1">
        <f t="shared" si="182"/>
        <v>-1297.1546092539209</v>
      </c>
      <c r="BF842" s="1">
        <f t="shared" si="170"/>
        <v>-3.4009681426990888</v>
      </c>
      <c r="BG842" s="1">
        <f t="shared" si="171"/>
        <v>15.281887024618234</v>
      </c>
      <c r="BJ842" s="1">
        <f t="shared" si="172"/>
        <v>-0.97850302359170527</v>
      </c>
      <c r="BK842" s="1">
        <f t="shared" si="173"/>
        <v>6.3305240682115489</v>
      </c>
      <c r="BO842" s="1">
        <f t="shared" si="174"/>
        <v>-0.57393089035814504</v>
      </c>
      <c r="BP842" s="1">
        <f t="shared" si="175"/>
        <v>1.9543509952656812</v>
      </c>
      <c r="BT842" s="1">
        <f t="shared" si="176"/>
        <v>-1.8485342287492383</v>
      </c>
      <c r="BU842" s="1">
        <f t="shared" si="177"/>
        <v>6.9970119611410038</v>
      </c>
    </row>
    <row r="843" spans="49:73">
      <c r="AW843" s="1">
        <v>833</v>
      </c>
      <c r="AX843" s="1">
        <f t="shared" si="178"/>
        <v>416.5</v>
      </c>
      <c r="AZ843" s="1">
        <f t="shared" si="179"/>
        <v>64032.63850732796</v>
      </c>
      <c r="BA843" s="1">
        <f t="shared" si="180"/>
        <v>-275433.11109615228</v>
      </c>
      <c r="BC843" s="1">
        <f t="shared" si="181"/>
        <v>798.93784200159496</v>
      </c>
      <c r="BD843" s="1">
        <f t="shared" si="182"/>
        <v>-1289.5136657416117</v>
      </c>
      <c r="BF843" s="1">
        <f t="shared" ref="BF843:BF906" si="183">BJ843 + BO843 + BT843</f>
        <v>-3.3969828349151943</v>
      </c>
      <c r="BG843" s="1">
        <f t="shared" ref="BG843:BG906" si="184">BK843 + BP843 + BU843</f>
        <v>15.200836546424476</v>
      </c>
      <c r="BJ843" s="1">
        <f t="shared" ref="BJ843:BJ906" si="185">$M$22*($M$18 - AZ843)/ (SQRT(($M$18 - AZ843)^2 + ($N$18 - BA843)^2 )^2 + $M$23^2)^(3/2)</f>
        <v>-0.98025214434439933</v>
      </c>
      <c r="BK843" s="1">
        <f t="shared" ref="BK843:BK906" si="186">$M$22*($N$18 - BA843)/ (SQRT(($M$18 - AZ843)^2 + ($N$18 - BA843)^2 )^2 + $M$23^2)^(3/2)</f>
        <v>6.2986411502885353</v>
      </c>
      <c r="BO843" s="1">
        <f t="shared" ref="BO843:BO906" si="187">$M$30*($M$26 - AZ843)/ (SQRT(($M$26 - AZ843)^2 + ($N$26 - BA843)^2 )^2 + $M$31^2)^(3/2)</f>
        <v>-0.5724248912009714</v>
      </c>
      <c r="BP843" s="1">
        <f t="shared" ref="BP843:BP906" si="188">$M$30*($N$26 - BA843)/ (SQRT(($M$26 - AZ843)^2 + ($N$26 - BA843)^2 )^2 + $M$31^2)^(3/2)</f>
        <v>1.9443518669251543</v>
      </c>
      <c r="BT843" s="1">
        <f t="shared" ref="BT843:BT906" si="189">$M$38*($M$34 - AZ843)/ (SQRT(($M$34 - AZ843)^2 + ($N$34 - BA843)^2 )^2 + $M$39^2)^(3/2)</f>
        <v>-1.8443057993698235</v>
      </c>
      <c r="BU843" s="1">
        <f t="shared" ref="BU843:BU906" si="190">$M$38*($N$34 - BA843)/ (SQRT(($M$34 - AZ843)^2 + ($N$34 - BA843)^2 )^2 + $M$39^2)^(3/2)</f>
        <v>6.9578435292107867</v>
      </c>
    </row>
    <row r="844" spans="49:73">
      <c r="AW844" s="1">
        <v>834</v>
      </c>
      <c r="AX844" s="1">
        <f t="shared" ref="AX844:AX907" si="191">AX843+$M$5</f>
        <v>417</v>
      </c>
      <c r="AZ844" s="1">
        <f t="shared" ref="AZ844:AZ907" si="192">AZ843 + BC843 * $M$5 + 0.5 * BF843 * POWER($M$5, 2)</f>
        <v>64431.682805474396</v>
      </c>
      <c r="BA844" s="1">
        <f t="shared" ref="BA844:BA907" si="193">BA843+BD843*$M$5+0.5*BG843* POWER($M$5, 2)</f>
        <v>-276075.96782445483</v>
      </c>
      <c r="BC844" s="1">
        <f t="shared" ref="BC844:BC907" si="194">BC843 + BF843 * $M$5</f>
        <v>797.23935058413736</v>
      </c>
      <c r="BD844" s="1">
        <f t="shared" ref="BD844:BD907" si="195">BD843+BG843*$M$5</f>
        <v>-1281.9132474683995</v>
      </c>
      <c r="BF844" s="1">
        <f t="shared" si="183"/>
        <v>-3.3930138614224585</v>
      </c>
      <c r="BG844" s="1">
        <f t="shared" si="184"/>
        <v>15.120812121961386</v>
      </c>
      <c r="BJ844" s="1">
        <f t="shared" si="185"/>
        <v>-0.98195898030304285</v>
      </c>
      <c r="BK844" s="1">
        <f t="shared" si="186"/>
        <v>6.2671488141124669</v>
      </c>
      <c r="BO844" s="1">
        <f t="shared" si="187"/>
        <v>-0.57093612651764458</v>
      </c>
      <c r="BP844" s="1">
        <f t="shared" si="188"/>
        <v>1.9344764848023432</v>
      </c>
      <c r="BT844" s="1">
        <f t="shared" si="189"/>
        <v>-1.8401187546017714</v>
      </c>
      <c r="BU844" s="1">
        <f t="shared" si="190"/>
        <v>6.9191868230465765</v>
      </c>
    </row>
    <row r="845" spans="49:73">
      <c r="AW845" s="1">
        <v>835</v>
      </c>
      <c r="AX845" s="1">
        <f t="shared" si="191"/>
        <v>417.5</v>
      </c>
      <c r="AZ845" s="1">
        <f t="shared" si="192"/>
        <v>64829.878354033783</v>
      </c>
      <c r="BA845" s="1">
        <f t="shared" si="193"/>
        <v>-276715.03434667381</v>
      </c>
      <c r="BC845" s="1">
        <f t="shared" si="194"/>
        <v>795.54284365342608</v>
      </c>
      <c r="BD845" s="1">
        <f t="shared" si="195"/>
        <v>-1274.3528414074187</v>
      </c>
      <c r="BF845" s="1">
        <f t="shared" si="183"/>
        <v>-3.3890619022557518</v>
      </c>
      <c r="BG845" s="1">
        <f t="shared" si="184"/>
        <v>15.04179610751256</v>
      </c>
      <c r="BJ845" s="1">
        <f t="shared" si="185"/>
        <v>-0.98362475059178278</v>
      </c>
      <c r="BK845" s="1">
        <f t="shared" si="186"/>
        <v>6.2360406170615263</v>
      </c>
      <c r="BO845" s="1">
        <f t="shared" si="187"/>
        <v>-0.56946437442696263</v>
      </c>
      <c r="BP845" s="1">
        <f t="shared" si="188"/>
        <v>1.9247227609076234</v>
      </c>
      <c r="BT845" s="1">
        <f t="shared" si="189"/>
        <v>-1.8359727772370065</v>
      </c>
      <c r="BU845" s="1">
        <f t="shared" si="190"/>
        <v>6.8810327295434099</v>
      </c>
    </row>
    <row r="846" spans="49:73">
      <c r="AW846" s="1">
        <v>836</v>
      </c>
      <c r="AX846" s="1">
        <f t="shared" si="191"/>
        <v>418</v>
      </c>
      <c r="AZ846" s="1">
        <f t="shared" si="192"/>
        <v>65227.226143122716</v>
      </c>
      <c r="BA846" s="1">
        <f t="shared" si="193"/>
        <v>-277350.3305428641</v>
      </c>
      <c r="BC846" s="1">
        <f t="shared" si="194"/>
        <v>793.84831270229824</v>
      </c>
      <c r="BD846" s="1">
        <f t="shared" si="195"/>
        <v>-1266.8319433536624</v>
      </c>
      <c r="BF846" s="1">
        <f t="shared" si="183"/>
        <v>-3.3851276075429313</v>
      </c>
      <c r="BG846" s="1">
        <f t="shared" si="184"/>
        <v>14.96377125956637</v>
      </c>
      <c r="BJ846" s="1">
        <f t="shared" si="185"/>
        <v>-0.98525063932563639</v>
      </c>
      <c r="BK846" s="1">
        <f t="shared" si="186"/>
        <v>6.2053102569535179</v>
      </c>
      <c r="BO846" s="1">
        <f t="shared" si="187"/>
        <v>-0.56800941721517684</v>
      </c>
      <c r="BP846" s="1">
        <f t="shared" si="188"/>
        <v>1.9150886538786089</v>
      </c>
      <c r="BT846" s="1">
        <f t="shared" si="189"/>
        <v>-1.8318675510021178</v>
      </c>
      <c r="BU846" s="1">
        <f t="shared" si="190"/>
        <v>6.8433723487342437</v>
      </c>
    </row>
    <row r="847" spans="49:73">
      <c r="AW847" s="1">
        <v>837</v>
      </c>
      <c r="AX847" s="1">
        <f t="shared" si="191"/>
        <v>418.5</v>
      </c>
      <c r="AZ847" s="1">
        <f t="shared" si="192"/>
        <v>65623.727158522932</v>
      </c>
      <c r="BA847" s="1">
        <f t="shared" si="193"/>
        <v>-277981.8760431335</v>
      </c>
      <c r="BC847" s="1">
        <f t="shared" si="194"/>
        <v>792.15574889852678</v>
      </c>
      <c r="BD847" s="1">
        <f t="shared" si="195"/>
        <v>-1259.3500577238792</v>
      </c>
      <c r="BF847" s="1">
        <f t="shared" si="183"/>
        <v>-3.3812115987039881</v>
      </c>
      <c r="BG847" s="1">
        <f t="shared" si="184"/>
        <v>14.886720723706976</v>
      </c>
      <c r="BJ847" s="1">
        <f t="shared" si="185"/>
        <v>-0.98683779676054673</v>
      </c>
      <c r="BK847" s="1">
        <f t="shared" si="186"/>
        <v>6.1749515683057181</v>
      </c>
      <c r="BO847" s="1">
        <f t="shared" si="187"/>
        <v>-0.56657104124096336</v>
      </c>
      <c r="BP847" s="1">
        <f t="shared" si="188"/>
        <v>1.9055721677030868</v>
      </c>
      <c r="BT847" s="1">
        <f t="shared" si="189"/>
        <v>-1.8278027607024778</v>
      </c>
      <c r="BU847" s="1">
        <f t="shared" si="190"/>
        <v>6.8061969876981703</v>
      </c>
    </row>
    <row r="848" spans="49:73">
      <c r="AW848" s="1">
        <v>838</v>
      </c>
      <c r="AX848" s="1">
        <f t="shared" si="191"/>
        <v>419</v>
      </c>
      <c r="AZ848" s="1">
        <f t="shared" si="192"/>
        <v>66019.382381522344</v>
      </c>
      <c r="BA848" s="1">
        <f t="shared" si="193"/>
        <v>-278609.69023190497</v>
      </c>
      <c r="BC848" s="1">
        <f t="shared" si="194"/>
        <v>790.46514309917484</v>
      </c>
      <c r="BD848" s="1">
        <f t="shared" si="195"/>
        <v>-1251.9066973620256</v>
      </c>
      <c r="BF848" s="1">
        <f t="shared" si="183"/>
        <v>-3.377314469600619</v>
      </c>
      <c r="BG848" s="1">
        <f t="shared" si="184"/>
        <v>14.810628023871434</v>
      </c>
      <c r="BJ848" s="1">
        <f t="shared" si="185"/>
        <v>-0.98838734040091836</v>
      </c>
      <c r="BK848" s="1">
        <f t="shared" si="186"/>
        <v>6.1449585187129241</v>
      </c>
      <c r="BO848" s="1">
        <f t="shared" si="187"/>
        <v>-0.56514903684306494</v>
      </c>
      <c r="BP848" s="1">
        <f t="shared" si="188"/>
        <v>1.8961713504836004</v>
      </c>
      <c r="BT848" s="1">
        <f t="shared" si="189"/>
        <v>-1.8237780923566358</v>
      </c>
      <c r="BU848" s="1">
        <f t="shared" si="190"/>
        <v>6.7694981546749098</v>
      </c>
    </row>
    <row r="849" spans="49:73">
      <c r="AW849" s="1">
        <v>839</v>
      </c>
      <c r="AX849" s="1">
        <f t="shared" si="191"/>
        <v>419.5</v>
      </c>
      <c r="AZ849" s="1">
        <f t="shared" si="192"/>
        <v>66414.192788763234</v>
      </c>
      <c r="BA849" s="1">
        <f t="shared" si="193"/>
        <v>-279233.79225208302</v>
      </c>
      <c r="BC849" s="1">
        <f t="shared" si="194"/>
        <v>788.77648586437454</v>
      </c>
      <c r="BD849" s="1">
        <f t="shared" si="195"/>
        <v>-1244.50138335009</v>
      </c>
      <c r="BF849" s="1">
        <f t="shared" si="183"/>
        <v>-3.3734367876380755</v>
      </c>
      <c r="BG849" s="1">
        <f t="shared" si="184"/>
        <v>14.73547705195773</v>
      </c>
      <c r="BJ849" s="1">
        <f t="shared" si="185"/>
        <v>-0.98990035606640547</v>
      </c>
      <c r="BK849" s="1">
        <f t="shared" si="186"/>
        <v>6.1153252053394365</v>
      </c>
      <c r="BO849" s="1">
        <f t="shared" si="187"/>
        <v>-0.56374319825046126</v>
      </c>
      <c r="BP849" s="1">
        <f t="shared" si="188"/>
        <v>1.8868842932419454</v>
      </c>
      <c r="BT849" s="1">
        <f t="shared" si="189"/>
        <v>-1.8197932333212086</v>
      </c>
      <c r="BU849" s="1">
        <f t="shared" si="190"/>
        <v>6.733267553376348</v>
      </c>
    </row>
    <row r="850" spans="49:73">
      <c r="AW850" s="1">
        <v>840</v>
      </c>
      <c r="AX850" s="1">
        <f t="shared" si="191"/>
        <v>420</v>
      </c>
      <c r="AZ850" s="1">
        <f t="shared" si="192"/>
        <v>66808.159352096962</v>
      </c>
      <c r="BA850" s="1">
        <f t="shared" si="193"/>
        <v>-279854.20100912655</v>
      </c>
      <c r="BC850" s="1">
        <f t="shared" si="194"/>
        <v>787.08976747055544</v>
      </c>
      <c r="BD850" s="1">
        <f t="shared" si="195"/>
        <v>-1237.1336448241111</v>
      </c>
      <c r="BF850" s="1">
        <f t="shared" si="183"/>
        <v>-3.3695790948216358</v>
      </c>
      <c r="BG850" s="1">
        <f t="shared" si="184"/>
        <v>14.661252057770852</v>
      </c>
      <c r="BJ850" s="1">
        <f t="shared" si="185"/>
        <v>-0.99137789891947026</v>
      </c>
      <c r="BK850" s="1">
        <f t="shared" si="186"/>
        <v>6.0860458515198763</v>
      </c>
      <c r="BO850" s="1">
        <f t="shared" si="187"/>
        <v>-0.56235332349496758</v>
      </c>
      <c r="BP850" s="1">
        <f t="shared" si="188"/>
        <v>1.8777091287620211</v>
      </c>
      <c r="BT850" s="1">
        <f t="shared" si="189"/>
        <v>-1.8158478724071976</v>
      </c>
      <c r="BU850" s="1">
        <f t="shared" si="190"/>
        <v>6.697497077488956</v>
      </c>
    </row>
    <row r="851" spans="49:73">
      <c r="AW851" s="1">
        <v>841</v>
      </c>
      <c r="AX851" s="1">
        <f t="shared" si="191"/>
        <v>420.5</v>
      </c>
      <c r="AZ851" s="1">
        <f t="shared" si="192"/>
        <v>67201.283038445385</v>
      </c>
      <c r="BA851" s="1">
        <f t="shared" si="193"/>
        <v>-280470.93517503142</v>
      </c>
      <c r="BC851" s="1">
        <f t="shared" si="194"/>
        <v>785.40497792314466</v>
      </c>
      <c r="BD851" s="1">
        <f t="shared" si="195"/>
        <v>-1229.8030187952256</v>
      </c>
      <c r="BF851" s="1">
        <f t="shared" si="183"/>
        <v>-3.3657419087695866</v>
      </c>
      <c r="BG851" s="1">
        <f t="shared" si="184"/>
        <v>14.587937639294081</v>
      </c>
      <c r="BJ851" s="1">
        <f t="shared" si="185"/>
        <v>-0.99282099445548411</v>
      </c>
      <c r="BK851" s="1">
        <f t="shared" si="186"/>
        <v>6.0571148034658799</v>
      </c>
      <c r="BO851" s="1">
        <f t="shared" si="187"/>
        <v>-0.56097921432621667</v>
      </c>
      <c r="BP851" s="1">
        <f t="shared" si="188"/>
        <v>1.8686440304697103</v>
      </c>
      <c r="BT851" s="1">
        <f t="shared" si="189"/>
        <v>-1.8119416999878861</v>
      </c>
      <c r="BU851" s="1">
        <f t="shared" si="190"/>
        <v>6.6621788053584909</v>
      </c>
    </row>
    <row r="852" spans="49:73">
      <c r="AW852" s="1">
        <v>842</v>
      </c>
      <c r="AX852" s="1">
        <f t="shared" si="191"/>
        <v>421</v>
      </c>
      <c r="AZ852" s="1">
        <f t="shared" si="192"/>
        <v>67593.564809668358</v>
      </c>
      <c r="BA852" s="1">
        <f t="shared" si="193"/>
        <v>-281084.01319222414</v>
      </c>
      <c r="BC852" s="1">
        <f t="shared" si="194"/>
        <v>783.72210696875982</v>
      </c>
      <c r="BD852" s="1">
        <f t="shared" si="195"/>
        <v>-1222.5090499755786</v>
      </c>
      <c r="BF852" s="1">
        <f t="shared" si="183"/>
        <v>-3.3619257236848936</v>
      </c>
      <c r="BG852" s="1">
        <f t="shared" si="184"/>
        <v>14.515518733274185</v>
      </c>
      <c r="BJ852" s="1">
        <f t="shared" si="185"/>
        <v>-0.99423063945688173</v>
      </c>
      <c r="BK852" s="1">
        <f t="shared" si="186"/>
        <v>6.0285265270747743</v>
      </c>
      <c r="BO852" s="1">
        <f t="shared" si="187"/>
        <v>-0.55962067612898136</v>
      </c>
      <c r="BP852" s="1">
        <f t="shared" si="188"/>
        <v>1.8596872113485405</v>
      </c>
      <c r="BT852" s="1">
        <f t="shared" si="189"/>
        <v>-1.8080744080990305</v>
      </c>
      <c r="BU852" s="1">
        <f t="shared" si="190"/>
        <v>6.6273049948508689</v>
      </c>
    </row>
    <row r="853" spans="49:73">
      <c r="AW853" s="1">
        <v>843</v>
      </c>
      <c r="AX853" s="1">
        <f t="shared" si="191"/>
        <v>421.5</v>
      </c>
      <c r="AZ853" s="1">
        <f t="shared" si="192"/>
        <v>67985.005622437267</v>
      </c>
      <c r="BA853" s="1">
        <f t="shared" si="193"/>
        <v>-281693.45327737025</v>
      </c>
      <c r="BC853" s="1">
        <f t="shared" si="194"/>
        <v>782.04114410691739</v>
      </c>
      <c r="BD853" s="1">
        <f t="shared" si="195"/>
        <v>-1215.2512906089414</v>
      </c>
      <c r="BF853" s="1">
        <f t="shared" si="183"/>
        <v>-3.3581310112870213</v>
      </c>
      <c r="BG853" s="1">
        <f t="shared" si="184"/>
        <v>14.443980606107395</v>
      </c>
      <c r="BJ853" s="1">
        <f t="shared" si="185"/>
        <v>-0.99560780291272488</v>
      </c>
      <c r="BK853" s="1">
        <f t="shared" si="186"/>
        <v>6.0002756048359522</v>
      </c>
      <c r="BO853" s="1">
        <f t="shared" si="187"/>
        <v>-0.55827751784265589</v>
      </c>
      <c r="BP853" s="1">
        <f t="shared" si="188"/>
        <v>1.8508369228894526</v>
      </c>
      <c r="BT853" s="1">
        <f t="shared" si="189"/>
        <v>-1.8042456905316409</v>
      </c>
      <c r="BU853" s="1">
        <f t="shared" si="190"/>
        <v>6.5928680783819908</v>
      </c>
    </row>
    <row r="854" spans="49:73">
      <c r="AW854" s="1">
        <v>844</v>
      </c>
      <c r="AX854" s="1">
        <f t="shared" si="191"/>
        <v>422</v>
      </c>
      <c r="AZ854" s="1">
        <f t="shared" si="192"/>
        <v>68375.606428114319</v>
      </c>
      <c r="BA854" s="1">
        <f t="shared" si="193"/>
        <v>-282299.27342509892</v>
      </c>
      <c r="BC854" s="1">
        <f t="shared" si="194"/>
        <v>780.36207860127388</v>
      </c>
      <c r="BD854" s="1">
        <f t="shared" si="195"/>
        <v>-1208.0293003058878</v>
      </c>
      <c r="BF854" s="1">
        <f t="shared" si="183"/>
        <v>-3.3543582217059966</v>
      </c>
      <c r="BG854" s="1">
        <f t="shared" si="184"/>
        <v>14.373308845016481</v>
      </c>
      <c r="BJ854" s="1">
        <f t="shared" si="185"/>
        <v>-0.99695342690523137</v>
      </c>
      <c r="BK854" s="1">
        <f t="shared" si="186"/>
        <v>5.9723567328323917</v>
      </c>
      <c r="BO854" s="1">
        <f t="shared" si="187"/>
        <v>-0.55694955188295114</v>
      </c>
      <c r="BP854" s="1">
        <f t="shared" si="188"/>
        <v>1.8420914540738236</v>
      </c>
      <c r="BT854" s="1">
        <f t="shared" si="189"/>
        <v>-1.8004552429178142</v>
      </c>
      <c r="BU854" s="1">
        <f t="shared" si="190"/>
        <v>6.558860658110266</v>
      </c>
    </row>
    <row r="855" spans="49:73">
      <c r="AW855" s="1">
        <v>845</v>
      </c>
      <c r="AX855" s="1">
        <f t="shared" si="191"/>
        <v>422.5</v>
      </c>
      <c r="AZ855" s="1">
        <f t="shared" si="192"/>
        <v>68765.368172637231</v>
      </c>
      <c r="BA855" s="1">
        <f t="shared" si="193"/>
        <v>-282901.49141164625</v>
      </c>
      <c r="BC855" s="1">
        <f t="shared" si="194"/>
        <v>778.68489949042089</v>
      </c>
      <c r="BD855" s="1">
        <f t="shared" si="195"/>
        <v>-1200.8426458833796</v>
      </c>
      <c r="BF855" s="1">
        <f t="shared" si="183"/>
        <v>-3.3506077843401991</v>
      </c>
      <c r="BG855" s="1">
        <f t="shared" si="184"/>
        <v>14.303489349507359</v>
      </c>
      <c r="BJ855" s="1">
        <f t="shared" si="185"/>
        <v>-0.99826842746445044</v>
      </c>
      <c r="BK855" s="1">
        <f t="shared" si="186"/>
        <v>5.9447647178331042</v>
      </c>
      <c r="BO855" s="1">
        <f t="shared" si="187"/>
        <v>-0.55563659406565613</v>
      </c>
      <c r="BP855" s="1">
        <f t="shared" si="188"/>
        <v>1.8334491303882903</v>
      </c>
      <c r="BT855" s="1">
        <f t="shared" si="189"/>
        <v>-1.7967027628100929</v>
      </c>
      <c r="BU855" s="1">
        <f t="shared" si="190"/>
        <v>6.5252755012859653</v>
      </c>
    </row>
    <row r="856" spans="49:73">
      <c r="AW856" s="1">
        <v>846</v>
      </c>
      <c r="AX856" s="1">
        <f t="shared" si="191"/>
        <v>423</v>
      </c>
      <c r="AZ856" s="1">
        <f t="shared" si="192"/>
        <v>69154.291796409394</v>
      </c>
      <c r="BA856" s="1">
        <f t="shared" si="193"/>
        <v>-283500.12479841925</v>
      </c>
      <c r="BC856" s="1">
        <f t="shared" si="194"/>
        <v>777.00959559825083</v>
      </c>
      <c r="BD856" s="1">
        <f t="shared" si="195"/>
        <v>-1193.690901208626</v>
      </c>
      <c r="BF856" s="1">
        <f t="shared" si="183"/>
        <v>-3.3468801086794939</v>
      </c>
      <c r="BG856" s="1">
        <f t="shared" si="184"/>
        <v>14.234508323095334</v>
      </c>
      <c r="BJ856" s="1">
        <f t="shared" si="185"/>
        <v>-0.99955369539249606</v>
      </c>
      <c r="BK856" s="1">
        <f t="shared" si="186"/>
        <v>5.9174944744740454</v>
      </c>
      <c r="BO856" s="1">
        <f t="shared" si="187"/>
        <v>-0.5543384635324311</v>
      </c>
      <c r="BP856" s="1">
        <f t="shared" si="188"/>
        <v>1.8249083128703067</v>
      </c>
      <c r="BT856" s="1">
        <f t="shared" si="189"/>
        <v>-1.7929879497545667</v>
      </c>
      <c r="BU856" s="1">
        <f t="shared" si="190"/>
        <v>6.4921055357509809</v>
      </c>
    </row>
    <row r="857" spans="49:73">
      <c r="AW857" s="1">
        <v>847</v>
      </c>
      <c r="AX857" s="1">
        <f t="shared" si="191"/>
        <v>423.5</v>
      </c>
      <c r="AZ857" s="1">
        <f t="shared" si="192"/>
        <v>69542.378234194926</v>
      </c>
      <c r="BA857" s="1">
        <f t="shared" si="193"/>
        <v>-284095.1909354832</v>
      </c>
      <c r="BC857" s="1">
        <f t="shared" si="194"/>
        <v>775.3361555439111</v>
      </c>
      <c r="BD857" s="1">
        <f t="shared" si="195"/>
        <v>-1186.5736470470783</v>
      </c>
      <c r="BF857" s="1">
        <f t="shared" si="183"/>
        <v>-3.343175585095187</v>
      </c>
      <c r="BG857" s="1">
        <f t="shared" si="184"/>
        <v>14.166352265290925</v>
      </c>
      <c r="BJ857" s="1">
        <f t="shared" si="185"/>
        <v>-1.0008100970584475</v>
      </c>
      <c r="BK857" s="1">
        <f t="shared" si="186"/>
        <v>5.8905410225238413</v>
      </c>
      <c r="BO857" s="1">
        <f t="shared" si="187"/>
        <v>-0.55305498267857167</v>
      </c>
      <c r="BP857" s="1">
        <f t="shared" si="188"/>
        <v>1.8164673971833474</v>
      </c>
      <c r="BT857" s="1">
        <f t="shared" si="189"/>
        <v>-1.7893105053581677</v>
      </c>
      <c r="BU857" s="1">
        <f t="shared" si="190"/>
        <v>6.459343845583736</v>
      </c>
    </row>
    <row r="858" spans="49:73">
      <c r="AW858" s="1">
        <v>848</v>
      </c>
      <c r="AX858" s="1">
        <f t="shared" si="191"/>
        <v>424</v>
      </c>
      <c r="AZ858" s="1">
        <f t="shared" si="192"/>
        <v>69929.628415018742</v>
      </c>
      <c r="BA858" s="1">
        <f t="shared" si="193"/>
        <v>-284686.70696497353</v>
      </c>
      <c r="BC858" s="1">
        <f t="shared" si="194"/>
        <v>773.66456775136351</v>
      </c>
      <c r="BD858" s="1">
        <f t="shared" si="195"/>
        <v>-1179.490470914433</v>
      </c>
      <c r="BF858" s="1">
        <f t="shared" si="183"/>
        <v>-3.3394945855983886</v>
      </c>
      <c r="BG858" s="1">
        <f t="shared" si="184"/>
        <v>14.099007963836485</v>
      </c>
      <c r="BJ858" s="1">
        <f t="shared" si="185"/>
        <v>-1.0020384751651708</v>
      </c>
      <c r="BK858" s="1">
        <f t="shared" si="186"/>
        <v>5.8638994842318164</v>
      </c>
      <c r="BO858" s="1">
        <f t="shared" si="187"/>
        <v>-0.55178597708265442</v>
      </c>
      <c r="BP858" s="1">
        <f t="shared" si="188"/>
        <v>1.8081248127205876</v>
      </c>
      <c r="BT858" s="1">
        <f t="shared" si="189"/>
        <v>-1.7856701333505638</v>
      </c>
      <c r="BU858" s="1">
        <f t="shared" si="190"/>
        <v>6.4269836668840803</v>
      </c>
    </row>
    <row r="859" spans="49:73">
      <c r="AW859" s="1">
        <v>849</v>
      </c>
      <c r="AX859" s="1">
        <f t="shared" si="191"/>
        <v>424.5</v>
      </c>
      <c r="AZ859" s="1">
        <f t="shared" si="192"/>
        <v>70316.043262071224</v>
      </c>
      <c r="BA859" s="1">
        <f t="shared" si="193"/>
        <v>-285274.68982443528</v>
      </c>
      <c r="BC859" s="1">
        <f t="shared" si="194"/>
        <v>771.99482045856428</v>
      </c>
      <c r="BD859" s="1">
        <f t="shared" si="195"/>
        <v>-1172.4409669325148</v>
      </c>
      <c r="BF859" s="1">
        <f t="shared" si="183"/>
        <v>-3.3358374645679212</v>
      </c>
      <c r="BG859" s="1">
        <f t="shared" si="184"/>
        <v>14.032462487183597</v>
      </c>
      <c r="BJ859" s="1">
        <f t="shared" si="185"/>
        <v>-1.0032396494890745</v>
      </c>
      <c r="BK859" s="1">
        <f t="shared" si="186"/>
        <v>5.8375650817549598</v>
      </c>
      <c r="BO859" s="1">
        <f t="shared" si="187"/>
        <v>-0.55053127543806302</v>
      </c>
      <c r="BP859" s="1">
        <f t="shared" si="188"/>
        <v>1.7998790217362413</v>
      </c>
      <c r="BT859" s="1">
        <f t="shared" si="189"/>
        <v>-1.7820665396407835</v>
      </c>
      <c r="BU859" s="1">
        <f t="shared" si="190"/>
        <v>6.3950183836923973</v>
      </c>
    </row>
    <row r="860" spans="49:73">
      <c r="AW860" s="1">
        <v>850</v>
      </c>
      <c r="AX860" s="1">
        <f t="shared" si="191"/>
        <v>425</v>
      </c>
      <c r="AZ860" s="1">
        <f t="shared" si="192"/>
        <v>70701.623692617432</v>
      </c>
      <c r="BA860" s="1">
        <f t="shared" si="193"/>
        <v>-285859.15625009069</v>
      </c>
      <c r="BC860" s="1">
        <f t="shared" si="194"/>
        <v>770.32690172628031</v>
      </c>
      <c r="BD860" s="1">
        <f t="shared" si="195"/>
        <v>-1165.424735688923</v>
      </c>
      <c r="BF860" s="1">
        <f t="shared" si="183"/>
        <v>-3.3322045594492775</v>
      </c>
      <c r="BG860" s="1">
        <f t="shared" si="184"/>
        <v>13.966703177203696</v>
      </c>
      <c r="BJ860" s="1">
        <f t="shared" si="185"/>
        <v>-1.0044144175940255</v>
      </c>
      <c r="BK860" s="1">
        <f t="shared" si="186"/>
        <v>5.811533134661989</v>
      </c>
      <c r="BO860" s="1">
        <f t="shared" si="187"/>
        <v>-0.54929070948626246</v>
      </c>
      <c r="BP860" s="1">
        <f t="shared" si="188"/>
        <v>1.7917285185033223</v>
      </c>
      <c r="BT860" s="1">
        <f t="shared" si="189"/>
        <v>-1.7784994323689896</v>
      </c>
      <c r="BU860" s="1">
        <f t="shared" si="190"/>
        <v>6.363441524038385</v>
      </c>
    </row>
    <row r="861" spans="49:73">
      <c r="AW861" s="1">
        <v>851</v>
      </c>
      <c r="AX861" s="1">
        <f t="shared" si="191"/>
        <v>425.5</v>
      </c>
      <c r="AZ861" s="1">
        <f t="shared" si="192"/>
        <v>71086.370617910638</v>
      </c>
      <c r="BA861" s="1">
        <f t="shared" si="193"/>
        <v>-286440.12278003799</v>
      </c>
      <c r="BC861" s="1">
        <f t="shared" si="194"/>
        <v>768.66079944655564</v>
      </c>
      <c r="BD861" s="1">
        <f t="shared" si="195"/>
        <v>-1158.4413841003211</v>
      </c>
      <c r="BF861" s="1">
        <f t="shared" si="183"/>
        <v>-3.3285961914257793</v>
      </c>
      <c r="BG861" s="1">
        <f t="shared" si="184"/>
        <v>13.90171764212262</v>
      </c>
      <c r="BJ861" s="1">
        <f t="shared" si="185"/>
        <v>-1.0055635555202171</v>
      </c>
      <c r="BK861" s="1">
        <f t="shared" si="186"/>
        <v>5.7857990575105909</v>
      </c>
      <c r="BO861" s="1">
        <f t="shared" si="187"/>
        <v>-0.54806411395185628</v>
      </c>
      <c r="BP861" s="1">
        <f t="shared" si="188"/>
        <v>1.783671828497186</v>
      </c>
      <c r="BT861" s="1">
        <f t="shared" si="189"/>
        <v>-1.7749685219537057</v>
      </c>
      <c r="BU861" s="1">
        <f t="shared" si="190"/>
        <v>6.3322467561148441</v>
      </c>
    </row>
    <row r="862" spans="49:73">
      <c r="AW862" s="1">
        <v>852</v>
      </c>
      <c r="AX862" s="1">
        <f t="shared" si="191"/>
        <v>426</v>
      </c>
      <c r="AZ862" s="1">
        <f t="shared" si="192"/>
        <v>71470.284943109975</v>
      </c>
      <c r="BA862" s="1">
        <f t="shared" si="193"/>
        <v>-287017.60575738287</v>
      </c>
      <c r="BC862" s="1">
        <f t="shared" si="194"/>
        <v>766.99650135084278</v>
      </c>
      <c r="BD862" s="1">
        <f t="shared" si="195"/>
        <v>-1151.4905252792598</v>
      </c>
      <c r="BF862" s="1">
        <f t="shared" si="183"/>
        <v>-3.325012666063131</v>
      </c>
      <c r="BG862" s="1">
        <f t="shared" si="184"/>
        <v>13.837493749671967</v>
      </c>
      <c r="BJ862" s="1">
        <f t="shared" si="185"/>
        <v>-1.0066878184492032</v>
      </c>
      <c r="BK862" s="1">
        <f t="shared" si="186"/>
        <v>5.7603583574967416</v>
      </c>
      <c r="BO862" s="1">
        <f t="shared" si="187"/>
        <v>-0.54685132647926582</v>
      </c>
      <c r="BP862" s="1">
        <f t="shared" si="188"/>
        <v>1.7757075076035949</v>
      </c>
      <c r="BT862" s="1">
        <f t="shared" si="189"/>
        <v>-1.7714735211346617</v>
      </c>
      <c r="BU862" s="1">
        <f t="shared" si="190"/>
        <v>6.3014278845716305</v>
      </c>
    </row>
    <row r="863" spans="49:73">
      <c r="AW863" s="1">
        <v>853</v>
      </c>
      <c r="AX863" s="1">
        <f t="shared" si="191"/>
        <v>426.5</v>
      </c>
      <c r="AZ863" s="1">
        <f t="shared" si="192"/>
        <v>71853.367567202135</v>
      </c>
      <c r="BA863" s="1">
        <f t="shared" si="193"/>
        <v>-287591.6213333038</v>
      </c>
      <c r="BC863" s="1">
        <f t="shared" si="194"/>
        <v>765.33399501781116</v>
      </c>
      <c r="BD863" s="1">
        <f t="shared" si="195"/>
        <v>-1144.5717784044239</v>
      </c>
      <c r="BF863" s="1">
        <f t="shared" si="183"/>
        <v>-3.3214542739285271</v>
      </c>
      <c r="BG863" s="1">
        <f t="shared" si="184"/>
        <v>13.774019620448932</v>
      </c>
      <c r="BJ863" s="1">
        <f t="shared" si="185"/>
        <v>-1.0077879413458317</v>
      </c>
      <c r="BK863" s="1">
        <f t="shared" si="186"/>
        <v>5.7352066321724591</v>
      </c>
      <c r="BO863" s="1">
        <f t="shared" si="187"/>
        <v>-0.545652187571117</v>
      </c>
      <c r="BP863" s="1">
        <f t="shared" si="188"/>
        <v>1.7678341413508927</v>
      </c>
      <c r="BT863" s="1">
        <f t="shared" si="189"/>
        <v>-1.7680141450115785</v>
      </c>
      <c r="BU863" s="1">
        <f t="shared" si="190"/>
        <v>6.2709788469255807</v>
      </c>
    </row>
    <row r="864" spans="49:73">
      <c r="AW864" s="1">
        <v>854</v>
      </c>
      <c r="AX864" s="1">
        <f t="shared" si="191"/>
        <v>427</v>
      </c>
      <c r="AZ864" s="1">
        <f t="shared" si="192"/>
        <v>72235.619382926801</v>
      </c>
      <c r="BA864" s="1">
        <f t="shared" si="193"/>
        <v>-288162.18547005346</v>
      </c>
      <c r="BC864" s="1">
        <f t="shared" si="194"/>
        <v>763.67326788084688</v>
      </c>
      <c r="BD864" s="1">
        <f t="shared" si="195"/>
        <v>-1137.6847685941993</v>
      </c>
      <c r="BF864" s="1">
        <f t="shared" si="183"/>
        <v>-3.317921291185336</v>
      </c>
      <c r="BG864" s="1">
        <f t="shared" si="184"/>
        <v>13.711283621477666</v>
      </c>
      <c r="BJ864" s="1">
        <f t="shared" si="185"/>
        <v>-1.0088646395781031</v>
      </c>
      <c r="BK864" s="1">
        <f t="shared" si="186"/>
        <v>5.7103395672305073</v>
      </c>
      <c r="BO864" s="1">
        <f t="shared" si="187"/>
        <v>-0.5444665405281327</v>
      </c>
      <c r="BP864" s="1">
        <f t="shared" si="188"/>
        <v>1.7600503441649482</v>
      </c>
      <c r="BT864" s="1">
        <f t="shared" si="189"/>
        <v>-1.7645901110791002</v>
      </c>
      <c r="BU864" s="1">
        <f t="shared" si="190"/>
        <v>6.2408937100822088</v>
      </c>
    </row>
    <row r="865" spans="49:73">
      <c r="AW865" s="1">
        <v>855</v>
      </c>
      <c r="AX865" s="1">
        <f t="shared" si="191"/>
        <v>427.5</v>
      </c>
      <c r="AZ865" s="1">
        <f t="shared" si="192"/>
        <v>72617.041276705815</v>
      </c>
      <c r="BA865" s="1">
        <f t="shared" si="193"/>
        <v>-288729.3139438979</v>
      </c>
      <c r="BC865" s="1">
        <f t="shared" si="194"/>
        <v>762.01430723525425</v>
      </c>
      <c r="BD865" s="1">
        <f t="shared" si="195"/>
        <v>-1130.8291267834604</v>
      </c>
      <c r="BF865" s="1">
        <f t="shared" si="183"/>
        <v>-3.3144139801645505</v>
      </c>
      <c r="BG865" s="1">
        <f t="shared" si="184"/>
        <v>13.649274359965338</v>
      </c>
      <c r="BJ865" s="1">
        <f t="shared" si="185"/>
        <v>-1.0099186095157346</v>
      </c>
      <c r="BK865" s="1">
        <f t="shared" si="186"/>
        <v>5.6857529343533502</v>
      </c>
      <c r="BO865" s="1">
        <f t="shared" si="187"/>
        <v>-0.54329423139061794</v>
      </c>
      <c r="BP865" s="1">
        <f t="shared" si="188"/>
        <v>1.75235475864652</v>
      </c>
      <c r="BT865" s="1">
        <f t="shared" si="189"/>
        <v>-1.7612011392581981</v>
      </c>
      <c r="BU865" s="1">
        <f t="shared" si="190"/>
        <v>6.2111666669654673</v>
      </c>
    </row>
    <row r="866" spans="49:73">
      <c r="AW866" s="1">
        <v>856</v>
      </c>
      <c r="AX866" s="1">
        <f t="shared" si="191"/>
        <v>428</v>
      </c>
      <c r="AZ866" s="1">
        <f t="shared" si="192"/>
        <v>72997.634128575926</v>
      </c>
      <c r="BA866" s="1">
        <f t="shared" si="193"/>
        <v>-289293.02234799461</v>
      </c>
      <c r="BC866" s="1">
        <f t="shared" si="194"/>
        <v>760.35710024517198</v>
      </c>
      <c r="BD866" s="1">
        <f t="shared" si="195"/>
        <v>-1124.0044896034779</v>
      </c>
      <c r="BF866" s="1">
        <f t="shared" si="183"/>
        <v>-3.3109325899136737</v>
      </c>
      <c r="BG866" s="1">
        <f t="shared" si="184"/>
        <v>13.587980677245163</v>
      </c>
      <c r="BJ866" s="1">
        <f t="shared" si="185"/>
        <v>-1.0109505291082916</v>
      </c>
      <c r="BK866" s="1">
        <f t="shared" si="186"/>
        <v>5.6614425891244302</v>
      </c>
      <c r="BO866" s="1">
        <f t="shared" si="187"/>
        <v>-0.54213510888140692</v>
      </c>
      <c r="BP866" s="1">
        <f t="shared" si="188"/>
        <v>1.7447460548699885</v>
      </c>
      <c r="BT866" s="1">
        <f t="shared" si="189"/>
        <v>-1.7578469519239748</v>
      </c>
      <c r="BU866" s="1">
        <f t="shared" si="190"/>
        <v>6.181792033250745</v>
      </c>
    </row>
    <row r="867" spans="49:73">
      <c r="AW867" s="1">
        <v>857</v>
      </c>
      <c r="AX867" s="1">
        <f t="shared" si="191"/>
        <v>428.5</v>
      </c>
      <c r="AZ867" s="1">
        <f t="shared" si="192"/>
        <v>73377.398812124768</v>
      </c>
      <c r="BA867" s="1">
        <f t="shared" si="193"/>
        <v>-289853.32609521167</v>
      </c>
      <c r="BC867" s="1">
        <f t="shared" si="194"/>
        <v>758.70163395021518</v>
      </c>
      <c r="BD867" s="1">
        <f t="shared" si="195"/>
        <v>-1117.2104992648553</v>
      </c>
      <c r="BF867" s="1">
        <f t="shared" si="183"/>
        <v>-3.3074773567243785</v>
      </c>
      <c r="BG867" s="1">
        <f t="shared" si="184"/>
        <v>13.52739164290124</v>
      </c>
      <c r="BJ867" s="1">
        <f t="shared" si="185"/>
        <v>-1.0119610584436025</v>
      </c>
      <c r="BK867" s="1">
        <f t="shared" si="186"/>
        <v>5.6374044689994118</v>
      </c>
      <c r="BO867" s="1">
        <f t="shared" si="187"/>
        <v>-0.54098902435028207</v>
      </c>
      <c r="BP867" s="1">
        <f t="shared" si="188"/>
        <v>1.7372229297029007</v>
      </c>
      <c r="BT867" s="1">
        <f t="shared" si="189"/>
        <v>-1.754527273930494</v>
      </c>
      <c r="BU867" s="1">
        <f t="shared" si="190"/>
        <v>6.1527642441989281</v>
      </c>
    </row>
    <row r="868" spans="49:73">
      <c r="AW868" s="1">
        <v>858</v>
      </c>
      <c r="AX868" s="1">
        <f t="shared" si="191"/>
        <v>429</v>
      </c>
      <c r="AZ868" s="1">
        <f t="shared" si="192"/>
        <v>73756.336194430289</v>
      </c>
      <c r="BA868" s="1">
        <f t="shared" si="193"/>
        <v>-290410.24042088876</v>
      </c>
      <c r="BC868" s="1">
        <f t="shared" si="194"/>
        <v>757.04789527185301</v>
      </c>
      <c r="BD868" s="1">
        <f t="shared" si="195"/>
        <v>-1110.4468034434046</v>
      </c>
      <c r="BF868" s="1">
        <f t="shared" si="183"/>
        <v>-3.3040485046394688</v>
      </c>
      <c r="BG868" s="1">
        <f t="shared" si="184"/>
        <v>13.467496549067757</v>
      </c>
      <c r="BJ868" s="1">
        <f t="shared" si="185"/>
        <v>-1.0129508402873229</v>
      </c>
      <c r="BK868" s="1">
        <f t="shared" si="186"/>
        <v>5.6136345913359325</v>
      </c>
      <c r="BO868" s="1">
        <f t="shared" si="187"/>
        <v>-0.53985583171975482</v>
      </c>
      <c r="BP868" s="1">
        <f t="shared" si="188"/>
        <v>1.7297841061454025</v>
      </c>
      <c r="BT868" s="1">
        <f t="shared" si="189"/>
        <v>-1.7512418326323909</v>
      </c>
      <c r="BU868" s="1">
        <f t="shared" si="190"/>
        <v>6.1240778515864216</v>
      </c>
    </row>
    <row r="869" spans="49:73">
      <c r="AW869" s="1">
        <v>859</v>
      </c>
      <c r="AX869" s="1">
        <f t="shared" si="191"/>
        <v>429.5</v>
      </c>
      <c r="AZ869" s="1">
        <f t="shared" si="192"/>
        <v>74134.447136003131</v>
      </c>
      <c r="BA869" s="1">
        <f t="shared" si="193"/>
        <v>-290963.78038554179</v>
      </c>
      <c r="BC869" s="1">
        <f t="shared" si="194"/>
        <v>755.39587101953327</v>
      </c>
      <c r="BD869" s="1">
        <f t="shared" si="195"/>
        <v>-1103.7130551688708</v>
      </c>
      <c r="BF869" s="1">
        <f t="shared" si="183"/>
        <v>-3.3006462459402979</v>
      </c>
      <c r="BG869" s="1">
        <f t="shared" si="184"/>
        <v>13.408284904897442</v>
      </c>
      <c r="BJ869" s="1">
        <f t="shared" si="185"/>
        <v>-1.0139205006042191</v>
      </c>
      <c r="BK869" s="1">
        <f t="shared" si="186"/>
        <v>5.5901290514792032</v>
      </c>
      <c r="BO869" s="1">
        <f t="shared" si="187"/>
        <v>-0.53873538743225746</v>
      </c>
      <c r="BP869" s="1">
        <f t="shared" si="188"/>
        <v>1.7224283326891596</v>
      </c>
      <c r="BT869" s="1">
        <f t="shared" si="189"/>
        <v>-1.7479903579038212</v>
      </c>
      <c r="BU869" s="1">
        <f t="shared" si="190"/>
        <v>6.0957275207290786</v>
      </c>
    </row>
    <row r="870" spans="49:73">
      <c r="AW870" s="1">
        <v>860</v>
      </c>
      <c r="AX870" s="1">
        <f t="shared" si="191"/>
        <v>430</v>
      </c>
      <c r="AZ870" s="1">
        <f t="shared" si="192"/>
        <v>74511.73249073216</v>
      </c>
      <c r="BA870" s="1">
        <f t="shared" si="193"/>
        <v>-291513.96087751311</v>
      </c>
      <c r="BC870" s="1">
        <f t="shared" si="194"/>
        <v>753.74554789656315</v>
      </c>
      <c r="BD870" s="1">
        <f t="shared" si="195"/>
        <v>-1097.0089127164222</v>
      </c>
      <c r="BF870" s="1">
        <f t="shared" si="183"/>
        <v>-3.2972707816152509</v>
      </c>
      <c r="BG870" s="1">
        <f t="shared" si="184"/>
        <v>13.349746431192973</v>
      </c>
      <c r="BJ870" s="1">
        <f t="shared" si="185"/>
        <v>-1.0148706490619939</v>
      </c>
      <c r="BK870" s="1">
        <f t="shared" si="186"/>
        <v>5.5668840209023323</v>
      </c>
      <c r="BO870" s="1">
        <f t="shared" si="187"/>
        <v>-0.53762755039863996</v>
      </c>
      <c r="BP870" s="1">
        <f t="shared" si="188"/>
        <v>1.715154382694916</v>
      </c>
      <c r="BT870" s="1">
        <f t="shared" si="189"/>
        <v>-1.7447725821546174</v>
      </c>
      <c r="BU870" s="1">
        <f t="shared" si="190"/>
        <v>6.0677080275957254</v>
      </c>
    </row>
    <row r="871" spans="49:73">
      <c r="AW871" s="1">
        <v>861</v>
      </c>
      <c r="AX871" s="1">
        <f t="shared" si="191"/>
        <v>430.5</v>
      </c>
      <c r="AZ871" s="1">
        <f t="shared" si="192"/>
        <v>74888.193105832746</v>
      </c>
      <c r="BA871" s="1">
        <f t="shared" si="193"/>
        <v>-292060.79661556741</v>
      </c>
      <c r="BC871" s="1">
        <f t="shared" si="194"/>
        <v>752.09691250575554</v>
      </c>
      <c r="BD871" s="1">
        <f t="shared" si="195"/>
        <v>-1090.3340395008256</v>
      </c>
      <c r="BF871" s="1">
        <f t="shared" si="183"/>
        <v>-3.2939223018100821</v>
      </c>
      <c r="BG871" s="1">
        <f t="shared" si="184"/>
        <v>13.291871055195614</v>
      </c>
      <c r="BJ871" s="1">
        <f t="shared" si="185"/>
        <v>-1.0158018795181991</v>
      </c>
      <c r="BK871" s="1">
        <f t="shared" si="186"/>
        <v>5.5438957453989541</v>
      </c>
      <c r="BO871" s="1">
        <f t="shared" si="187"/>
        <v>-0.53653218194792407</v>
      </c>
      <c r="BP871" s="1">
        <f t="shared" si="188"/>
        <v>1.7079610537880123</v>
      </c>
      <c r="BT871" s="1">
        <f t="shared" si="189"/>
        <v>-1.7415882403439591</v>
      </c>
      <c r="BU871" s="1">
        <f t="shared" si="190"/>
        <v>6.0400142560086483</v>
      </c>
    </row>
    <row r="872" spans="49:73">
      <c r="AW872" s="1">
        <v>862</v>
      </c>
      <c r="AX872" s="1">
        <f t="shared" si="191"/>
        <v>431</v>
      </c>
      <c r="AZ872" s="1">
        <f t="shared" si="192"/>
        <v>75263.829821797888</v>
      </c>
      <c r="BA872" s="1">
        <f t="shared" si="193"/>
        <v>-292604.30215143593</v>
      </c>
      <c r="BC872" s="1">
        <f t="shared" si="194"/>
        <v>750.44995135485055</v>
      </c>
      <c r="BD872" s="1">
        <f t="shared" si="195"/>
        <v>-1083.6881039732277</v>
      </c>
      <c r="BF872" s="1">
        <f t="shared" si="183"/>
        <v>-3.2906009862610626</v>
      </c>
      <c r="BG872" s="1">
        <f t="shared" si="184"/>
        <v>13.234648905526701</v>
      </c>
      <c r="BJ872" s="1">
        <f t="shared" si="185"/>
        <v>-1.0167147704909794</v>
      </c>
      <c r="BK872" s="1">
        <f t="shared" si="186"/>
        <v>5.5211605433270758</v>
      </c>
      <c r="BO872" s="1">
        <f t="shared" si="187"/>
        <v>-0.53544914577835623</v>
      </c>
      <c r="BP872" s="1">
        <f t="shared" si="188"/>
        <v>1.7008471672715295</v>
      </c>
      <c r="BT872" s="1">
        <f t="shared" si="189"/>
        <v>-1.7384370699917266</v>
      </c>
      <c r="BU872" s="1">
        <f t="shared" si="190"/>
        <v>6.0126411949280962</v>
      </c>
    </row>
    <row r="873" spans="49:73">
      <c r="AW873" s="1">
        <v>863</v>
      </c>
      <c r="AX873" s="1">
        <f t="shared" si="191"/>
        <v>431.5</v>
      </c>
      <c r="AZ873" s="1">
        <f t="shared" si="192"/>
        <v>75638.643472352036</v>
      </c>
      <c r="BA873" s="1">
        <f t="shared" si="193"/>
        <v>-293144.49187230936</v>
      </c>
      <c r="BC873" s="1">
        <f t="shared" si="194"/>
        <v>748.80465086172001</v>
      </c>
      <c r="BD873" s="1">
        <f t="shared" si="195"/>
        <v>-1077.0707795204644</v>
      </c>
      <c r="BF873" s="1">
        <f t="shared" si="183"/>
        <v>-3.2873070047114581</v>
      </c>
      <c r="BG873" s="1">
        <f t="shared" si="184"/>
        <v>13.178070307275961</v>
      </c>
      <c r="BJ873" s="1">
        <f t="shared" si="185"/>
        <v>-1.0176098856141393</v>
      </c>
      <c r="BK873" s="1">
        <f t="shared" si="186"/>
        <v>5.4986748039018769</v>
      </c>
      <c r="BO873" s="1">
        <f t="shared" si="187"/>
        <v>-0.53437830790964513</v>
      </c>
      <c r="BP873" s="1">
        <f t="shared" si="188"/>
        <v>1.6938115675562071</v>
      </c>
      <c r="BT873" s="1">
        <f t="shared" si="189"/>
        <v>-1.7353188111876736</v>
      </c>
      <c r="BU873" s="1">
        <f t="shared" si="190"/>
        <v>5.9855839358178766</v>
      </c>
    </row>
    <row r="874" spans="49:73">
      <c r="AW874" s="1">
        <v>864</v>
      </c>
      <c r="AX874" s="1">
        <f t="shared" si="191"/>
        <v>432</v>
      </c>
      <c r="AZ874" s="1">
        <f t="shared" si="192"/>
        <v>76012.634884407307</v>
      </c>
      <c r="BA874" s="1">
        <f t="shared" si="193"/>
        <v>-293681.38000328117</v>
      </c>
      <c r="BC874" s="1">
        <f t="shared" si="194"/>
        <v>747.16099735936427</v>
      </c>
      <c r="BD874" s="1">
        <f t="shared" si="195"/>
        <v>-1070.4817443668264</v>
      </c>
      <c r="BF874" s="1">
        <f t="shared" si="183"/>
        <v>-3.2840405173119427</v>
      </c>
      <c r="BG874" s="1">
        <f t="shared" si="184"/>
        <v>13.12212577723168</v>
      </c>
      <c r="BJ874" s="1">
        <f t="shared" si="185"/>
        <v>-1.0184877740772189</v>
      </c>
      <c r="BK874" s="1">
        <f t="shared" si="186"/>
        <v>5.4764349855364358</v>
      </c>
      <c r="BO874" s="1">
        <f t="shared" si="187"/>
        <v>-0.53331953663635168</v>
      </c>
      <c r="BP874" s="1">
        <f t="shared" si="188"/>
        <v>1.6868531216066058</v>
      </c>
      <c r="BT874" s="1">
        <f t="shared" si="189"/>
        <v>-1.7322332065983721</v>
      </c>
      <c r="BU874" s="1">
        <f t="shared" si="190"/>
        <v>5.9588376700886396</v>
      </c>
    </row>
    <row r="875" spans="49:73">
      <c r="AW875" s="1">
        <v>865</v>
      </c>
      <c r="AX875" s="1">
        <f t="shared" si="191"/>
        <v>432.5</v>
      </c>
      <c r="AZ875" s="1">
        <f t="shared" si="192"/>
        <v>76385.804878022333</v>
      </c>
      <c r="BA875" s="1">
        <f t="shared" si="193"/>
        <v>-294214.9806097424</v>
      </c>
      <c r="BC875" s="1">
        <f t="shared" si="194"/>
        <v>745.5189771007083</v>
      </c>
      <c r="BD875" s="1">
        <f t="shared" si="195"/>
        <v>-1063.9206814782106</v>
      </c>
      <c r="BF875" s="1">
        <f t="shared" si="183"/>
        <v>-3.280801675005848</v>
      </c>
      <c r="BG875" s="1">
        <f t="shared" si="184"/>
        <v>13.066806019248617</v>
      </c>
      <c r="BJ875" s="1">
        <f t="shared" si="185"/>
        <v>-1.0193489710510182</v>
      </c>
      <c r="BK875" s="1">
        <f t="shared" si="186"/>
        <v>5.4544376142282331</v>
      </c>
      <c r="BO875" s="1">
        <f t="shared" si="187"/>
        <v>-0.53227270248248548</v>
      </c>
      <c r="BP875" s="1">
        <f t="shared" si="188"/>
        <v>1.6799707184032275</v>
      </c>
      <c r="BT875" s="1">
        <f t="shared" si="189"/>
        <v>-1.7291800014723442</v>
      </c>
      <c r="BU875" s="1">
        <f t="shared" si="190"/>
        <v>5.9323976866171559</v>
      </c>
    </row>
    <row r="876" spans="49:73">
      <c r="AW876" s="1">
        <v>866</v>
      </c>
      <c r="AX876" s="1">
        <f t="shared" si="191"/>
        <v>433</v>
      </c>
      <c r="AZ876" s="1">
        <f t="shared" si="192"/>
        <v>76758.154266363301</v>
      </c>
      <c r="BA876" s="1">
        <f t="shared" si="193"/>
        <v>-294745.3075997291</v>
      </c>
      <c r="BC876" s="1">
        <f t="shared" si="194"/>
        <v>743.87857626320533</v>
      </c>
      <c r="BD876" s="1">
        <f t="shared" si="195"/>
        <v>-1057.3872784685861</v>
      </c>
      <c r="BF876" s="1">
        <f t="shared" si="183"/>
        <v>-3.2775906198997489</v>
      </c>
      <c r="BG876" s="1">
        <f t="shared" si="184"/>
        <v>13.012101919748968</v>
      </c>
      <c r="BJ876" s="1">
        <f t="shared" si="185"/>
        <v>-1.0201939980992631</v>
      </c>
      <c r="BK876" s="1">
        <f t="shared" si="186"/>
        <v>5.4326792819907936</v>
      </c>
      <c r="BO876" s="1">
        <f t="shared" si="187"/>
        <v>-0.53123767815716394</v>
      </c>
      <c r="BP876" s="1">
        <f t="shared" si="188"/>
        <v>1.6731632684197499</v>
      </c>
      <c r="BT876" s="1">
        <f t="shared" si="189"/>
        <v>-1.7261589436433218</v>
      </c>
      <c r="BU876" s="1">
        <f t="shared" si="190"/>
        <v>5.9062593693384242</v>
      </c>
    </row>
    <row r="877" spans="49:73">
      <c r="AW877" s="1">
        <v>867</v>
      </c>
      <c r="AX877" s="1">
        <f t="shared" si="191"/>
        <v>433.5</v>
      </c>
      <c r="AZ877" s="1">
        <f t="shared" si="192"/>
        <v>77129.683855667419</v>
      </c>
      <c r="BA877" s="1">
        <f t="shared" si="193"/>
        <v>-295272.37472622341</v>
      </c>
      <c r="BC877" s="1">
        <f t="shared" si="194"/>
        <v>742.23978095325549</v>
      </c>
      <c r="BD877" s="1">
        <f t="shared" si="195"/>
        <v>-1050.8812275087116</v>
      </c>
      <c r="BF877" s="1">
        <f t="shared" si="183"/>
        <v>-3.2744074856198466</v>
      </c>
      <c r="BG877" s="1">
        <f t="shared" si="184"/>
        <v>12.958004543351102</v>
      </c>
      <c r="BJ877" s="1">
        <f t="shared" si="185"/>
        <v>-1.0210233635767036</v>
      </c>
      <c r="BK877" s="1">
        <f t="shared" si="186"/>
        <v>5.411156645327865</v>
      </c>
      <c r="BO877" s="1">
        <f t="shared" si="187"/>
        <v>-0.53021433851134214</v>
      </c>
      <c r="BP877" s="1">
        <f t="shared" si="188"/>
        <v>1.6664297031149735</v>
      </c>
      <c r="BT877" s="1">
        <f t="shared" si="189"/>
        <v>-1.7231697835318007</v>
      </c>
      <c r="BU877" s="1">
        <f t="shared" si="190"/>
        <v>5.8804181949082635</v>
      </c>
    </row>
    <row r="878" spans="49:73">
      <c r="AW878" s="1">
        <v>868</v>
      </c>
      <c r="AX878" s="1">
        <f t="shared" si="191"/>
        <v>434</v>
      </c>
      <c r="AZ878" s="1">
        <f t="shared" si="192"/>
        <v>77500.394445208338</v>
      </c>
      <c r="BA878" s="1">
        <f t="shared" si="193"/>
        <v>-295796.19558940985</v>
      </c>
      <c r="BC878" s="1">
        <f t="shared" si="194"/>
        <v>740.60257721044559</v>
      </c>
      <c r="BD878" s="1">
        <f t="shared" si="195"/>
        <v>-1044.402225237036</v>
      </c>
      <c r="BF878" s="1">
        <f t="shared" si="183"/>
        <v>-3.271252397655021</v>
      </c>
      <c r="BG878" s="1">
        <f t="shared" si="184"/>
        <v>12.904505128623429</v>
      </c>
      <c r="BJ878" s="1">
        <f t="shared" si="185"/>
        <v>-1.021837563014399</v>
      </c>
      <c r="BK878" s="1">
        <f t="shared" si="186"/>
        <v>5.3898664237502025</v>
      </c>
      <c r="BO878" s="1">
        <f t="shared" si="187"/>
        <v>-0.52920256049565895</v>
      </c>
      <c r="BP878" s="1">
        <f t="shared" si="188"/>
        <v>1.6597689744392627</v>
      </c>
      <c r="BT878" s="1">
        <f t="shared" si="189"/>
        <v>-1.720212274144963</v>
      </c>
      <c r="BU878" s="1">
        <f t="shared" si="190"/>
        <v>5.854869730433963</v>
      </c>
    </row>
    <row r="879" spans="49:73">
      <c r="AW879" s="1">
        <v>869</v>
      </c>
      <c r="AX879" s="1">
        <f t="shared" si="191"/>
        <v>434.5</v>
      </c>
      <c r="AZ879" s="1">
        <f t="shared" si="192"/>
        <v>77870.286827263844</v>
      </c>
      <c r="BA879" s="1">
        <f t="shared" si="193"/>
        <v>-296316.78363888728</v>
      </c>
      <c r="BC879" s="1">
        <f t="shared" si="194"/>
        <v>738.96695101161811</v>
      </c>
      <c r="BD879" s="1">
        <f t="shared" si="195"/>
        <v>-1037.9499726727242</v>
      </c>
      <c r="BF879" s="1">
        <f t="shared" si="183"/>
        <v>-3.2681254736867738</v>
      </c>
      <c r="BG879" s="1">
        <f t="shared" si="184"/>
        <v>12.851595083957701</v>
      </c>
      <c r="BJ879" s="1">
        <f t="shared" si="185"/>
        <v>-1.0226370794924284</v>
      </c>
      <c r="BK879" s="1">
        <f t="shared" si="186"/>
        <v>5.3688053983323334</v>
      </c>
      <c r="BO879" s="1">
        <f t="shared" si="187"/>
        <v>-0.52820222311921972</v>
      </c>
      <c r="BP879" s="1">
        <f t="shared" si="188"/>
        <v>1.6531800543545279</v>
      </c>
      <c r="BT879" s="1">
        <f t="shared" si="189"/>
        <v>-1.7172861710751259</v>
      </c>
      <c r="BU879" s="1">
        <f t="shared" si="190"/>
        <v>5.8296096312708405</v>
      </c>
    </row>
    <row r="880" spans="49:73">
      <c r="AW880" s="1">
        <v>870</v>
      </c>
      <c r="AX880" s="1">
        <f t="shared" si="191"/>
        <v>435</v>
      </c>
      <c r="AZ880" s="1">
        <f t="shared" si="192"/>
        <v>78239.36178708545</v>
      </c>
      <c r="BA880" s="1">
        <f t="shared" si="193"/>
        <v>-296834.15217583813</v>
      </c>
      <c r="BC880" s="1">
        <f t="shared" si="194"/>
        <v>737.33288827477475</v>
      </c>
      <c r="BD880" s="1">
        <f t="shared" si="195"/>
        <v>-1031.5241751307453</v>
      </c>
      <c r="BF880" s="1">
        <f t="shared" si="183"/>
        <v>-3.2650268239067577</v>
      </c>
      <c r="BG880" s="1">
        <f t="shared" si="184"/>
        <v>12.799265983558737</v>
      </c>
      <c r="BJ880" s="1">
        <f t="shared" si="185"/>
        <v>-1.0234223840006025</v>
      </c>
      <c r="BK880" s="1">
        <f t="shared" si="186"/>
        <v>5.3479704103087382</v>
      </c>
      <c r="BO880" s="1">
        <f t="shared" si="187"/>
        <v>-0.527213207409436</v>
      </c>
      <c r="BP880" s="1">
        <f t="shared" si="188"/>
        <v>1.6466619343677831</v>
      </c>
      <c r="BT880" s="1">
        <f t="shared" si="189"/>
        <v>-1.7143912324967194</v>
      </c>
      <c r="BU880" s="1">
        <f t="shared" si="190"/>
        <v>5.8046336388822155</v>
      </c>
    </row>
    <row r="881" spans="49:73">
      <c r="AW881" s="1">
        <v>871</v>
      </c>
      <c r="AX881" s="1">
        <f t="shared" si="191"/>
        <v>435.5</v>
      </c>
      <c r="AZ881" s="1">
        <f t="shared" si="192"/>
        <v>78607.620102869856</v>
      </c>
      <c r="BA881" s="1">
        <f t="shared" si="193"/>
        <v>-297348.31435515557</v>
      </c>
      <c r="BC881" s="1">
        <f t="shared" si="194"/>
        <v>735.70037486282138</v>
      </c>
      <c r="BD881" s="1">
        <f t="shared" si="195"/>
        <v>-1025.124542138966</v>
      </c>
      <c r="BF881" s="1">
        <f t="shared" si="183"/>
        <v>-3.2619565513224016</v>
      </c>
      <c r="BG881" s="1">
        <f t="shared" si="184"/>
        <v>12.747509563546753</v>
      </c>
      <c r="BJ881" s="1">
        <f t="shared" si="185"/>
        <v>-1.0241939357875922</v>
      </c>
      <c r="BK881" s="1">
        <f t="shared" si="186"/>
        <v>5.3273583597080956</v>
      </c>
      <c r="BO881" s="1">
        <f t="shared" si="187"/>
        <v>-0.52623539637277783</v>
      </c>
      <c r="BP881" s="1">
        <f t="shared" si="188"/>
        <v>1.6402136250774726</v>
      </c>
      <c r="BT881" s="1">
        <f t="shared" si="189"/>
        <v>-1.7115272191620314</v>
      </c>
      <c r="BU881" s="1">
        <f t="shared" si="190"/>
        <v>5.7799375787611851</v>
      </c>
    </row>
    <row r="882" spans="49:73">
      <c r="AW882" s="1">
        <v>872</v>
      </c>
      <c r="AX882" s="1">
        <f t="shared" si="191"/>
        <v>436</v>
      </c>
      <c r="AZ882" s="1">
        <f t="shared" si="192"/>
        <v>78975.062545732348</v>
      </c>
      <c r="BA882" s="1">
        <f t="shared" si="193"/>
        <v>-297859.28318752965</v>
      </c>
      <c r="BC882" s="1">
        <f t="shared" si="194"/>
        <v>734.06939658716021</v>
      </c>
      <c r="BD882" s="1">
        <f t="shared" si="195"/>
        <v>-1018.7507873571926</v>
      </c>
      <c r="BF882" s="1">
        <f t="shared" si="183"/>
        <v>-3.2589147520510933</v>
      </c>
      <c r="BG882" s="1">
        <f t="shared" si="184"/>
        <v>12.696317718168583</v>
      </c>
      <c r="BJ882" s="1">
        <f t="shared" si="185"/>
        <v>-1.0249521826988754</v>
      </c>
      <c r="BK882" s="1">
        <f t="shared" si="186"/>
        <v>5.3069662040243291</v>
      </c>
      <c r="BO882" s="1">
        <f t="shared" si="187"/>
        <v>-0.52526867495652763</v>
      </c>
      <c r="BP882" s="1">
        <f t="shared" si="188"/>
        <v>1.6338341557325216</v>
      </c>
      <c r="BT882" s="1">
        <f t="shared" si="189"/>
        <v>-1.7086938943956902</v>
      </c>
      <c r="BU882" s="1">
        <f t="shared" si="190"/>
        <v>5.7555173584117316</v>
      </c>
    </row>
    <row r="883" spans="49:73">
      <c r="AW883" s="1">
        <v>873</v>
      </c>
      <c r="AX883" s="1">
        <f t="shared" si="191"/>
        <v>436.5</v>
      </c>
      <c r="AZ883" s="1">
        <f t="shared" si="192"/>
        <v>79341.689879681915</v>
      </c>
      <c r="BA883" s="1">
        <f t="shared" si="193"/>
        <v>-298367.07154149347</v>
      </c>
      <c r="BC883" s="1">
        <f t="shared" si="194"/>
        <v>732.43993921113463</v>
      </c>
      <c r="BD883" s="1">
        <f t="shared" si="195"/>
        <v>-1012.4026284981084</v>
      </c>
      <c r="BF883" s="1">
        <f t="shared" si="183"/>
        <v>-3.2559015156032358</v>
      </c>
      <c r="BG883" s="1">
        <f t="shared" si="184"/>
        <v>12.645682496113876</v>
      </c>
      <c r="BJ883" s="1">
        <f t="shared" si="185"/>
        <v>-1.025697561503927</v>
      </c>
      <c r="BK883" s="1">
        <f t="shared" si="186"/>
        <v>5.286790956923431</v>
      </c>
      <c r="BO883" s="1">
        <f t="shared" si="187"/>
        <v>-0.5243129300113738</v>
      </c>
      <c r="BP883" s="1">
        <f t="shared" si="188"/>
        <v>1.6275225738032821</v>
      </c>
      <c r="BT883" s="1">
        <f t="shared" si="189"/>
        <v>-1.705891024087935</v>
      </c>
      <c r="BU883" s="1">
        <f t="shared" si="190"/>
        <v>5.7313689653871629</v>
      </c>
    </row>
    <row r="884" spans="49:73">
      <c r="AW884" s="1">
        <v>874</v>
      </c>
      <c r="AX884" s="1">
        <f t="shared" si="191"/>
        <v>437</v>
      </c>
      <c r="AZ884" s="1">
        <f t="shared" si="192"/>
        <v>79707.502861598026</v>
      </c>
      <c r="BA884" s="1">
        <f t="shared" si="193"/>
        <v>-298871.69214543054</v>
      </c>
      <c r="BC884" s="1">
        <f t="shared" si="194"/>
        <v>730.81198845333302</v>
      </c>
      <c r="BD884" s="1">
        <f t="shared" si="195"/>
        <v>-1006.0797872500514</v>
      </c>
      <c r="BF884" s="1">
        <f t="shared" si="183"/>
        <v>-3.2529169251548451</v>
      </c>
      <c r="BG884" s="1">
        <f t="shared" si="184"/>
        <v>12.595596096933541</v>
      </c>
      <c r="BJ884" s="1">
        <f t="shared" si="185"/>
        <v>-1.0264304982129586</v>
      </c>
      <c r="BK884" s="1">
        <f t="shared" si="186"/>
        <v>5.2668296869845825</v>
      </c>
      <c r="BO884" s="1">
        <f t="shared" si="187"/>
        <v>-0.52336805025493449</v>
      </c>
      <c r="BP884" s="1">
        <f t="shared" si="188"/>
        <v>1.6212779445643564</v>
      </c>
      <c r="BT884" s="1">
        <f t="shared" si="189"/>
        <v>-1.703118376686952</v>
      </c>
      <c r="BU884" s="1">
        <f t="shared" si="190"/>
        <v>5.7074884653846008</v>
      </c>
    </row>
    <row r="885" spans="49:73">
      <c r="AW885" s="1">
        <v>875</v>
      </c>
      <c r="AX885" s="1">
        <f t="shared" si="191"/>
        <v>437.5</v>
      </c>
      <c r="AZ885" s="1">
        <f t="shared" si="192"/>
        <v>80072.502241209047</v>
      </c>
      <c r="BA885" s="1">
        <f t="shared" si="193"/>
        <v>-299373.15758954344</v>
      </c>
      <c r="BC885" s="1">
        <f t="shared" si="194"/>
        <v>729.18552999075564</v>
      </c>
      <c r="BD885" s="1">
        <f t="shared" si="195"/>
        <v>-999.78198920158457</v>
      </c>
      <c r="BF885" s="1">
        <f t="shared" si="183"/>
        <v>-3.2499610578099261</v>
      </c>
      <c r="BG885" s="1">
        <f t="shared" si="184"/>
        <v>12.546050867556795</v>
      </c>
      <c r="BJ885" s="1">
        <f t="shared" si="185"/>
        <v>-1.027151408383727</v>
      </c>
      <c r="BK885" s="1">
        <f t="shared" si="186"/>
        <v>5.2470795164752397</v>
      </c>
      <c r="BO885" s="1">
        <f t="shared" si="187"/>
        <v>-0.52243392623613616</v>
      </c>
      <c r="BP885" s="1">
        <f t="shared" si="188"/>
        <v>1.6150993506887583</v>
      </c>
      <c r="BT885" s="1">
        <f t="shared" si="189"/>
        <v>-1.7003757231900629</v>
      </c>
      <c r="BU885" s="1">
        <f t="shared" si="190"/>
        <v>5.6838720003927978</v>
      </c>
    </row>
    <row r="886" spans="49:73">
      <c r="AW886" s="1">
        <v>876</v>
      </c>
      <c r="AX886" s="1">
        <f t="shared" si="191"/>
        <v>438</v>
      </c>
      <c r="AZ886" s="1">
        <f t="shared" si="192"/>
        <v>80436.688761072204</v>
      </c>
      <c r="BA886" s="1">
        <f t="shared" si="193"/>
        <v>-299871.48032778577</v>
      </c>
      <c r="BC886" s="1">
        <f t="shared" si="194"/>
        <v>727.56054946185066</v>
      </c>
      <c r="BD886" s="1">
        <f t="shared" si="195"/>
        <v>-993.50896376780622</v>
      </c>
      <c r="BF886" s="1">
        <f t="shared" si="183"/>
        <v>-3.2470339848531165</v>
      </c>
      <c r="BG886" s="1">
        <f t="shared" si="184"/>
        <v>12.497039298903719</v>
      </c>
      <c r="BJ886" s="1">
        <f t="shared" si="185"/>
        <v>-1.0278606974185833</v>
      </c>
      <c r="BK886" s="1">
        <f t="shared" si="186"/>
        <v>5.2275376201582509</v>
      </c>
      <c r="BO886" s="1">
        <f t="shared" si="187"/>
        <v>-0.52151045030043863</v>
      </c>
      <c r="BP886" s="1">
        <f t="shared" si="188"/>
        <v>1.6089858918531108</v>
      </c>
      <c r="BT886" s="1">
        <f t="shared" si="189"/>
        <v>-1.6976628371340943</v>
      </c>
      <c r="BU886" s="1">
        <f t="shared" si="190"/>
        <v>5.6605157868923577</v>
      </c>
    </row>
    <row r="887" spans="49:73">
      <c r="AW887" s="1">
        <v>877</v>
      </c>
      <c r="AX887" s="1">
        <f t="shared" si="191"/>
        <v>438.5</v>
      </c>
      <c r="AZ887" s="1">
        <f t="shared" si="192"/>
        <v>80800.063156555028</v>
      </c>
      <c r="BA887" s="1">
        <f t="shared" si="193"/>
        <v>-300366.67267975729</v>
      </c>
      <c r="BC887" s="1">
        <f t="shared" si="194"/>
        <v>725.93703246942414</v>
      </c>
      <c r="BD887" s="1">
        <f t="shared" si="195"/>
        <v>-987.26044411835437</v>
      </c>
      <c r="BF887" s="1">
        <f t="shared" si="183"/>
        <v>-3.2441357719929145</v>
      </c>
      <c r="BG887" s="1">
        <f t="shared" si="184"/>
        <v>12.448554022590287</v>
      </c>
      <c r="BJ887" s="1">
        <f t="shared" si="185"/>
        <v>-1.0285587608522544</v>
      </c>
      <c r="BK887" s="1">
        <f t="shared" si="186"/>
        <v>5.2082012241307662</v>
      </c>
      <c r="BO887" s="1">
        <f t="shared" si="187"/>
        <v>-0.52059751655583753</v>
      </c>
      <c r="BP887" s="1">
        <f t="shared" si="188"/>
        <v>1.6029366843533854</v>
      </c>
      <c r="BT887" s="1">
        <f t="shared" si="189"/>
        <v>-1.6949794945848224</v>
      </c>
      <c r="BU887" s="1">
        <f t="shared" si="190"/>
        <v>5.6374161141061361</v>
      </c>
    </row>
    <row r="888" spans="49:73">
      <c r="AW888" s="1">
        <v>878</v>
      </c>
      <c r="AX888" s="1">
        <f t="shared" si="191"/>
        <v>439</v>
      </c>
      <c r="AZ888" s="1">
        <f t="shared" si="192"/>
        <v>81162.626155818245</v>
      </c>
      <c r="BA888" s="1">
        <f t="shared" si="193"/>
        <v>-300858.74683256366</v>
      </c>
      <c r="BC888" s="1">
        <f t="shared" si="194"/>
        <v>724.3149645834277</v>
      </c>
      <c r="BD888" s="1">
        <f t="shared" si="195"/>
        <v>-981.03616710705921</v>
      </c>
      <c r="BF888" s="1">
        <f t="shared" si="183"/>
        <v>-3.2412664795959873</v>
      </c>
      <c r="BG888" s="1">
        <f t="shared" si="184"/>
        <v>12.400587807723305</v>
      </c>
      <c r="BJ888" s="1">
        <f t="shared" si="185"/>
        <v>-1.0292459846306257</v>
      </c>
      <c r="BK888" s="1">
        <f t="shared" si="186"/>
        <v>5.1890676046936957</v>
      </c>
      <c r="BO888" s="1">
        <f t="shared" si="187"/>
        <v>-0.51969502083973007</v>
      </c>
      <c r="BP888" s="1">
        <f t="shared" si="188"/>
        <v>1.59695086073119</v>
      </c>
      <c r="BT888" s="1">
        <f t="shared" si="189"/>
        <v>-1.6923254741256315</v>
      </c>
      <c r="BU888" s="1">
        <f t="shared" si="190"/>
        <v>5.6145693422984202</v>
      </c>
    </row>
    <row r="889" spans="49:73">
      <c r="AW889" s="1">
        <v>879</v>
      </c>
      <c r="AX889" s="1">
        <f t="shared" si="191"/>
        <v>439.5</v>
      </c>
      <c r="AZ889" s="1">
        <f t="shared" si="192"/>
        <v>81524.378479800012</v>
      </c>
      <c r="BA889" s="1">
        <f t="shared" si="193"/>
        <v>-301347.7148426412</v>
      </c>
      <c r="BC889" s="1">
        <f t="shared" si="194"/>
        <v>722.69433134362976</v>
      </c>
      <c r="BD889" s="1">
        <f t="shared" si="195"/>
        <v>-974.83587320319759</v>
      </c>
      <c r="BF889" s="1">
        <f t="shared" si="183"/>
        <v>-3.2384261629127664</v>
      </c>
      <c r="BG889" s="1">
        <f t="shared" si="184"/>
        <v>12.353133557781913</v>
      </c>
      <c r="BJ889" s="1">
        <f t="shared" si="185"/>
        <v>-1.0299227453808015</v>
      </c>
      <c r="BK889" s="1">
        <f t="shared" si="186"/>
        <v>5.1701340872505783</v>
      </c>
      <c r="BO889" s="1">
        <f t="shared" si="187"/>
        <v>-0.51880286068647963</v>
      </c>
      <c r="BP889" s="1">
        <f t="shared" si="188"/>
        <v>1.5910275694098368</v>
      </c>
      <c r="BT889" s="1">
        <f t="shared" si="189"/>
        <v>-1.6897005568454855</v>
      </c>
      <c r="BU889" s="1">
        <f t="shared" si="190"/>
        <v>5.5919719011214966</v>
      </c>
    </row>
    <row r="890" spans="49:73">
      <c r="AW890" s="1">
        <v>880</v>
      </c>
      <c r="AX890" s="1">
        <f t="shared" si="191"/>
        <v>440</v>
      </c>
      <c r="AZ890" s="1">
        <f t="shared" si="192"/>
        <v>81885.320842201472</v>
      </c>
      <c r="BA890" s="1">
        <f t="shared" si="193"/>
        <v>-301833.58863754809</v>
      </c>
      <c r="BC890" s="1">
        <f t="shared" si="194"/>
        <v>721.07511826217342</v>
      </c>
      <c r="BD890" s="1">
        <f t="shared" si="195"/>
        <v>-968.65930642430669</v>
      </c>
      <c r="BF890" s="1">
        <f t="shared" si="183"/>
        <v>-3.2356148722946663</v>
      </c>
      <c r="BG890" s="1">
        <f t="shared" si="184"/>
        <v>12.306184307582988</v>
      </c>
      <c r="BJ890" s="1">
        <f t="shared" si="185"/>
        <v>-1.0305894106728131</v>
      </c>
      <c r="BK890" s="1">
        <f t="shared" si="186"/>
        <v>5.1513980452353163</v>
      </c>
      <c r="BO890" s="1">
        <f t="shared" si="187"/>
        <v>-0.51792093529577743</v>
      </c>
      <c r="BP890" s="1">
        <f t="shared" si="188"/>
        <v>1.5851659743402535</v>
      </c>
      <c r="BT890" s="1">
        <f t="shared" si="189"/>
        <v>-1.6871045263260758</v>
      </c>
      <c r="BU890" s="1">
        <f t="shared" si="190"/>
        <v>5.5696202880074175</v>
      </c>
    </row>
    <row r="891" spans="49:73">
      <c r="AW891" s="1">
        <v>881</v>
      </c>
      <c r="AX891" s="1">
        <f t="shared" si="191"/>
        <v>440.5</v>
      </c>
      <c r="AZ891" s="1">
        <f t="shared" si="192"/>
        <v>82245.453949473522</v>
      </c>
      <c r="BA891" s="1">
        <f t="shared" si="193"/>
        <v>-302316.38001772179</v>
      </c>
      <c r="BC891" s="1">
        <f t="shared" si="194"/>
        <v>719.45731082602606</v>
      </c>
      <c r="BD891" s="1">
        <f t="shared" si="195"/>
        <v>-962.50621427051522</v>
      </c>
      <c r="BF891" s="1">
        <f t="shared" si="183"/>
        <v>-3.2328326534034622</v>
      </c>
      <c r="BG891" s="1">
        <f t="shared" si="184"/>
        <v>12.259733220328595</v>
      </c>
      <c r="BJ891" s="1">
        <f t="shared" si="185"/>
        <v>-1.0312463392732276</v>
      </c>
      <c r="BK891" s="1">
        <f t="shared" si="186"/>
        <v>5.1328568990677441</v>
      </c>
      <c r="BO891" s="1">
        <f t="shared" si="187"/>
        <v>-0.51704914550173486</v>
      </c>
      <c r="BP891" s="1">
        <f t="shared" si="188"/>
        <v>1.5793652546562893</v>
      </c>
      <c r="BT891" s="1">
        <f t="shared" si="189"/>
        <v>-1.6845371686284996</v>
      </c>
      <c r="BU891" s="1">
        <f t="shared" si="190"/>
        <v>5.5475110666045619</v>
      </c>
    </row>
    <row r="892" spans="49:73">
      <c r="AW892" s="1">
        <v>882</v>
      </c>
      <c r="AX892" s="1">
        <f t="shared" si="191"/>
        <v>441</v>
      </c>
      <c r="AZ892" s="1">
        <f t="shared" si="192"/>
        <v>82604.778500804852</v>
      </c>
      <c r="BA892" s="1">
        <f t="shared" si="193"/>
        <v>-302796.10065820452</v>
      </c>
      <c r="BC892" s="1">
        <f t="shared" si="194"/>
        <v>717.84089449932435</v>
      </c>
      <c r="BD892" s="1">
        <f t="shared" si="195"/>
        <v>-956.37634766035092</v>
      </c>
      <c r="BF892" s="1">
        <f t="shared" si="183"/>
        <v>-3.2300795474128625</v>
      </c>
      <c r="BG892" s="1">
        <f t="shared" si="184"/>
        <v>12.213773584731953</v>
      </c>
      <c r="BJ892" s="1">
        <f t="shared" si="185"/>
        <v>-1.0318938813909637</v>
      </c>
      <c r="BK892" s="1">
        <f t="shared" si="186"/>
        <v>5.1145081151362817</v>
      </c>
      <c r="BO892" s="1">
        <f t="shared" si="187"/>
        <v>-0.51618739374266476</v>
      </c>
      <c r="BP892" s="1">
        <f t="shared" si="188"/>
        <v>1.5736246043390685</v>
      </c>
      <c r="BT892" s="1">
        <f t="shared" si="189"/>
        <v>-1.6819982722792337</v>
      </c>
      <c r="BU892" s="1">
        <f t="shared" si="190"/>
        <v>5.5256408652566034</v>
      </c>
    </row>
    <row r="893" spans="49:73">
      <c r="AW893" s="1">
        <v>883</v>
      </c>
      <c r="AX893" s="1">
        <f t="shared" si="191"/>
        <v>441.5</v>
      </c>
      <c r="AZ893" s="1">
        <f t="shared" si="192"/>
        <v>82963.295188111093</v>
      </c>
      <c r="BA893" s="1">
        <f t="shared" si="193"/>
        <v>-303272.76211033657</v>
      </c>
      <c r="BC893" s="1">
        <f t="shared" si="194"/>
        <v>716.22585472561786</v>
      </c>
      <c r="BD893" s="1">
        <f t="shared" si="195"/>
        <v>-950.26946086798489</v>
      </c>
      <c r="BF893" s="1">
        <f t="shared" si="183"/>
        <v>-3.2273555912027305</v>
      </c>
      <c r="BG893" s="1">
        <f t="shared" si="184"/>
        <v>12.168298812220023</v>
      </c>
      <c r="BJ893" s="1">
        <f t="shared" si="185"/>
        <v>-1.0325323789155343</v>
      </c>
      <c r="BK893" s="1">
        <f t="shared" si="186"/>
        <v>5.0963492048066641</v>
      </c>
      <c r="BO893" s="1">
        <f t="shared" si="187"/>
        <v>-0.51533558403156809</v>
      </c>
      <c r="BP893" s="1">
        <f t="shared" si="188"/>
        <v>1.567943231890212</v>
      </c>
      <c r="BT893" s="1">
        <f t="shared" si="189"/>
        <v>-1.6794876282556281</v>
      </c>
      <c r="BU893" s="1">
        <f t="shared" si="190"/>
        <v>5.5040063755231481</v>
      </c>
    </row>
    <row r="894" spans="49:73">
      <c r="AW894" s="1">
        <v>884</v>
      </c>
      <c r="AX894" s="1">
        <f t="shared" si="191"/>
        <v>442</v>
      </c>
      <c r="AZ894" s="1">
        <f t="shared" si="192"/>
        <v>83321.004696024989</v>
      </c>
      <c r="BA894" s="1">
        <f t="shared" si="193"/>
        <v>-303746.37580341904</v>
      </c>
      <c r="BC894" s="1">
        <f t="shared" si="194"/>
        <v>714.61217693001652</v>
      </c>
      <c r="BD894" s="1">
        <f t="shared" si="195"/>
        <v>-944.1853114618749</v>
      </c>
      <c r="BF894" s="1">
        <f t="shared" si="183"/>
        <v>-3.2246608175461811</v>
      </c>
      <c r="BG894" s="1">
        <f t="shared" si="184"/>
        <v>12.123302434210236</v>
      </c>
      <c r="BJ894" s="1">
        <f t="shared" si="185"/>
        <v>-1.0331621656480252</v>
      </c>
      <c r="BK894" s="1">
        <f t="shared" si="186"/>
        <v>5.078377723456212</v>
      </c>
      <c r="BO894" s="1">
        <f t="shared" si="187"/>
        <v>-0.51449362192731185</v>
      </c>
      <c r="BP894" s="1">
        <f t="shared" si="188"/>
        <v>1.562320360013677</v>
      </c>
      <c r="BT894" s="1">
        <f t="shared" si="189"/>
        <v>-1.6770050299708437</v>
      </c>
      <c r="BU894" s="1">
        <f t="shared" si="190"/>
        <v>5.4826043507403472</v>
      </c>
    </row>
    <row r="895" spans="49:73">
      <c r="AW895" s="1">
        <v>885</v>
      </c>
      <c r="AX895" s="1">
        <f t="shared" si="191"/>
        <v>442.5</v>
      </c>
      <c r="AZ895" s="1">
        <f t="shared" si="192"/>
        <v>83677.907701887802</v>
      </c>
      <c r="BA895" s="1">
        <f t="shared" si="193"/>
        <v>-304216.95304634573</v>
      </c>
      <c r="BC895" s="1">
        <f t="shared" si="194"/>
        <v>712.9998465212434</v>
      </c>
      <c r="BD895" s="1">
        <f t="shared" si="195"/>
        <v>-938.12366024476978</v>
      </c>
      <c r="BF895" s="1">
        <f t="shared" si="183"/>
        <v>-3.2219952552898965</v>
      </c>
      <c r="BG895" s="1">
        <f t="shared" si="184"/>
        <v>12.078778099459264</v>
      </c>
      <c r="BJ895" s="1">
        <f t="shared" si="185"/>
        <v>-1.0337835675250371</v>
      </c>
      <c r="BK895" s="1">
        <f t="shared" si="186"/>
        <v>5.0605912695327522</v>
      </c>
      <c r="BO895" s="1">
        <f t="shared" si="187"/>
        <v>-0.51366141450644454</v>
      </c>
      <c r="BP895" s="1">
        <f t="shared" si="188"/>
        <v>1.5567552253058456</v>
      </c>
      <c r="BT895" s="1">
        <f t="shared" si="189"/>
        <v>-1.674550273258415</v>
      </c>
      <c r="BU895" s="1">
        <f t="shared" si="190"/>
        <v>5.4614316046206666</v>
      </c>
    </row>
    <row r="896" spans="49:73">
      <c r="AW896" s="1">
        <v>886</v>
      </c>
      <c r="AX896" s="1">
        <f t="shared" si="191"/>
        <v>443</v>
      </c>
      <c r="AZ896" s="1">
        <f t="shared" si="192"/>
        <v>84034.004875741506</v>
      </c>
      <c r="BA896" s="1">
        <f t="shared" si="193"/>
        <v>-304684.5050292057</v>
      </c>
      <c r="BC896" s="1">
        <f t="shared" si="194"/>
        <v>711.38884889359849</v>
      </c>
      <c r="BD896" s="1">
        <f t="shared" si="195"/>
        <v>-932.08427119504017</v>
      </c>
      <c r="BF896" s="1">
        <f t="shared" si="183"/>
        <v>-3.2193589295278802</v>
      </c>
      <c r="BG896" s="1">
        <f t="shared" si="184"/>
        <v>12.034719571481579</v>
      </c>
      <c r="BJ896" s="1">
        <f t="shared" si="185"/>
        <v>-1.0343969028358655</v>
      </c>
      <c r="BK896" s="1">
        <f t="shared" si="186"/>
        <v>5.0429874836376714</v>
      </c>
      <c r="BO896" s="1">
        <f t="shared" si="187"/>
        <v>-0.51283887033564568</v>
      </c>
      <c r="BP896" s="1">
        <f t="shared" si="188"/>
        <v>1.5512470779536487</v>
      </c>
      <c r="BT896" s="1">
        <f t="shared" si="189"/>
        <v>-1.6721231563563692</v>
      </c>
      <c r="BU896" s="1">
        <f t="shared" si="190"/>
        <v>5.4404850098902591</v>
      </c>
    </row>
    <row r="897" spans="49:73">
      <c r="AW897" s="1">
        <v>887</v>
      </c>
      <c r="AX897" s="1">
        <f t="shared" si="191"/>
        <v>443.5</v>
      </c>
      <c r="AZ897" s="1">
        <f t="shared" si="192"/>
        <v>84389.296880322116</v>
      </c>
      <c r="BA897" s="1">
        <f t="shared" si="193"/>
        <v>-305149.04282485676</v>
      </c>
      <c r="BC897" s="1">
        <f t="shared" si="194"/>
        <v>709.77916942883451</v>
      </c>
      <c r="BD897" s="1">
        <f t="shared" si="195"/>
        <v>-926.06691140929934</v>
      </c>
      <c r="BF897" s="1">
        <f t="shared" si="183"/>
        <v>-3.2167518617687865</v>
      </c>
      <c r="BG897" s="1">
        <f t="shared" si="184"/>
        <v>11.991120726035145</v>
      </c>
      <c r="BJ897" s="1">
        <f t="shared" si="185"/>
        <v>-1.0350024824330322</v>
      </c>
      <c r="BK897" s="1">
        <f t="shared" si="186"/>
        <v>5.0255640476318142</v>
      </c>
      <c r="BO897" s="1">
        <f t="shared" si="187"/>
        <v>-0.51202589944483656</v>
      </c>
      <c r="BP897" s="1">
        <f t="shared" si="188"/>
        <v>1.545795181440623</v>
      </c>
      <c r="BT897" s="1">
        <f t="shared" si="189"/>
        <v>-1.6697234798909175</v>
      </c>
      <c r="BU897" s="1">
        <f t="shared" si="190"/>
        <v>5.4197614969627095</v>
      </c>
    </row>
    <row r="898" spans="49:73">
      <c r="AW898" s="1">
        <v>888</v>
      </c>
      <c r="AX898" s="1">
        <f t="shared" si="191"/>
        <v>444</v>
      </c>
      <c r="AZ898" s="1">
        <f t="shared" si="192"/>
        <v>84743.784371053815</v>
      </c>
      <c r="BA898" s="1">
        <f t="shared" si="193"/>
        <v>-305610.57739047066</v>
      </c>
      <c r="BC898" s="1">
        <f t="shared" si="194"/>
        <v>708.17079349795006</v>
      </c>
      <c r="BD898" s="1">
        <f t="shared" si="195"/>
        <v>-920.07135104628173</v>
      </c>
      <c r="BF898" s="1">
        <f t="shared" si="183"/>
        <v>-3.2141740700973109</v>
      </c>
      <c r="BG898" s="1">
        <f t="shared" si="184"/>
        <v>11.947975548673277</v>
      </c>
      <c r="BJ898" s="1">
        <f t="shared" si="185"/>
        <v>-1.0356006099365775</v>
      </c>
      <c r="BK898" s="1">
        <f t="shared" si="186"/>
        <v>5.008318683764446</v>
      </c>
      <c r="BO898" s="1">
        <f t="shared" si="187"/>
        <v>-0.51122241330085016</v>
      </c>
      <c r="BP898" s="1">
        <f t="shared" si="188"/>
        <v>1.540398812260404</v>
      </c>
      <c r="BT898" s="1">
        <f t="shared" si="189"/>
        <v>-1.6673510468598833</v>
      </c>
      <c r="BU898" s="1">
        <f t="shared" si="190"/>
        <v>5.3992580526484275</v>
      </c>
    </row>
    <row r="899" spans="49:73">
      <c r="AW899" s="1">
        <v>889</v>
      </c>
      <c r="AX899" s="1">
        <f t="shared" si="191"/>
        <v>444.5</v>
      </c>
      <c r="AZ899" s="1">
        <f t="shared" si="192"/>
        <v>85097.467996044041</v>
      </c>
      <c r="BA899" s="1">
        <f t="shared" si="193"/>
        <v>-306069.11956905026</v>
      </c>
      <c r="BC899" s="1">
        <f t="shared" si="194"/>
        <v>706.56370646290145</v>
      </c>
      <c r="BD899" s="1">
        <f t="shared" si="195"/>
        <v>-914.09736327194514</v>
      </c>
      <c r="BF899" s="1">
        <f t="shared" si="183"/>
        <v>-3.2116255693296449</v>
      </c>
      <c r="BG899" s="1">
        <f t="shared" si="184"/>
        <v>11.905278132359644</v>
      </c>
      <c r="BJ899" s="1">
        <f t="shared" si="185"/>
        <v>-1.036191581932151</v>
      </c>
      <c r="BK899" s="1">
        <f t="shared" si="186"/>
        <v>4.99124915382379</v>
      </c>
      <c r="BO899" s="1">
        <f t="shared" si="187"/>
        <v>-0.51042832478172406</v>
      </c>
      <c r="BP899" s="1">
        <f t="shared" si="188"/>
        <v>1.535057259637667</v>
      </c>
      <c r="BT899" s="1">
        <f t="shared" si="189"/>
        <v>-1.6650056626157699</v>
      </c>
      <c r="BU899" s="1">
        <f t="shared" si="190"/>
        <v>5.3789717188981863</v>
      </c>
    </row>
    <row r="900" spans="49:73">
      <c r="AW900" s="1">
        <v>890</v>
      </c>
      <c r="AX900" s="1">
        <f t="shared" si="191"/>
        <v>445</v>
      </c>
      <c r="AZ900" s="1">
        <f t="shared" si="192"/>
        <v>85450.348396079324</v>
      </c>
      <c r="BA900" s="1">
        <f t="shared" si="193"/>
        <v>-306524.68009091972</v>
      </c>
      <c r="BC900" s="1">
        <f t="shared" si="194"/>
        <v>704.95789367823659</v>
      </c>
      <c r="BD900" s="1">
        <f t="shared" si="195"/>
        <v>-908.14472420576533</v>
      </c>
      <c r="BF900" s="1">
        <f t="shared" si="183"/>
        <v>-3.2091063711633856</v>
      </c>
      <c r="BG900" s="1">
        <f t="shared" si="184"/>
        <v>11.863022675145324</v>
      </c>
      <c r="BJ900" s="1">
        <f t="shared" si="185"/>
        <v>-1.0367756881632264</v>
      </c>
      <c r="BK900" s="1">
        <f t="shared" si="186"/>
        <v>4.9743532583090593</v>
      </c>
      <c r="BO900" s="1">
        <f t="shared" si="187"/>
        <v>-0.5096435481515641</v>
      </c>
      <c r="BP900" s="1">
        <f t="shared" si="188"/>
        <v>1.5297698252561944</v>
      </c>
      <c r="BT900" s="1">
        <f t="shared" si="189"/>
        <v>-1.662687134848595</v>
      </c>
      <c r="BU900" s="1">
        <f t="shared" si="190"/>
        <v>5.3588995915800703</v>
      </c>
    </row>
    <row r="901" spans="49:73">
      <c r="AW901" s="1">
        <v>891</v>
      </c>
      <c r="AX901" s="1">
        <f t="shared" si="191"/>
        <v>445.5</v>
      </c>
      <c r="AZ901" s="1">
        <f t="shared" si="192"/>
        <v>85802.426204622054</v>
      </c>
      <c r="BA901" s="1">
        <f t="shared" si="193"/>
        <v>-306977.26957518817</v>
      </c>
      <c r="BC901" s="1">
        <f t="shared" si="194"/>
        <v>703.35334049265487</v>
      </c>
      <c r="BD901" s="1">
        <f t="shared" si="195"/>
        <v>-902.21321286819261</v>
      </c>
      <c r="BF901" s="1">
        <f t="shared" si="183"/>
        <v>-3.20661648432195</v>
      </c>
      <c r="BG901" s="1">
        <f t="shared" si="184"/>
        <v>11.821203477905387</v>
      </c>
      <c r="BJ901" s="1">
        <f t="shared" si="185"/>
        <v>-1.0373532117175721</v>
      </c>
      <c r="BK901" s="1">
        <f t="shared" si="186"/>
        <v>4.9576288356230815</v>
      </c>
      <c r="BO901" s="1">
        <f t="shared" si="187"/>
        <v>-0.50886799903598368</v>
      </c>
      <c r="BP901" s="1">
        <f t="shared" si="188"/>
        <v>1.524535822993907</v>
      </c>
      <c r="BT901" s="1">
        <f t="shared" si="189"/>
        <v>-1.660395273568394</v>
      </c>
      <c r="BU901" s="1">
        <f t="shared" si="190"/>
        <v>5.3390388192883984</v>
      </c>
    </row>
    <row r="902" spans="49:73">
      <c r="AW902" s="1">
        <v>892</v>
      </c>
      <c r="AX902" s="1">
        <f t="shared" si="191"/>
        <v>446</v>
      </c>
      <c r="AZ902" s="1">
        <f t="shared" si="192"/>
        <v>86153.702047807834</v>
      </c>
      <c r="BA902" s="1">
        <f t="shared" si="193"/>
        <v>-307426.89853118756</v>
      </c>
      <c r="BC902" s="1">
        <f t="shared" si="194"/>
        <v>701.75003225049386</v>
      </c>
      <c r="BD902" s="1">
        <f t="shared" si="195"/>
        <v>-896.30261112923995</v>
      </c>
      <c r="BF902" s="1">
        <f t="shared" si="183"/>
        <v>-3.2041559146937866</v>
      </c>
      <c r="BG902" s="1">
        <f t="shared" si="184"/>
        <v>11.779814942133511</v>
      </c>
      <c r="BJ902" s="1">
        <f t="shared" si="185"/>
        <v>-1.0379244292081564</v>
      </c>
      <c r="BK902" s="1">
        <f t="shared" si="186"/>
        <v>4.9410737612848301</v>
      </c>
      <c r="BO902" s="1">
        <f t="shared" si="187"/>
        <v>-0.50810159439802682</v>
      </c>
      <c r="BP902" s="1">
        <f t="shared" si="188"/>
        <v>1.5193545786644351</v>
      </c>
      <c r="BT902" s="1">
        <f t="shared" si="189"/>
        <v>-1.6581298910876032</v>
      </c>
      <c r="BU902" s="1">
        <f t="shared" si="190"/>
        <v>5.3193866021842453</v>
      </c>
    </row>
    <row r="903" spans="49:73">
      <c r="AW903" s="1">
        <v>893</v>
      </c>
      <c r="AX903" s="1">
        <f t="shared" si="191"/>
        <v>446.5</v>
      </c>
      <c r="AZ903" s="1">
        <f t="shared" si="192"/>
        <v>86504.176544443748</v>
      </c>
      <c r="BA903" s="1">
        <f t="shared" si="193"/>
        <v>-307873.5773598844</v>
      </c>
      <c r="BC903" s="1">
        <f t="shared" si="194"/>
        <v>700.147954293147</v>
      </c>
      <c r="BD903" s="1">
        <f t="shared" si="195"/>
        <v>-890.4127036581732</v>
      </c>
      <c r="BF903" s="1">
        <f t="shared" si="183"/>
        <v>-3.2017246654667488</v>
      </c>
      <c r="BG903" s="1">
        <f t="shared" si="184"/>
        <v>11.738851567793649</v>
      </c>
      <c r="BJ903" s="1">
        <f t="shared" si="185"/>
        <v>-1.0384896109488209</v>
      </c>
      <c r="BK903" s="1">
        <f t="shared" si="186"/>
        <v>4.924685947162021</v>
      </c>
      <c r="BO903" s="1">
        <f t="shared" si="187"/>
        <v>-0.5073442525147337</v>
      </c>
      <c r="BP903" s="1">
        <f t="shared" si="188"/>
        <v>1.5142254297655366</v>
      </c>
      <c r="BT903" s="1">
        <f t="shared" si="189"/>
        <v>-1.6558908020031946</v>
      </c>
      <c r="BU903" s="1">
        <f t="shared" si="190"/>
        <v>5.2999401908660904</v>
      </c>
    </row>
    <row r="904" spans="49:73">
      <c r="AW904" s="1">
        <v>894</v>
      </c>
      <c r="AX904" s="1">
        <f t="shared" si="191"/>
        <v>447</v>
      </c>
      <c r="AZ904" s="1">
        <f t="shared" si="192"/>
        <v>86853.850306007138</v>
      </c>
      <c r="BA904" s="1">
        <f t="shared" si="193"/>
        <v>-308317.31635526754</v>
      </c>
      <c r="BC904" s="1">
        <f t="shared" si="194"/>
        <v>698.54709196041358</v>
      </c>
      <c r="BD904" s="1">
        <f t="shared" si="195"/>
        <v>-884.54327787427633</v>
      </c>
      <c r="BF904" s="1">
        <f t="shared" si="183"/>
        <v>-3.1993227372574209</v>
      </c>
      <c r="BG904" s="1">
        <f t="shared" si="184"/>
        <v>11.698307951225452</v>
      </c>
      <c r="BJ904" s="1">
        <f t="shared" si="185"/>
        <v>-1.0390490211246139</v>
      </c>
      <c r="BK904" s="1">
        <f t="shared" si="186"/>
        <v>4.9084633407218652</v>
      </c>
      <c r="BO904" s="1">
        <f t="shared" si="187"/>
        <v>-0.50659589295412155</v>
      </c>
      <c r="BP904" s="1">
        <f t="shared" si="188"/>
        <v>1.5091477252335443</v>
      </c>
      <c r="BT904" s="1">
        <f t="shared" si="189"/>
        <v>-1.6536778231786851</v>
      </c>
      <c r="BU904" s="1">
        <f t="shared" si="190"/>
        <v>5.280696885270042</v>
      </c>
    </row>
    <row r="905" spans="49:73">
      <c r="AW905" s="1">
        <v>895</v>
      </c>
      <c r="AX905" s="1">
        <f t="shared" si="191"/>
        <v>447.5</v>
      </c>
      <c r="AZ905" s="1">
        <f t="shared" si="192"/>
        <v>87202.723936645183</v>
      </c>
      <c r="BA905" s="1">
        <f t="shared" si="193"/>
        <v>-308758.12570571073</v>
      </c>
      <c r="BC905" s="1">
        <f t="shared" si="194"/>
        <v>696.94743059178484</v>
      </c>
      <c r="BD905" s="1">
        <f t="shared" si="195"/>
        <v>-878.69412389866363</v>
      </c>
      <c r="BF905" s="1">
        <f t="shared" si="183"/>
        <v>-3.1969501282358843</v>
      </c>
      <c r="BG905" s="1">
        <f t="shared" si="184"/>
        <v>11.658178783103226</v>
      </c>
      <c r="BJ905" s="1">
        <f t="shared" si="185"/>
        <v>-1.039602917957259</v>
      </c>
      <c r="BK905" s="1">
        <f t="shared" si="186"/>
        <v>4.8924039243008641</v>
      </c>
      <c r="BO905" s="1">
        <f t="shared" si="187"/>
        <v>-0.5058564365527376</v>
      </c>
      <c r="BP905" s="1">
        <f t="shared" si="188"/>
        <v>1.5041208252041591</v>
      </c>
      <c r="BT905" s="1">
        <f t="shared" si="189"/>
        <v>-1.6514907737258875</v>
      </c>
      <c r="BU905" s="1">
        <f t="shared" si="190"/>
        <v>5.2616540335982034</v>
      </c>
    </row>
    <row r="906" spans="49:73">
      <c r="AW906" s="1">
        <v>896</v>
      </c>
      <c r="AX906" s="1">
        <f t="shared" si="191"/>
        <v>448</v>
      </c>
      <c r="AZ906" s="1">
        <f t="shared" si="192"/>
        <v>87550.798033175059</v>
      </c>
      <c r="BA906" s="1">
        <f t="shared" si="193"/>
        <v>-309196.01549531217</v>
      </c>
      <c r="BC906" s="1">
        <f t="shared" si="194"/>
        <v>695.34895552766693</v>
      </c>
      <c r="BD906" s="1">
        <f t="shared" si="195"/>
        <v>-872.865034507112</v>
      </c>
      <c r="BF906" s="1">
        <f t="shared" si="183"/>
        <v>-3.1946068342460805</v>
      </c>
      <c r="BG906" s="1">
        <f t="shared" si="184"/>
        <v>11.618458846446515</v>
      </c>
      <c r="BJ906" s="1">
        <f t="shared" si="185"/>
        <v>-1.0401515538657105</v>
      </c>
      <c r="BK906" s="1">
        <f t="shared" si="186"/>
        <v>4.876505714392148</v>
      </c>
      <c r="BO906" s="1">
        <f t="shared" si="187"/>
        <v>-0.50512580539367147</v>
      </c>
      <c r="BP906" s="1">
        <f t="shared" si="188"/>
        <v>1.4991441007791149</v>
      </c>
      <c r="BT906" s="1">
        <f t="shared" si="189"/>
        <v>-1.6493294749866987</v>
      </c>
      <c r="BU906" s="1">
        <f t="shared" si="190"/>
        <v>5.2428090312752511</v>
      </c>
    </row>
    <row r="907" spans="49:73">
      <c r="AW907" s="1">
        <v>897</v>
      </c>
      <c r="AX907" s="1">
        <f t="shared" si="191"/>
        <v>448.5</v>
      </c>
      <c r="AZ907" s="1">
        <f t="shared" si="192"/>
        <v>87898.07318508462</v>
      </c>
      <c r="BA907" s="1">
        <f t="shared" si="193"/>
        <v>-309630.99570520991</v>
      </c>
      <c r="BC907" s="1">
        <f t="shared" si="194"/>
        <v>693.75165211054389</v>
      </c>
      <c r="BD907" s="1">
        <f t="shared" si="195"/>
        <v>-867.0558050838888</v>
      </c>
      <c r="BF907" s="1">
        <f t="shared" ref="BF907:BF970" si="196">BJ907 + BO907 + BT907</f>
        <v>-3.1922928489218361</v>
      </c>
      <c r="BG907" s="1">
        <f t="shared" ref="BG907:BG970" si="197">BK907 + BP907 + BU907</f>
        <v>11.579143014680687</v>
      </c>
      <c r="BJ907" s="1">
        <f t="shared" ref="BJ907:BJ970" si="198">$M$22*($M$18 - AZ907)/ (SQRT(($M$18 - AZ907)^2 + ($N$18 - BA907)^2 )^2 + $M$23^2)^(3/2)</f>
        <v>-1.0406951756220983</v>
      </c>
      <c r="BK907" s="1">
        <f t="shared" ref="BK907:BK970" si="199">$M$22*($N$18 - BA907)/ (SQRT(($M$18 - AZ907)^2 + ($N$18 - BA907)^2 )^2 + $M$23^2)^(3/2)</f>
        <v>4.8607667609505096</v>
      </c>
      <c r="BO907" s="1">
        <f t="shared" ref="BO907:BO970" si="200">$M$30*($M$26 - AZ907)/ (SQRT(($M$26 - AZ907)^2 + ($N$26 - BA907)^2 )^2 + $M$31^2)^(3/2)</f>
        <v>-0.50440392278506885</v>
      </c>
      <c r="BP907" s="1">
        <f t="shared" ref="BP907:BP970" si="201">$M$30*($N$26 - BA907)/ (SQRT(($M$26 - AZ907)^2 + ($N$26 - BA907)^2 )^2 + $M$31^2)^(3/2)</f>
        <v>1.4942169337987043</v>
      </c>
      <c r="BT907" s="1">
        <f t="shared" ref="BT907:BT970" si="202">$M$38*($M$34 - AZ907)/ (SQRT(($M$34 - AZ907)^2 + ($N$34 - BA907)^2 )^2 + $M$39^2)^(3/2)</f>
        <v>-1.6471937505146685</v>
      </c>
      <c r="BU907" s="1">
        <f t="shared" ref="BU907:BU970" si="203">$M$38*($N$34 - BA907)/ (SQRT(($M$34 - AZ907)^2 + ($N$34 - BA907)^2 )^2 + $M$39^2)^(3/2)</f>
        <v>5.2241593199314735</v>
      </c>
    </row>
    <row r="908" spans="49:73">
      <c r="AW908" s="1">
        <v>898</v>
      </c>
      <c r="AX908" s="1">
        <f t="shared" ref="AX908:AX971" si="204">AX907+$M$5</f>
        <v>449</v>
      </c>
      <c r="AZ908" s="1">
        <f t="shared" ref="AZ908:AZ971" si="205">AZ907 + BC907 * $M$5 + 0.5 * BF907 * POWER($M$5, 2)</f>
        <v>88244.549974533773</v>
      </c>
      <c r="BA908" s="1">
        <f t="shared" ref="BA908:BA971" si="206">BA907+BD907*$M$5+0.5*BG907* POWER($M$5, 2)</f>
        <v>-310063.07621487504</v>
      </c>
      <c r="BC908" s="1">
        <f t="shared" ref="BC908:BC971" si="207">BC907 + BF907 * $M$5</f>
        <v>692.15550568608296</v>
      </c>
      <c r="BD908" s="1">
        <f t="shared" ref="BD908:BD971" si="208">BD907+BG907*$M$5</f>
        <v>-861.26623357654842</v>
      </c>
      <c r="BF908" s="1">
        <f t="shared" si="196"/>
        <v>-3.1900081637986997</v>
      </c>
      <c r="BG908" s="1">
        <f t="shared" si="197"/>
        <v>11.540226249745864</v>
      </c>
      <c r="BJ908" s="1">
        <f t="shared" si="198"/>
        <v>-1.0412340245030602</v>
      </c>
      <c r="BK908" s="1">
        <f t="shared" si="199"/>
        <v>4.8451851467139129</v>
      </c>
      <c r="BO908" s="1">
        <f t="shared" si="200"/>
        <v>-0.50369071323912229</v>
      </c>
      <c r="BP908" s="1">
        <f t="shared" si="201"/>
        <v>1.4893387166199665</v>
      </c>
      <c r="BT908" s="1">
        <f t="shared" si="202"/>
        <v>-1.6450834260565175</v>
      </c>
      <c r="BU908" s="1">
        <f t="shared" si="203"/>
        <v>5.2057023864119838</v>
      </c>
    </row>
    <row r="909" spans="49:73">
      <c r="AW909" s="1">
        <v>899</v>
      </c>
      <c r="AX909" s="1">
        <f t="shared" si="204"/>
        <v>449.5</v>
      </c>
      <c r="AZ909" s="1">
        <f t="shared" si="205"/>
        <v>88590.228976356346</v>
      </c>
      <c r="BA909" s="1">
        <f t="shared" si="206"/>
        <v>-310492.26680338208</v>
      </c>
      <c r="BC909" s="1">
        <f t="shared" si="207"/>
        <v>690.56050160418363</v>
      </c>
      <c r="BD909" s="1">
        <f t="shared" si="208"/>
        <v>-855.49612045167544</v>
      </c>
      <c r="BF909" s="1">
        <f t="shared" si="196"/>
        <v>-3.1877527684218974</v>
      </c>
      <c r="BG909" s="1">
        <f t="shared" si="197"/>
        <v>11.501703600253432</v>
      </c>
      <c r="BJ909" s="1">
        <f t="shared" si="198"/>
        <v>-1.0417683364367825</v>
      </c>
      <c r="BK909" s="1">
        <f t="shared" si="199"/>
        <v>4.8297589865418589</v>
      </c>
      <c r="BO909" s="1">
        <f t="shared" si="200"/>
        <v>-0.50298610245148168</v>
      </c>
      <c r="BP909" s="1">
        <f t="shared" si="201"/>
        <v>1.484508851900227</v>
      </c>
      <c r="BT909" s="1">
        <f t="shared" si="202"/>
        <v>-1.642998329533633</v>
      </c>
      <c r="BU909" s="1">
        <f t="shared" si="203"/>
        <v>5.1874357618113454</v>
      </c>
    </row>
    <row r="910" spans="49:73">
      <c r="AW910" s="1">
        <v>900</v>
      </c>
      <c r="AX910" s="1">
        <f t="shared" si="204"/>
        <v>450</v>
      </c>
      <c r="AZ910" s="1">
        <f t="shared" si="205"/>
        <v>88935.110758062394</v>
      </c>
      <c r="BA910" s="1">
        <f t="shared" si="206"/>
        <v>-310918.57715065789</v>
      </c>
      <c r="BC910" s="1">
        <f t="shared" si="207"/>
        <v>688.96662521997268</v>
      </c>
      <c r="BD910" s="1">
        <f t="shared" si="208"/>
        <v>-849.74526865154871</v>
      </c>
      <c r="BF910" s="1">
        <f t="shared" si="196"/>
        <v>-3.1855266504503255</v>
      </c>
      <c r="BG910" s="1">
        <f t="shared" si="197"/>
        <v>11.46357019968795</v>
      </c>
      <c r="BJ910" s="1">
        <f t="shared" si="198"/>
        <v>-1.0422983421457275</v>
      </c>
      <c r="BK910" s="1">
        <f t="shared" si="199"/>
        <v>4.814486426769335</v>
      </c>
      <c r="BO910" s="1">
        <f t="shared" si="200"/>
        <v>-0.50229001728115708</v>
      </c>
      <c r="BP910" s="1">
        <f t="shared" si="201"/>
        <v>1.4797267523861046</v>
      </c>
      <c r="BT910" s="1">
        <f t="shared" si="202"/>
        <v>-1.6409382910234409</v>
      </c>
      <c r="BU910" s="1">
        <f t="shared" si="203"/>
        <v>5.1693570205325114</v>
      </c>
    </row>
    <row r="911" spans="49:73">
      <c r="AW911" s="1">
        <v>901</v>
      </c>
      <c r="AX911" s="1">
        <f t="shared" si="204"/>
        <v>450.5</v>
      </c>
      <c r="AZ911" s="1">
        <f t="shared" si="205"/>
        <v>89279.195879841078</v>
      </c>
      <c r="BA911" s="1">
        <f t="shared" si="206"/>
        <v>-311342.01683870866</v>
      </c>
      <c r="BC911" s="1">
        <f t="shared" si="207"/>
        <v>687.37386189474751</v>
      </c>
      <c r="BD911" s="1">
        <f t="shared" si="208"/>
        <v>-844.01348355170478</v>
      </c>
      <c r="BF911" s="1">
        <f t="shared" si="196"/>
        <v>-3.1833297957569391</v>
      </c>
      <c r="BG911" s="1">
        <f t="shared" si="197"/>
        <v>11.425821264653901</v>
      </c>
      <c r="BJ911" s="1">
        <f t="shared" si="198"/>
        <v>-1.0428242672853334</v>
      </c>
      <c r="BK911" s="1">
        <f t="shared" si="199"/>
        <v>4.7993656445766328</v>
      </c>
      <c r="BO911" s="1">
        <f t="shared" si="200"/>
        <v>-0.50160238573081917</v>
      </c>
      <c r="BP911" s="1">
        <f t="shared" si="201"/>
        <v>1.4749918407075648</v>
      </c>
      <c r="BT911" s="1">
        <f t="shared" si="202"/>
        <v>-1.6389031427407865</v>
      </c>
      <c r="BU911" s="1">
        <f t="shared" si="203"/>
        <v>5.1514637793697036</v>
      </c>
    </row>
    <row r="912" spans="49:73">
      <c r="AW912" s="1">
        <v>902</v>
      </c>
      <c r="AX912" s="1">
        <f t="shared" si="204"/>
        <v>451</v>
      </c>
      <c r="AZ912" s="1">
        <f t="shared" si="205"/>
        <v>89622.484894563982</v>
      </c>
      <c r="BA912" s="1">
        <f t="shared" si="206"/>
        <v>-311762.59535282641</v>
      </c>
      <c r="BC912" s="1">
        <f t="shared" si="207"/>
        <v>685.78219699686906</v>
      </c>
      <c r="BD912" s="1">
        <f t="shared" si="208"/>
        <v>-838.30057291937783</v>
      </c>
      <c r="BF912" s="1">
        <f t="shared" si="196"/>
        <v>-3.1811621885255961</v>
      </c>
      <c r="BG912" s="1">
        <f t="shared" si="197"/>
        <v>11.388452093165704</v>
      </c>
      <c r="BJ912" s="1">
        <f t="shared" si="198"/>
        <v>-1.0433463325786994</v>
      </c>
      <c r="BK912" s="1">
        <f t="shared" si="199"/>
        <v>4.7843948473740383</v>
      </c>
      <c r="BO912" s="1">
        <f t="shared" si="200"/>
        <v>-0.50092313692755697</v>
      </c>
      <c r="BP912" s="1">
        <f t="shared" si="201"/>
        <v>1.4703035491770955</v>
      </c>
      <c r="BT912" s="1">
        <f t="shared" si="202"/>
        <v>-1.6368927190193396</v>
      </c>
      <c r="BU912" s="1">
        <f t="shared" si="203"/>
        <v>5.1337536966145692</v>
      </c>
    </row>
    <row r="913" spans="49:73">
      <c r="AW913" s="1">
        <v>903</v>
      </c>
      <c r="AX913" s="1">
        <f t="shared" si="204"/>
        <v>451.5</v>
      </c>
      <c r="AZ913" s="1">
        <f t="shared" si="205"/>
        <v>89964.978347788856</v>
      </c>
      <c r="BA913" s="1">
        <f t="shared" si="206"/>
        <v>-312180.32208277448</v>
      </c>
      <c r="BC913" s="1">
        <f t="shared" si="207"/>
        <v>684.19161590260626</v>
      </c>
      <c r="BD913" s="1">
        <f t="shared" si="208"/>
        <v>-832.60634687279503</v>
      </c>
      <c r="BF913" s="1">
        <f t="shared" si="196"/>
        <v>-3.1790238113443885</v>
      </c>
      <c r="BG913" s="1">
        <f t="shared" si="197"/>
        <v>11.351458062979454</v>
      </c>
      <c r="BJ913" s="1">
        <f t="shared" si="198"/>
        <v>-1.0438647539474324</v>
      </c>
      <c r="BK913" s="1">
        <f t="shared" si="199"/>
        <v>4.7695722722012039</v>
      </c>
      <c r="BO913" s="1">
        <f t="shared" si="200"/>
        <v>-0.50025220110403901</v>
      </c>
      <c r="BP913" s="1">
        <f t="shared" si="201"/>
        <v>1.46566131959373</v>
      </c>
      <c r="BT913" s="1">
        <f t="shared" si="202"/>
        <v>-1.634906856292917</v>
      </c>
      <c r="BU913" s="1">
        <f t="shared" si="203"/>
        <v>5.1162244711845188</v>
      </c>
    </row>
    <row r="914" spans="49:73">
      <c r="AW914" s="1">
        <v>904</v>
      </c>
      <c r="AX914" s="1">
        <f t="shared" si="204"/>
        <v>452</v>
      </c>
      <c r="AZ914" s="1">
        <f t="shared" si="205"/>
        <v>90306.676777763743</v>
      </c>
      <c r="BA914" s="1">
        <f t="shared" si="206"/>
        <v>-312595.206323953</v>
      </c>
      <c r="BC914" s="1">
        <f t="shared" si="207"/>
        <v>682.60210399693403</v>
      </c>
      <c r="BD914" s="1">
        <f t="shared" si="208"/>
        <v>-826.93061784130532</v>
      </c>
      <c r="BF914" s="1">
        <f t="shared" si="196"/>
        <v>-3.1769146452957129</v>
      </c>
      <c r="BG914" s="1">
        <f t="shared" si="197"/>
        <v>11.314834629965677</v>
      </c>
      <c r="BJ914" s="1">
        <f t="shared" si="198"/>
        <v>-1.0443797426388017</v>
      </c>
      <c r="BK914" s="1">
        <f t="shared" si="199"/>
        <v>4.7548961851409146</v>
      </c>
      <c r="BO914" s="1">
        <f t="shared" si="200"/>
        <v>-0.49958950958004911</v>
      </c>
      <c r="BP914" s="1">
        <f t="shared" si="201"/>
        <v>1.461064603051726</v>
      </c>
      <c r="BT914" s="1">
        <f t="shared" si="202"/>
        <v>-1.6329453930768623</v>
      </c>
      <c r="BU914" s="1">
        <f t="shared" si="203"/>
        <v>5.0988738417730373</v>
      </c>
    </row>
    <row r="915" spans="49:73">
      <c r="AW915" s="1">
        <v>905</v>
      </c>
      <c r="AX915" s="1">
        <f t="shared" si="204"/>
        <v>452.5</v>
      </c>
      <c r="AZ915" s="1">
        <f t="shared" si="205"/>
        <v>90647.580715431555</v>
      </c>
      <c r="BA915" s="1">
        <f t="shared" si="206"/>
        <v>-313007.25727854489</v>
      </c>
      <c r="BC915" s="1">
        <f t="shared" si="207"/>
        <v>681.01364667428618</v>
      </c>
      <c r="BD915" s="1">
        <f t="shared" si="208"/>
        <v>-821.27320052632251</v>
      </c>
      <c r="BF915" s="1">
        <f t="shared" si="196"/>
        <v>-3.1748346700432419</v>
      </c>
      <c r="BG915" s="1">
        <f t="shared" si="197"/>
        <v>11.278577326521996</v>
      </c>
      <c r="BJ915" s="1">
        <f t="shared" si="198"/>
        <v>-1.0448915053492898</v>
      </c>
      <c r="BK915" s="1">
        <f t="shared" si="199"/>
        <v>4.7403648807467178</v>
      </c>
      <c r="BO915" s="1">
        <f t="shared" si="200"/>
        <v>-0.4989349947444775</v>
      </c>
      <c r="BP915" s="1">
        <f t="shared" si="201"/>
        <v>1.4565128597540373</v>
      </c>
      <c r="BT915" s="1">
        <f t="shared" si="202"/>
        <v>-1.6310081699494747</v>
      </c>
      <c r="BU915" s="1">
        <f t="shared" si="203"/>
        <v>5.0816995860212408</v>
      </c>
    </row>
    <row r="916" spans="49:73">
      <c r="AW916" s="1">
        <v>906</v>
      </c>
      <c r="AX916" s="1">
        <f t="shared" si="204"/>
        <v>453</v>
      </c>
      <c r="AZ916" s="1">
        <f t="shared" si="205"/>
        <v>90987.690684434943</v>
      </c>
      <c r="BA916" s="1">
        <f t="shared" si="206"/>
        <v>-313416.48405664228</v>
      </c>
      <c r="BC916" s="1">
        <f t="shared" si="207"/>
        <v>679.42622933926452</v>
      </c>
      <c r="BD916" s="1">
        <f t="shared" si="208"/>
        <v>-815.63391186306148</v>
      </c>
      <c r="BF916" s="1">
        <f t="shared" si="196"/>
        <v>-3.1727838639156891</v>
      </c>
      <c r="BG916" s="1">
        <f t="shared" si="197"/>
        <v>11.242681760023874</v>
      </c>
      <c r="BJ916" s="1">
        <f t="shared" si="198"/>
        <v>-1.0454002443446304</v>
      </c>
      <c r="BK916" s="1">
        <f t="shared" si="199"/>
        <v>4.7259766814839308</v>
      </c>
      <c r="BO916" s="1">
        <f t="shared" si="200"/>
        <v>-0.49828859003763781</v>
      </c>
      <c r="BP916" s="1">
        <f t="shared" si="201"/>
        <v>1.4520055588300929</v>
      </c>
      <c r="BT916" s="1">
        <f t="shared" si="202"/>
        <v>-1.6290950295334208</v>
      </c>
      <c r="BU916" s="1">
        <f t="shared" si="203"/>
        <v>5.0646995197098503</v>
      </c>
    </row>
    <row r="917" spans="49:73">
      <c r="AW917" s="1">
        <v>907</v>
      </c>
      <c r="AX917" s="1">
        <f t="shared" si="204"/>
        <v>453.5</v>
      </c>
      <c r="AZ917" s="1">
        <f t="shared" si="205"/>
        <v>91327.007201121582</v>
      </c>
      <c r="BA917" s="1">
        <f t="shared" si="206"/>
        <v>-313822.89567735384</v>
      </c>
      <c r="BC917" s="1">
        <f t="shared" si="207"/>
        <v>677.83983740730673</v>
      </c>
      <c r="BD917" s="1">
        <f t="shared" si="208"/>
        <v>-810.0125709830495</v>
      </c>
      <c r="BF917" s="1">
        <f t="shared" si="196"/>
        <v>-3.1707622039877368</v>
      </c>
      <c r="BG917" s="1">
        <f t="shared" si="197"/>
        <v>11.207143611313231</v>
      </c>
      <c r="BJ917" s="1">
        <f t="shared" si="198"/>
        <v>-1.0459061575765112</v>
      </c>
      <c r="BK917" s="1">
        <f t="shared" si="199"/>
        <v>4.7117299371839438</v>
      </c>
      <c r="BO917" s="1">
        <f t="shared" si="200"/>
        <v>-0.49765022993399222</v>
      </c>
      <c r="BP917" s="1">
        <f t="shared" si="201"/>
        <v>1.4475421781580307</v>
      </c>
      <c r="BT917" s="1">
        <f t="shared" si="202"/>
        <v>-1.6272058164772332</v>
      </c>
      <c r="BU917" s="1">
        <f t="shared" si="203"/>
        <v>5.0478714959712567</v>
      </c>
    </row>
    <row r="918" spans="49:73">
      <c r="AW918" s="1">
        <v>908</v>
      </c>
      <c r="AX918" s="1">
        <f t="shared" si="204"/>
        <v>454</v>
      </c>
      <c r="AZ918" s="1">
        <f t="shared" si="205"/>
        <v>91665.530774549741</v>
      </c>
      <c r="BA918" s="1">
        <f t="shared" si="206"/>
        <v>-314226.50106989394</v>
      </c>
      <c r="BC918" s="1">
        <f t="shared" si="207"/>
        <v>676.25445630531283</v>
      </c>
      <c r="BD918" s="1">
        <f t="shared" si="208"/>
        <v>-804.40899917739284</v>
      </c>
      <c r="BF918" s="1">
        <f t="shared" si="196"/>
        <v>-3.1687696661580604</v>
      </c>
      <c r="BG918" s="1">
        <f t="shared" si="197"/>
        <v>11.171958633223323</v>
      </c>
      <c r="BJ918" s="1">
        <f t="shared" si="198"/>
        <v>-1.0464094387959815</v>
      </c>
      <c r="BK918" s="1">
        <f t="shared" si="199"/>
        <v>4.6976230245112225</v>
      </c>
      <c r="BO918" s="1">
        <f t="shared" si="200"/>
        <v>-0.49701984992525017</v>
      </c>
      <c r="BP918" s="1">
        <f t="shared" si="201"/>
        <v>1.4431222041911924</v>
      </c>
      <c r="BT918" s="1">
        <f t="shared" si="202"/>
        <v>-1.6253403774368287</v>
      </c>
      <c r="BU918" s="1">
        <f t="shared" si="203"/>
        <v>5.0312134045209076</v>
      </c>
    </row>
    <row r="919" spans="49:73">
      <c r="AW919" s="1">
        <v>909</v>
      </c>
      <c r="AX919" s="1">
        <f t="shared" si="204"/>
        <v>454.5</v>
      </c>
      <c r="AZ919" s="1">
        <f t="shared" si="205"/>
        <v>92003.261906494139</v>
      </c>
      <c r="BA919" s="1">
        <f t="shared" si="206"/>
        <v>-314627.30907465349</v>
      </c>
      <c r="BC919" s="1">
        <f t="shared" si="207"/>
        <v>674.67007147223376</v>
      </c>
      <c r="BD919" s="1">
        <f t="shared" si="208"/>
        <v>-798.82301986078119</v>
      </c>
      <c r="BF919" s="1">
        <f t="shared" si="196"/>
        <v>-3.1668062252246525</v>
      </c>
      <c r="BG919" s="1">
        <f t="shared" si="197"/>
        <v>11.13712264913914</v>
      </c>
      <c r="BJ919" s="1">
        <f t="shared" si="198"/>
        <v>-1.0469102776637094</v>
      </c>
      <c r="BK919" s="1">
        <f t="shared" si="199"/>
        <v>4.6836543464427791</v>
      </c>
      <c r="BO919" s="1">
        <f t="shared" si="200"/>
        <v>-0.49639738650378767</v>
      </c>
      <c r="BP919" s="1">
        <f t="shared" si="201"/>
        <v>1.4387451317886295</v>
      </c>
      <c r="BT919" s="1">
        <f t="shared" si="202"/>
        <v>-1.6234985610571555</v>
      </c>
      <c r="BU919" s="1">
        <f t="shared" si="203"/>
        <v>5.0147231709077325</v>
      </c>
    </row>
    <row r="920" spans="49:73">
      <c r="AW920" s="1">
        <v>910</v>
      </c>
      <c r="AX920" s="1">
        <f t="shared" si="204"/>
        <v>455</v>
      </c>
      <c r="AZ920" s="1">
        <f t="shared" si="205"/>
        <v>92340.201091452109</v>
      </c>
      <c r="BA920" s="1">
        <f t="shared" si="206"/>
        <v>-315025.32844425272</v>
      </c>
      <c r="BC920" s="1">
        <f t="shared" si="207"/>
        <v>673.0866683596214</v>
      </c>
      <c r="BD920" s="1">
        <f t="shared" si="208"/>
        <v>-793.25445853621159</v>
      </c>
      <c r="BF920" s="1">
        <f t="shared" si="196"/>
        <v>-3.1648718549574988</v>
      </c>
      <c r="BG920" s="1">
        <f t="shared" si="197"/>
        <v>11.102631551592243</v>
      </c>
      <c r="BJ920" s="1">
        <f t="shared" si="198"/>
        <v>-1.0474088598571656</v>
      </c>
      <c r="BK920" s="1">
        <f t="shared" si="199"/>
        <v>4.6698223317597298</v>
      </c>
      <c r="BO920" s="1">
        <f t="shared" si="200"/>
        <v>-0.49578277714645302</v>
      </c>
      <c r="BP920" s="1">
        <f t="shared" si="201"/>
        <v>1.4344104640497286</v>
      </c>
      <c r="BT920" s="1">
        <f t="shared" si="202"/>
        <v>-1.6216802179538803</v>
      </c>
      <c r="BU920" s="1">
        <f t="shared" si="203"/>
        <v>4.9983987557827847</v>
      </c>
    </row>
    <row r="921" spans="49:73">
      <c r="AW921" s="1">
        <v>911</v>
      </c>
      <c r="AX921" s="1">
        <f t="shared" si="204"/>
        <v>455.5</v>
      </c>
      <c r="AZ921" s="1">
        <f t="shared" si="205"/>
        <v>92676.348816650047</v>
      </c>
      <c r="BA921" s="1">
        <f t="shared" si="206"/>
        <v>-315420.56784457684</v>
      </c>
      <c r="BC921" s="1">
        <f t="shared" si="207"/>
        <v>671.50423243214266</v>
      </c>
      <c r="BD921" s="1">
        <f t="shared" si="208"/>
        <v>-787.70314276041552</v>
      </c>
      <c r="BF921" s="1">
        <f t="shared" si="196"/>
        <v>-3.1629665281686674</v>
      </c>
      <c r="BG921" s="1">
        <f t="shared" si="197"/>
        <v>11.068481300888962</v>
      </c>
      <c r="BJ921" s="1">
        <f t="shared" si="198"/>
        <v>-1.0479053671748479</v>
      </c>
      <c r="BK921" s="1">
        <f t="shared" si="199"/>
        <v>4.656125434550682</v>
      </c>
      <c r="BO921" s="1">
        <f t="shared" si="200"/>
        <v>-0.49517596029870714</v>
      </c>
      <c r="BP921" s="1">
        <f t="shared" si="201"/>
        <v>1.4301177121527155</v>
      </c>
      <c r="BT921" s="1">
        <f t="shared" si="202"/>
        <v>-1.6198852006951123</v>
      </c>
      <c r="BU921" s="1">
        <f t="shared" si="203"/>
        <v>4.9822381541855654</v>
      </c>
    </row>
    <row r="922" spans="49:73">
      <c r="AW922" s="1">
        <v>912</v>
      </c>
      <c r="AX922" s="1">
        <f t="shared" si="204"/>
        <v>456</v>
      </c>
      <c r="AZ922" s="1">
        <f t="shared" si="205"/>
        <v>93011.705562050091</v>
      </c>
      <c r="BA922" s="1">
        <f t="shared" si="206"/>
        <v>-315813.03585579444</v>
      </c>
      <c r="BC922" s="1">
        <f t="shared" si="207"/>
        <v>669.92274916805832</v>
      </c>
      <c r="BD922" s="1">
        <f t="shared" si="208"/>
        <v>-782.16890210997099</v>
      </c>
      <c r="BF922" s="1">
        <f t="shared" si="196"/>
        <v>-3.1610902167800532</v>
      </c>
      <c r="BG922" s="1">
        <f t="shared" si="197"/>
        <v>11.03466792377151</v>
      </c>
      <c r="BJ922" s="1">
        <f t="shared" si="198"/>
        <v>-1.0483999776376114</v>
      </c>
      <c r="BK922" s="1">
        <f t="shared" si="199"/>
        <v>4.6425621337265124</v>
      </c>
      <c r="BO922" s="1">
        <f t="shared" si="200"/>
        <v>-0.49457687535907879</v>
      </c>
      <c r="BP922" s="1">
        <f t="shared" si="201"/>
        <v>1.4258663951969044</v>
      </c>
      <c r="BT922" s="1">
        <f t="shared" si="202"/>
        <v>-1.6181133637833633</v>
      </c>
      <c r="BU922" s="1">
        <f t="shared" si="203"/>
        <v>4.9662393948480927</v>
      </c>
    </row>
    <row r="923" spans="49:73">
      <c r="AW923" s="1">
        <v>913</v>
      </c>
      <c r="AX923" s="1">
        <f t="shared" si="204"/>
        <v>456.5</v>
      </c>
      <c r="AZ923" s="1">
        <f t="shared" si="205"/>
        <v>93346.271800357019</v>
      </c>
      <c r="BA923" s="1">
        <f t="shared" si="206"/>
        <v>-316202.74097335897</v>
      </c>
      <c r="BC923" s="1">
        <f t="shared" si="207"/>
        <v>668.34220405966835</v>
      </c>
      <c r="BD923" s="1">
        <f t="shared" si="208"/>
        <v>-776.65156814808518</v>
      </c>
      <c r="BF923" s="1">
        <f t="shared" si="196"/>
        <v>-3.1592428918886402</v>
      </c>
      <c r="BG923" s="1">
        <f t="shared" si="197"/>
        <v>11.001187512110427</v>
      </c>
      <c r="BJ923" s="1">
        <f t="shared" si="198"/>
        <v>-1.0488928655872654</v>
      </c>
      <c r="BK923" s="1">
        <f t="shared" si="199"/>
        <v>4.6291309325465413</v>
      </c>
      <c r="BO923" s="1">
        <f t="shared" si="200"/>
        <v>-0.49398546266395765</v>
      </c>
      <c r="BP923" s="1">
        <f t="shared" si="201"/>
        <v>1.4216560400486706</v>
      </c>
      <c r="BT923" s="1">
        <f t="shared" si="202"/>
        <v>-1.6163645636374173</v>
      </c>
      <c r="BU923" s="1">
        <f t="shared" si="203"/>
        <v>4.9504005395152149</v>
      </c>
    </row>
    <row r="924" spans="49:73">
      <c r="AW924" s="1">
        <v>914</v>
      </c>
      <c r="AX924" s="1">
        <f t="shared" si="204"/>
        <v>457</v>
      </c>
      <c r="AZ924" s="1">
        <f t="shared" si="205"/>
        <v>93680.047997025365</v>
      </c>
      <c r="BA924" s="1">
        <f t="shared" si="206"/>
        <v>-316589.69160899398</v>
      </c>
      <c r="BC924" s="1">
        <f t="shared" si="207"/>
        <v>666.76258261372402</v>
      </c>
      <c r="BD924" s="1">
        <f t="shared" si="208"/>
        <v>-771.15097439202998</v>
      </c>
      <c r="BF924" s="1">
        <f t="shared" si="196"/>
        <v>-3.1574245238295529</v>
      </c>
      <c r="BG924" s="1">
        <f t="shared" si="197"/>
        <v>10.968036221627987</v>
      </c>
      <c r="BJ924" s="1">
        <f t="shared" si="198"/>
        <v>-1.0493842017823576</v>
      </c>
      <c r="BK924" s="1">
        <f t="shared" si="199"/>
        <v>4.615830358155101</v>
      </c>
      <c r="BO924" s="1">
        <f t="shared" si="200"/>
        <v>-0.49340166347271208</v>
      </c>
      <c r="BP924" s="1">
        <f t="shared" si="201"/>
        <v>1.4174861811910406</v>
      </c>
      <c r="BT924" s="1">
        <f t="shared" si="202"/>
        <v>-1.6146386585744834</v>
      </c>
      <c r="BU924" s="1">
        <f t="shared" si="203"/>
        <v>4.9347196822818447</v>
      </c>
    </row>
    <row r="925" spans="49:73">
      <c r="AW925" s="1">
        <v>915</v>
      </c>
      <c r="AX925" s="1">
        <f t="shared" si="204"/>
        <v>457.5</v>
      </c>
      <c r="AZ925" s="1">
        <f t="shared" si="205"/>
        <v>94013.034610266754</v>
      </c>
      <c r="BA925" s="1">
        <f t="shared" si="206"/>
        <v>-316973.89609166229</v>
      </c>
      <c r="BC925" s="1">
        <f t="shared" si="207"/>
        <v>665.18387035180922</v>
      </c>
      <c r="BD925" s="1">
        <f t="shared" si="208"/>
        <v>-765.66695628121602</v>
      </c>
      <c r="BF925" s="1">
        <f t="shared" si="196"/>
        <v>-3.1556350822369206</v>
      </c>
      <c r="BG925" s="1">
        <f t="shared" si="197"/>
        <v>10.935210270651698</v>
      </c>
      <c r="BJ925" s="1">
        <f t="shared" si="198"/>
        <v>-1.0498741534914651</v>
      </c>
      <c r="BK925" s="1">
        <f t="shared" si="199"/>
        <v>4.6026589611292223</v>
      </c>
      <c r="BO925" s="1">
        <f t="shared" si="200"/>
        <v>-0.4928254199531093</v>
      </c>
      <c r="BP925" s="1">
        <f t="shared" si="201"/>
        <v>1.4133563605767512</v>
      </c>
      <c r="BT925" s="1">
        <f t="shared" si="202"/>
        <v>-1.6129355087923465</v>
      </c>
      <c r="BU925" s="1">
        <f t="shared" si="203"/>
        <v>4.9191949489457256</v>
      </c>
    </row>
    <row r="926" spans="49:73">
      <c r="AW926" s="1">
        <v>916</v>
      </c>
      <c r="AX926" s="1">
        <f t="shared" si="204"/>
        <v>458</v>
      </c>
      <c r="AZ926" s="1">
        <f t="shared" si="205"/>
        <v>94345.232091057376</v>
      </c>
      <c r="BA926" s="1">
        <f t="shared" si="206"/>
        <v>-317355.36266851902</v>
      </c>
      <c r="BC926" s="1">
        <f t="shared" si="207"/>
        <v>663.60605281069081</v>
      </c>
      <c r="BD926" s="1">
        <f t="shared" si="208"/>
        <v>-760.1993511458902</v>
      </c>
      <c r="BF926" s="1">
        <f t="shared" si="196"/>
        <v>-3.1538745361026583</v>
      </c>
      <c r="BG926" s="1">
        <f t="shared" si="197"/>
        <v>10.902705938897055</v>
      </c>
      <c r="BJ926" s="1">
        <f t="shared" si="198"/>
        <v>-1.0503628845838779</v>
      </c>
      <c r="BK926" s="1">
        <f t="shared" si="199"/>
        <v>4.5896153150363315</v>
      </c>
      <c r="BO926" s="1">
        <f t="shared" si="200"/>
        <v>-0.49225667516702476</v>
      </c>
      <c r="BP926" s="1">
        <f t="shared" si="201"/>
        <v>1.4092661274846745</v>
      </c>
      <c r="BT926" s="1">
        <f t="shared" si="202"/>
        <v>-1.6112549763517556</v>
      </c>
      <c r="BU926" s="1">
        <f t="shared" si="203"/>
        <v>4.9038244963760498</v>
      </c>
    </row>
    <row r="927" spans="49:73">
      <c r="AW927" s="1">
        <v>917</v>
      </c>
      <c r="AX927" s="1">
        <f t="shared" si="204"/>
        <v>458.5</v>
      </c>
      <c r="AZ927" s="1">
        <f t="shared" si="205"/>
        <v>94676.640883145723</v>
      </c>
      <c r="BA927" s="1">
        <f t="shared" si="206"/>
        <v>-317734.09950584959</v>
      </c>
      <c r="BC927" s="1">
        <f t="shared" si="207"/>
        <v>662.02911554263949</v>
      </c>
      <c r="BD927" s="1">
        <f t="shared" si="208"/>
        <v>-754.74799817644168</v>
      </c>
      <c r="BF927" s="1">
        <f t="shared" si="196"/>
        <v>-3.1521428538330429</v>
      </c>
      <c r="BG927" s="1">
        <f t="shared" si="197"/>
        <v>10.870519566278112</v>
      </c>
      <c r="BJ927" s="1">
        <f t="shared" si="198"/>
        <v>-1.0508505556178227</v>
      </c>
      <c r="BK927" s="1">
        <f t="shared" si="199"/>
        <v>4.5766980160019646</v>
      </c>
      <c r="BO927" s="1">
        <f t="shared" si="200"/>
        <v>-0.49169537305648464</v>
      </c>
      <c r="BP927" s="1">
        <f t="shared" si="201"/>
        <v>1.4052150383796569</v>
      </c>
      <c r="BT927" s="1">
        <f t="shared" si="202"/>
        <v>-1.6095969251587359</v>
      </c>
      <c r="BU927" s="1">
        <f t="shared" si="203"/>
        <v>4.8886065118964916</v>
      </c>
    </row>
    <row r="928" spans="49:73">
      <c r="AW928" s="1">
        <v>918</v>
      </c>
      <c r="AX928" s="1">
        <f t="shared" si="204"/>
        <v>459</v>
      </c>
      <c r="AZ928" s="1">
        <f t="shared" si="205"/>
        <v>95007.261423060321</v>
      </c>
      <c r="BA928" s="1">
        <f t="shared" si="206"/>
        <v>-318110.11468999204</v>
      </c>
      <c r="BC928" s="1">
        <f t="shared" si="207"/>
        <v>660.45304411572295</v>
      </c>
      <c r="BD928" s="1">
        <f t="shared" si="208"/>
        <v>-749.31273839330265</v>
      </c>
      <c r="BF928" s="1">
        <f t="shared" si="196"/>
        <v>-3.150440003303602</v>
      </c>
      <c r="BG928" s="1">
        <f t="shared" si="197"/>
        <v>10.838647551746675</v>
      </c>
      <c r="BJ928" s="1">
        <f t="shared" si="198"/>
        <v>-1.0513373239263646</v>
      </c>
      <c r="BK928" s="1">
        <f t="shared" si="199"/>
        <v>4.5639056822875519</v>
      </c>
      <c r="BO928" s="1">
        <f t="shared" si="200"/>
        <v>-0.49114145842996237</v>
      </c>
      <c r="BP928" s="1">
        <f t="shared" si="201"/>
        <v>1.4012026567754854</v>
      </c>
      <c r="BT928" s="1">
        <f t="shared" si="202"/>
        <v>-1.6079612209472751</v>
      </c>
      <c r="BU928" s="1">
        <f t="shared" si="203"/>
        <v>4.8735392126836388</v>
      </c>
    </row>
    <row r="929" spans="49:73">
      <c r="AW929" s="1">
        <v>919</v>
      </c>
      <c r="AX929" s="1">
        <f t="shared" si="204"/>
        <v>459.5</v>
      </c>
      <c r="AZ929" s="1">
        <f t="shared" si="205"/>
        <v>95337.09414011777</v>
      </c>
      <c r="BA929" s="1">
        <f t="shared" si="206"/>
        <v>-318483.41622824472</v>
      </c>
      <c r="BC929" s="1">
        <f t="shared" si="207"/>
        <v>658.87782411407113</v>
      </c>
      <c r="BD929" s="1">
        <f t="shared" si="208"/>
        <v>-743.89341461742936</v>
      </c>
      <c r="BF929" s="1">
        <f t="shared" si="196"/>
        <v>-3.1487659519118583</v>
      </c>
      <c r="BG929" s="1">
        <f t="shared" si="197"/>
        <v>10.807086352157413</v>
      </c>
      <c r="BJ929" s="1">
        <f t="shared" si="198"/>
        <v>-1.0518233437008833</v>
      </c>
      <c r="BK929" s="1">
        <f t="shared" si="199"/>
        <v>4.5512369538771953</v>
      </c>
      <c r="BO929" s="1">
        <f t="shared" si="200"/>
        <v>-0.49059487694896581</v>
      </c>
      <c r="BP929" s="1">
        <f t="shared" si="201"/>
        <v>1.3972285531010091</v>
      </c>
      <c r="BT929" s="1">
        <f t="shared" si="202"/>
        <v>-1.6063477312620091</v>
      </c>
      <c r="BU929" s="1">
        <f t="shared" si="203"/>
        <v>4.8586208451792086</v>
      </c>
    </row>
    <row r="930" spans="49:73">
      <c r="AW930" s="1">
        <v>920</v>
      </c>
      <c r="AX930" s="1">
        <f t="shared" si="204"/>
        <v>460</v>
      </c>
      <c r="AZ930" s="1">
        <f t="shared" si="205"/>
        <v>95666.139456430828</v>
      </c>
      <c r="BA930" s="1">
        <f t="shared" si="206"/>
        <v>-318854.01204975939</v>
      </c>
      <c r="BC930" s="1">
        <f t="shared" si="207"/>
        <v>657.3034411381152</v>
      </c>
      <c r="BD930" s="1">
        <f t="shared" si="208"/>
        <v>-738.4898714413506</v>
      </c>
      <c r="BF930" s="1">
        <f t="shared" si="196"/>
        <v>-3.1471206666283358</v>
      </c>
      <c r="BG930" s="1">
        <f t="shared" si="197"/>
        <v>10.775832481159629</v>
      </c>
      <c r="BJ930" s="1">
        <f t="shared" si="198"/>
        <v>-1.0523087660724302</v>
      </c>
      <c r="BK930" s="1">
        <f t="shared" si="199"/>
        <v>4.5386904920742817</v>
      </c>
      <c r="BO930" s="1">
        <f t="shared" si="200"/>
        <v>-0.49005557511490966</v>
      </c>
      <c r="BP930" s="1">
        <f t="shared" si="201"/>
        <v>1.3932923045693495</v>
      </c>
      <c r="BT930" s="1">
        <f t="shared" si="202"/>
        <v>-1.604756325440996</v>
      </c>
      <c r="BU930" s="1">
        <f t="shared" si="203"/>
        <v>4.8438496845159991</v>
      </c>
    </row>
    <row r="931" spans="49:73">
      <c r="AW931" s="1">
        <v>921</v>
      </c>
      <c r="AX931" s="1">
        <f t="shared" si="204"/>
        <v>460.5</v>
      </c>
      <c r="AZ931" s="1">
        <f t="shared" si="205"/>
        <v>95994.397786916568</v>
      </c>
      <c r="BA931" s="1">
        <f t="shared" si="206"/>
        <v>-319221.91000641993</v>
      </c>
      <c r="BC931" s="1">
        <f t="shared" si="207"/>
        <v>655.72988080480104</v>
      </c>
      <c r="BD931" s="1">
        <f t="shared" si="208"/>
        <v>-733.10195520077082</v>
      </c>
      <c r="BF931" s="1">
        <f t="shared" si="196"/>
        <v>-3.1455041140459605</v>
      </c>
      <c r="BG931" s="1">
        <f t="shared" si="197"/>
        <v>10.744882508114882</v>
      </c>
      <c r="BJ931" s="1">
        <f t="shared" si="198"/>
        <v>-1.0527937391908646</v>
      </c>
      <c r="BK931" s="1">
        <f t="shared" si="199"/>
        <v>4.5262649791069078</v>
      </c>
      <c r="BO931" s="1">
        <f t="shared" si="200"/>
        <v>-0.48952350025626312</v>
      </c>
      <c r="BP931" s="1">
        <f t="shared" si="201"/>
        <v>1.3893934950500959</v>
      </c>
      <c r="BT931" s="1">
        <f t="shared" si="202"/>
        <v>-1.6031868745988329</v>
      </c>
      <c r="BU931" s="1">
        <f t="shared" si="203"/>
        <v>4.8292240339578782</v>
      </c>
    </row>
    <row r="932" spans="49:73">
      <c r="AW932" s="1">
        <v>922</v>
      </c>
      <c r="AX932" s="1">
        <f t="shared" si="204"/>
        <v>461</v>
      </c>
      <c r="AZ932" s="1">
        <f t="shared" si="205"/>
        <v>96321.869539304709</v>
      </c>
      <c r="BA932" s="1">
        <f t="shared" si="206"/>
        <v>-319587.1178737068</v>
      </c>
      <c r="BC932" s="1">
        <f t="shared" si="207"/>
        <v>654.15712874777807</v>
      </c>
      <c r="BD932" s="1">
        <f t="shared" si="208"/>
        <v>-727.72951394671338</v>
      </c>
      <c r="BF932" s="1">
        <f t="shared" si="196"/>
        <v>-3.1439162604274618</v>
      </c>
      <c r="BG932" s="1">
        <f t="shared" si="197"/>
        <v>10.714233057038427</v>
      </c>
      <c r="BJ932" s="1">
        <f t="shared" si="198"/>
        <v>-1.053278408301823</v>
      </c>
      <c r="BK932" s="1">
        <f t="shared" si="199"/>
        <v>4.5139591177418517</v>
      </c>
      <c r="BO932" s="1">
        <f t="shared" si="200"/>
        <v>-0.4889986005159348</v>
      </c>
      <c r="BP932" s="1">
        <f t="shared" si="201"/>
        <v>1.3855317149443267</v>
      </c>
      <c r="BT932" s="1">
        <f t="shared" si="202"/>
        <v>-1.6016392516097042</v>
      </c>
      <c r="BU932" s="1">
        <f t="shared" si="203"/>
        <v>4.8147422243522504</v>
      </c>
    </row>
    <row r="933" spans="49:73">
      <c r="AW933" s="1">
        <v>923</v>
      </c>
      <c r="AX933" s="1">
        <f t="shared" si="204"/>
        <v>461.5</v>
      </c>
      <c r="AZ933" s="1">
        <f t="shared" si="205"/>
        <v>96648.555114146046</v>
      </c>
      <c r="BA933" s="1">
        <f t="shared" si="206"/>
        <v>-319949.643351548</v>
      </c>
      <c r="BC933" s="1">
        <f t="shared" si="207"/>
        <v>652.58517061756436</v>
      </c>
      <c r="BD933" s="1">
        <f t="shared" si="208"/>
        <v>-722.37239741819417</v>
      </c>
      <c r="BF933" s="1">
        <f t="shared" si="196"/>
        <v>-3.1423570717514266</v>
      </c>
      <c r="BG933" s="1">
        <f t="shared" si="197"/>
        <v>10.683880805565883</v>
      </c>
      <c r="BJ933" s="1">
        <f t="shared" si="198"/>
        <v>-1.0537629158217765</v>
      </c>
      <c r="BK933" s="1">
        <f t="shared" si="199"/>
        <v>4.5017716309077009</v>
      </c>
      <c r="BO933" s="1">
        <f t="shared" si="200"/>
        <v>-0.48848082483893945</v>
      </c>
      <c r="BP933" s="1">
        <f t="shared" si="201"/>
        <v>1.3817065610625157</v>
      </c>
      <c r="BT933" s="1">
        <f t="shared" si="202"/>
        <v>-1.600113331090711</v>
      </c>
      <c r="BU933" s="1">
        <f t="shared" si="203"/>
        <v>4.8004026135956659</v>
      </c>
    </row>
    <row r="934" spans="49:73">
      <c r="AW934" s="1">
        <v>924</v>
      </c>
      <c r="AX934" s="1">
        <f t="shared" si="204"/>
        <v>462</v>
      </c>
      <c r="AZ934" s="1">
        <f t="shared" si="205"/>
        <v>96974.454904820857</v>
      </c>
      <c r="BA934" s="1">
        <f t="shared" si="206"/>
        <v>-320309.49406515644</v>
      </c>
      <c r="BC934" s="1">
        <f t="shared" si="207"/>
        <v>651.01399208168868</v>
      </c>
      <c r="BD934" s="1">
        <f t="shared" si="208"/>
        <v>-717.03045701541123</v>
      </c>
      <c r="BF934" s="1">
        <f t="shared" si="196"/>
        <v>-3.1408265137565703</v>
      </c>
      <c r="BG934" s="1">
        <f t="shared" si="197"/>
        <v>10.653822483942523</v>
      </c>
      <c r="BJ934" s="1">
        <f t="shared" si="198"/>
        <v>-1.0542474014109331</v>
      </c>
      <c r="BK934" s="1">
        <f t="shared" si="199"/>
        <v>4.4897012613255889</v>
      </c>
      <c r="BO934" s="1">
        <f t="shared" si="200"/>
        <v>-0.4879701229603175</v>
      </c>
      <c r="BP934" s="1">
        <f t="shared" si="201"/>
        <v>1.3779176365051982</v>
      </c>
      <c r="BT934" s="1">
        <f t="shared" si="202"/>
        <v>-1.5986089893853199</v>
      </c>
      <c r="BU934" s="1">
        <f t="shared" si="203"/>
        <v>4.7862035861117356</v>
      </c>
    </row>
    <row r="935" spans="49:73">
      <c r="AW935" s="1">
        <v>925</v>
      </c>
      <c r="AX935" s="1">
        <f t="shared" si="204"/>
        <v>462.5</v>
      </c>
      <c r="AZ935" s="1">
        <f t="shared" si="205"/>
        <v>97299.569297547481</v>
      </c>
      <c r="BA935" s="1">
        <f t="shared" si="206"/>
        <v>-320666.67756585364</v>
      </c>
      <c r="BC935" s="1">
        <f t="shared" si="207"/>
        <v>649.4435788248104</v>
      </c>
      <c r="BD935" s="1">
        <f t="shared" si="208"/>
        <v>-711.70354577343994</v>
      </c>
      <c r="BF935" s="1">
        <f t="shared" si="196"/>
        <v>-3.1393245519846662</v>
      </c>
      <c r="BG935" s="1">
        <f t="shared" si="197"/>
        <v>10.624054874036325</v>
      </c>
      <c r="BJ935" s="1">
        <f t="shared" si="198"/>
        <v>-1.0547320020444133</v>
      </c>
      <c r="BK935" s="1">
        <f t="shared" si="199"/>
        <v>4.4777467711489312</v>
      </c>
      <c r="BO935" s="1">
        <f t="shared" si="200"/>
        <v>-0.48746644539326744</v>
      </c>
      <c r="BP935" s="1">
        <f t="shared" si="201"/>
        <v>1.3741645505462101</v>
      </c>
      <c r="BT935" s="1">
        <f t="shared" si="202"/>
        <v>-1.5971261045469856</v>
      </c>
      <c r="BU935" s="1">
        <f t="shared" si="203"/>
        <v>4.7721435523411833</v>
      </c>
    </row>
    <row r="936" spans="49:73">
      <c r="AW936" s="1">
        <v>926</v>
      </c>
      <c r="AX936" s="1">
        <f t="shared" si="204"/>
        <v>463</v>
      </c>
      <c r="AZ936" s="1">
        <f t="shared" si="205"/>
        <v>97623.898671390882</v>
      </c>
      <c r="BA936" s="1">
        <f t="shared" si="206"/>
        <v>-321021.20133188111</v>
      </c>
      <c r="BC936" s="1">
        <f t="shared" si="207"/>
        <v>647.8739165488181</v>
      </c>
      <c r="BD936" s="1">
        <f t="shared" si="208"/>
        <v>-706.39151833642177</v>
      </c>
      <c r="BF936" s="1">
        <f t="shared" si="196"/>
        <v>-3.1378511518218444</v>
      </c>
      <c r="BG936" s="1">
        <f t="shared" si="197"/>
        <v>10.59457480837259</v>
      </c>
      <c r="BJ936" s="1">
        <f t="shared" si="198"/>
        <v>-1.0552168520814069</v>
      </c>
      <c r="BK936" s="1">
        <f t="shared" si="199"/>
        <v>4.4659069416104362</v>
      </c>
      <c r="BO936" s="1">
        <f t="shared" si="200"/>
        <v>-0.48696974341757387</v>
      </c>
      <c r="BP936" s="1">
        <f t="shared" si="201"/>
        <v>1.370446918518698</v>
      </c>
      <c r="BT936" s="1">
        <f t="shared" si="202"/>
        <v>-1.5956645563228637</v>
      </c>
      <c r="BU936" s="1">
        <f t="shared" si="203"/>
        <v>4.7582209482434559</v>
      </c>
    </row>
    <row r="937" spans="49:73">
      <c r="AW937" s="1">
        <v>927</v>
      </c>
      <c r="AX937" s="1">
        <f t="shared" si="204"/>
        <v>463.5</v>
      </c>
      <c r="AZ937" s="1">
        <f t="shared" si="205"/>
        <v>97947.443398271309</v>
      </c>
      <c r="BA937" s="1">
        <f t="shared" si="206"/>
        <v>-321373.07276919828</v>
      </c>
      <c r="BC937" s="1">
        <f t="shared" si="207"/>
        <v>646.30499097290715</v>
      </c>
      <c r="BD937" s="1">
        <f t="shared" si="208"/>
        <v>-701.09423093223552</v>
      </c>
      <c r="BF937" s="1">
        <f t="shared" si="196"/>
        <v>-3.13640627853861</v>
      </c>
      <c r="BG937" s="1">
        <f t="shared" si="197"/>
        <v>10.565379169190766</v>
      </c>
      <c r="BJ937" s="1">
        <f t="shared" si="198"/>
        <v>-1.0557020833325605</v>
      </c>
      <c r="BK937" s="1">
        <f t="shared" si="199"/>
        <v>4.4541805726770418</v>
      </c>
      <c r="BO937" s="1">
        <f t="shared" si="200"/>
        <v>-0.48647996906822749</v>
      </c>
      <c r="BP937" s="1">
        <f t="shared" si="201"/>
        <v>1.366764361703543</v>
      </c>
      <c r="BT937" s="1">
        <f t="shared" si="202"/>
        <v>-1.5942242261378221</v>
      </c>
      <c r="BU937" s="1">
        <f t="shared" si="203"/>
        <v>4.7444342348101811</v>
      </c>
    </row>
    <row r="938" spans="49:73">
      <c r="AW938" s="1">
        <v>928</v>
      </c>
      <c r="AX938" s="1">
        <f t="shared" si="204"/>
        <v>464</v>
      </c>
      <c r="AZ938" s="1">
        <f t="shared" si="205"/>
        <v>98270.203842972944</v>
      </c>
      <c r="BA938" s="1">
        <f t="shared" si="206"/>
        <v>-321722.2992122682</v>
      </c>
      <c r="BC938" s="1">
        <f t="shared" si="207"/>
        <v>644.73678783363789</v>
      </c>
      <c r="BD938" s="1">
        <f t="shared" si="208"/>
        <v>-695.81154134764017</v>
      </c>
      <c r="BF938" s="1">
        <f t="shared" si="196"/>
        <v>-3.1349898973284258</v>
      </c>
      <c r="BG938" s="1">
        <f t="shared" si="197"/>
        <v>10.536464887522275</v>
      </c>
      <c r="BJ938" s="1">
        <f t="shared" si="198"/>
        <v>-1.0561878251256569</v>
      </c>
      <c r="BK938" s="1">
        <f t="shared" si="199"/>
        <v>4.442566482712591</v>
      </c>
      <c r="BO938" s="1">
        <f t="shared" si="200"/>
        <v>-0.48599707512428336</v>
      </c>
      <c r="BP938" s="1">
        <f t="shared" si="201"/>
        <v>1.3631165072202878</v>
      </c>
      <c r="BT938" s="1">
        <f t="shared" si="202"/>
        <v>-1.5928049970784859</v>
      </c>
      <c r="BU938" s="1">
        <f t="shared" si="203"/>
        <v>4.730781897589396</v>
      </c>
    </row>
    <row r="939" spans="49:73">
      <c r="AW939" s="1">
        <v>929</v>
      </c>
      <c r="AX939" s="1">
        <f t="shared" si="204"/>
        <v>464.5</v>
      </c>
      <c r="AZ939" s="1">
        <f t="shared" si="205"/>
        <v>98592.180363152598</v>
      </c>
      <c r="BA939" s="1">
        <f t="shared" si="206"/>
        <v>-322068.88792483107</v>
      </c>
      <c r="BC939" s="1">
        <f t="shared" si="207"/>
        <v>643.16929288497363</v>
      </c>
      <c r="BD939" s="1">
        <f t="shared" si="208"/>
        <v>-690.54330890387905</v>
      </c>
      <c r="BF939" s="1">
        <f t="shared" si="196"/>
        <v>-3.1336019733449669</v>
      </c>
      <c r="BG939" s="1">
        <f t="shared" si="197"/>
        <v>10.507828942288853</v>
      </c>
      <c r="BJ939" s="1">
        <f t="shared" si="198"/>
        <v>-1.0566742043695339</v>
      </c>
      <c r="BK939" s="1">
        <f t="shared" si="199"/>
        <v>4.4310635081476386</v>
      </c>
      <c r="BO939" s="1">
        <f t="shared" si="200"/>
        <v>-0.4855210150979537</v>
      </c>
      <c r="BP939" s="1">
        <f t="shared" si="201"/>
        <v>1.3595029879204985</v>
      </c>
      <c r="BT939" s="1">
        <f t="shared" si="202"/>
        <v>-1.5914067538774792</v>
      </c>
      <c r="BU939" s="1">
        <f t="shared" si="203"/>
        <v>4.7172624462207171</v>
      </c>
    </row>
    <row r="940" spans="49:73">
      <c r="AW940" s="1">
        <v>930</v>
      </c>
      <c r="AX940" s="1">
        <f t="shared" si="204"/>
        <v>465</v>
      </c>
      <c r="AZ940" s="1">
        <f t="shared" si="205"/>
        <v>98913.373309348419</v>
      </c>
      <c r="BA940" s="1">
        <f t="shared" si="206"/>
        <v>-322412.84610066522</v>
      </c>
      <c r="BC940" s="1">
        <f t="shared" si="207"/>
        <v>641.6024918983012</v>
      </c>
      <c r="BD940" s="1">
        <f t="shared" si="208"/>
        <v>-685.28939443273464</v>
      </c>
      <c r="BF940" s="1">
        <f t="shared" si="196"/>
        <v>-3.1322424717382638</v>
      </c>
      <c r="BG940" s="1">
        <f t="shared" si="197"/>
        <v>10.479468359421507</v>
      </c>
      <c r="BJ940" s="1">
        <f t="shared" si="198"/>
        <v>-1.0571613456163946</v>
      </c>
      <c r="BK940" s="1">
        <f t="shared" si="199"/>
        <v>4.4196705031566159</v>
      </c>
      <c r="BO940" s="1">
        <f t="shared" si="200"/>
        <v>-0.48505174322392136</v>
      </c>
      <c r="BP940" s="1">
        <f t="shared" si="201"/>
        <v>1.3559234422834845</v>
      </c>
      <c r="BT940" s="1">
        <f t="shared" si="202"/>
        <v>-1.5900293828979477</v>
      </c>
      <c r="BU940" s="1">
        <f t="shared" si="203"/>
        <v>4.7038744139814073</v>
      </c>
    </row>
    <row r="941" spans="49:73">
      <c r="AW941" s="1">
        <v>931</v>
      </c>
      <c r="AX941" s="1">
        <f t="shared" si="204"/>
        <v>465.5</v>
      </c>
      <c r="AZ941" s="1">
        <f t="shared" si="205"/>
        <v>99233.783024988588</v>
      </c>
      <c r="BA941" s="1">
        <f t="shared" si="206"/>
        <v>-322754.18086433661</v>
      </c>
      <c r="BC941" s="1">
        <f t="shared" si="207"/>
        <v>640.03637066243209</v>
      </c>
      <c r="BD941" s="1">
        <f t="shared" si="208"/>
        <v>-680.04966025302383</v>
      </c>
      <c r="BF941" s="1">
        <f t="shared" si="196"/>
        <v>-3.1309113576893566</v>
      </c>
      <c r="BG941" s="1">
        <f t="shared" si="197"/>
        <v>10.451380210998153</v>
      </c>
      <c r="BJ941" s="1">
        <f t="shared" si="198"/>
        <v>-1.0576493711224471</v>
      </c>
      <c r="BK941" s="1">
        <f t="shared" si="199"/>
        <v>4.4083863393417078</v>
      </c>
      <c r="BO941" s="1">
        <f t="shared" si="200"/>
        <v>-0.4845892144488656</v>
      </c>
      <c r="BP941" s="1">
        <f t="shared" si="201"/>
        <v>1.3523775143142998</v>
      </c>
      <c r="BT941" s="1">
        <f t="shared" si="202"/>
        <v>-1.588672772118044</v>
      </c>
      <c r="BU941" s="1">
        <f t="shared" si="203"/>
        <v>4.6906163573421464</v>
      </c>
    </row>
    <row r="942" spans="49:73">
      <c r="AW942" s="1">
        <v>932</v>
      </c>
      <c r="AX942" s="1">
        <f t="shared" si="204"/>
        <v>466</v>
      </c>
      <c r="AZ942" s="1">
        <f t="shared" si="205"/>
        <v>99553.409846400085</v>
      </c>
      <c r="BA942" s="1">
        <f t="shared" si="206"/>
        <v>-323092.89927193674</v>
      </c>
      <c r="BC942" s="1">
        <f t="shared" si="207"/>
        <v>638.47091498358736</v>
      </c>
      <c r="BD942" s="1">
        <f t="shared" si="208"/>
        <v>-674.82397014752473</v>
      </c>
      <c r="BF942" s="1">
        <f t="shared" si="196"/>
        <v>-3.1296085964440716</v>
      </c>
      <c r="BG942" s="1">
        <f t="shared" si="197"/>
        <v>10.423561614401368</v>
      </c>
      <c r="BJ942" s="1">
        <f t="shared" si="198"/>
        <v>-1.0581384009070824</v>
      </c>
      <c r="BK942" s="1">
        <f t="shared" si="199"/>
        <v>4.3972099054239706</v>
      </c>
      <c r="BO942" s="1">
        <f t="shared" si="200"/>
        <v>-0.48413338442118159</v>
      </c>
      <c r="BP942" s="1">
        <f t="shared" si="201"/>
        <v>1.3488648534439294</v>
      </c>
      <c r="BT942" s="1">
        <f t="shared" si="202"/>
        <v>-1.5873368111158075</v>
      </c>
      <c r="BU942" s="1">
        <f t="shared" si="203"/>
        <v>4.6774868555334672</v>
      </c>
    </row>
    <row r="943" spans="49:73">
      <c r="AW943" s="1">
        <v>933</v>
      </c>
      <c r="AX943" s="1">
        <f t="shared" si="204"/>
        <v>466.5</v>
      </c>
      <c r="AZ943" s="1">
        <f t="shared" si="205"/>
        <v>99872.254102817329</v>
      </c>
      <c r="BA943" s="1">
        <f t="shared" si="206"/>
        <v>-323429.00831180869</v>
      </c>
      <c r="BC943" s="1">
        <f t="shared" si="207"/>
        <v>636.90611068536532</v>
      </c>
      <c r="BD943" s="1">
        <f t="shared" si="208"/>
        <v>-669.61218934032399</v>
      </c>
      <c r="BF943" s="1">
        <f t="shared" si="196"/>
        <v>-3.1283341533454201</v>
      </c>
      <c r="BG943" s="1">
        <f t="shared" si="197"/>
        <v>10.396009731493882</v>
      </c>
      <c r="BJ943" s="1">
        <f t="shared" si="198"/>
        <v>-1.0586285528104367</v>
      </c>
      <c r="BK943" s="1">
        <f t="shared" si="199"/>
        <v>4.3861401069406627</v>
      </c>
      <c r="BO943" s="1">
        <f t="shared" si="200"/>
        <v>-0.48368420948094387</v>
      </c>
      <c r="BP943" s="1">
        <f t="shared" si="201"/>
        <v>1.345385114431763</v>
      </c>
      <c r="BT943" s="1">
        <f t="shared" si="202"/>
        <v>-1.5860213910540395</v>
      </c>
      <c r="BU943" s="1">
        <f t="shared" si="203"/>
        <v>4.664484510121456</v>
      </c>
    </row>
    <row r="944" spans="49:73">
      <c r="AW944" s="1">
        <v>934</v>
      </c>
      <c r="AX944" s="1">
        <f t="shared" si="204"/>
        <v>467</v>
      </c>
      <c r="AZ944" s="1">
        <f t="shared" si="205"/>
        <v>100190.31611639085</v>
      </c>
      <c r="BA944" s="1">
        <f t="shared" si="206"/>
        <v>-323762.51490526239</v>
      </c>
      <c r="BC944" s="1">
        <f t="shared" si="207"/>
        <v>635.34194360869265</v>
      </c>
      <c r="BD944" s="1">
        <f t="shared" si="208"/>
        <v>-664.41418447457704</v>
      </c>
      <c r="BF944" s="1">
        <f t="shared" si="196"/>
        <v>-3.1270879938650431</v>
      </c>
      <c r="BG944" s="1">
        <f t="shared" si="197"/>
        <v>10.368721767812737</v>
      </c>
      <c r="BJ944" s="1">
        <f t="shared" si="198"/>
        <v>-1.0591199425495852</v>
      </c>
      <c r="BK944" s="1">
        <f t="shared" si="199"/>
        <v>4.375175865949477</v>
      </c>
      <c r="BO944" s="1">
        <f t="shared" si="200"/>
        <v>-0.48324164665002639</v>
      </c>
      <c r="BP944" s="1">
        <f t="shared" si="201"/>
        <v>1.3419379572700656</v>
      </c>
      <c r="BT944" s="1">
        <f t="shared" si="202"/>
        <v>-1.5847264046654317</v>
      </c>
      <c r="BU944" s="1">
        <f t="shared" si="203"/>
        <v>4.651607944593195</v>
      </c>
    </row>
    <row r="945" spans="49:73">
      <c r="AW945" s="1">
        <v>935</v>
      </c>
      <c r="AX945" s="1">
        <f t="shared" si="204"/>
        <v>467.5</v>
      </c>
      <c r="AZ945" s="1">
        <f t="shared" si="205"/>
        <v>100507.59620219596</v>
      </c>
      <c r="BA945" s="1">
        <f t="shared" si="206"/>
        <v>-324093.42590727872</v>
      </c>
      <c r="BC945" s="1">
        <f t="shared" si="207"/>
        <v>633.77839961176016</v>
      </c>
      <c r="BD945" s="1">
        <f t="shared" si="208"/>
        <v>-659.22982359067066</v>
      </c>
      <c r="BF945" s="1">
        <f t="shared" si="196"/>
        <v>-3.125870083633576</v>
      </c>
      <c r="BG945" s="1">
        <f t="shared" si="197"/>
        <v>10.3416949717809</v>
      </c>
      <c r="BJ945" s="1">
        <f t="shared" si="198"/>
        <v>-1.0596126837732038</v>
      </c>
      <c r="BK945" s="1">
        <f t="shared" si="199"/>
        <v>4.364316120738664</v>
      </c>
      <c r="BO945" s="1">
        <f t="shared" si="200"/>
        <v>-0.48280565362246042</v>
      </c>
      <c r="BP945" s="1">
        <f t="shared" si="201"/>
        <v>1.3385230470906315</v>
      </c>
      <c r="BT945" s="1">
        <f t="shared" si="202"/>
        <v>-1.5834517462379116</v>
      </c>
      <c r="BU945" s="1">
        <f t="shared" si="203"/>
        <v>4.6388558039516044</v>
      </c>
    </row>
    <row r="946" spans="49:73">
      <c r="AW946" s="1">
        <v>936</v>
      </c>
      <c r="AX946" s="1">
        <f t="shared" si="204"/>
        <v>468</v>
      </c>
      <c r="AZ946" s="1">
        <f t="shared" si="205"/>
        <v>100824.09466824138</v>
      </c>
      <c r="BA946" s="1">
        <f t="shared" si="206"/>
        <v>-324421.74810720258</v>
      </c>
      <c r="BC946" s="1">
        <f t="shared" si="207"/>
        <v>632.21546456994338</v>
      </c>
      <c r="BD946" s="1">
        <f t="shared" si="208"/>
        <v>-654.05897610478019</v>
      </c>
      <c r="BF946" s="1">
        <f t="shared" si="196"/>
        <v>-3.1246803884699785</v>
      </c>
      <c r="BG946" s="1">
        <f t="shared" si="197"/>
        <v>10.314926633936212</v>
      </c>
      <c r="BJ946" s="1">
        <f t="shared" si="198"/>
        <v>-1.060106888114972</v>
      </c>
      <c r="BK946" s="1">
        <f t="shared" si="199"/>
        <v>4.3535598255438455</v>
      </c>
      <c r="BO946" s="1">
        <f t="shared" si="200"/>
        <v>-0.48237618875495381</v>
      </c>
      <c r="BP946" s="1">
        <f t="shared" si="201"/>
        <v>1.3351400540733682</v>
      </c>
      <c r="BT946" s="1">
        <f t="shared" si="202"/>
        <v>-1.5821973116000529</v>
      </c>
      <c r="BU946" s="1">
        <f t="shared" si="203"/>
        <v>4.6262267543189983</v>
      </c>
    </row>
    <row r="947" spans="49:73">
      <c r="AW947" s="1">
        <v>937</v>
      </c>
      <c r="AX947" s="1">
        <f t="shared" si="204"/>
        <v>468.5</v>
      </c>
      <c r="AZ947" s="1">
        <f t="shared" si="205"/>
        <v>101139.81181547779</v>
      </c>
      <c r="BA947" s="1">
        <f t="shared" si="206"/>
        <v>-324747.48822942574</v>
      </c>
      <c r="BC947" s="1">
        <f t="shared" si="207"/>
        <v>630.65312437570844</v>
      </c>
      <c r="BD947" s="1">
        <f t="shared" si="208"/>
        <v>-648.90151278781207</v>
      </c>
      <c r="BF947" s="1">
        <f t="shared" si="196"/>
        <v>-3.1235188744098652</v>
      </c>
      <c r="BG947" s="1">
        <f t="shared" si="197"/>
        <v>10.288414086176925</v>
      </c>
      <c r="BJ947" s="1">
        <f t="shared" si="198"/>
        <v>-1.0606026652455205</v>
      </c>
      <c r="BK947" s="1">
        <f t="shared" si="199"/>
        <v>4.3429059502703948</v>
      </c>
      <c r="BO947" s="1">
        <f t="shared" si="200"/>
        <v>-0.4819532110576224</v>
      </c>
      <c r="BP947" s="1">
        <f t="shared" si="201"/>
        <v>1.3317886533569161</v>
      </c>
      <c r="BT947" s="1">
        <f t="shared" si="202"/>
        <v>-1.5809629981067221</v>
      </c>
      <c r="BU947" s="1">
        <f t="shared" si="203"/>
        <v>4.6137194825496142</v>
      </c>
    </row>
    <row r="948" spans="49:73">
      <c r="AW948" s="1">
        <v>938</v>
      </c>
      <c r="AX948" s="1">
        <f t="shared" si="204"/>
        <v>469</v>
      </c>
      <c r="AZ948" s="1">
        <f t="shared" si="205"/>
        <v>101454.74793780634</v>
      </c>
      <c r="BA948" s="1">
        <f t="shared" si="206"/>
        <v>-325070.65293405886</v>
      </c>
      <c r="BC948" s="1">
        <f t="shared" si="207"/>
        <v>629.09136493850349</v>
      </c>
      <c r="BD948" s="1">
        <f t="shared" si="208"/>
        <v>-643.75730574472357</v>
      </c>
      <c r="BF948" s="1">
        <f t="shared" si="196"/>
        <v>-3.1223855077330009</v>
      </c>
      <c r="BG948" s="1">
        <f t="shared" si="197"/>
        <v>10.262154701024027</v>
      </c>
      <c r="BJ948" s="1">
        <f t="shared" si="198"/>
        <v>-1.0611001229231223</v>
      </c>
      <c r="BK948" s="1">
        <f t="shared" si="199"/>
        <v>4.332353480221899</v>
      </c>
      <c r="BO948" s="1">
        <f t="shared" si="200"/>
        <v>-0.48153668018489143</v>
      </c>
      <c r="BP948" s="1">
        <f t="shared" si="201"/>
        <v>1.3284685249511445</v>
      </c>
      <c r="BT948" s="1">
        <f t="shared" si="202"/>
        <v>-1.5797487046249874</v>
      </c>
      <c r="BU948" s="1">
        <f t="shared" si="203"/>
        <v>4.6013326958509841</v>
      </c>
    </row>
    <row r="949" spans="49:73">
      <c r="AW949" s="1">
        <v>939</v>
      </c>
      <c r="AX949" s="1">
        <f t="shared" si="204"/>
        <v>469.5</v>
      </c>
      <c r="AZ949" s="1">
        <f t="shared" si="205"/>
        <v>101768.90332208714</v>
      </c>
      <c r="BA949" s="1">
        <f t="shared" si="206"/>
        <v>-325391.24881759356</v>
      </c>
      <c r="BC949" s="1">
        <f t="shared" si="207"/>
        <v>627.53017218463697</v>
      </c>
      <c r="BD949" s="1">
        <f t="shared" si="208"/>
        <v>-638.62622839421158</v>
      </c>
      <c r="BF949" s="1">
        <f t="shared" si="196"/>
        <v>-3.1212802549896752</v>
      </c>
      <c r="BG949" s="1">
        <f t="shared" si="197"/>
        <v>10.236145890898907</v>
      </c>
      <c r="BJ949" s="1">
        <f t="shared" si="198"/>
        <v>-1.0615993670431367</v>
      </c>
      <c r="BK949" s="1">
        <f t="shared" si="199"/>
        <v>4.321901415834426</v>
      </c>
      <c r="BO949" s="1">
        <f t="shared" si="200"/>
        <v>-0.48112655642658086</v>
      </c>
      <c r="BP949" s="1">
        <f t="shared" si="201"/>
        <v>1.3251793536515322</v>
      </c>
      <c r="BT949" s="1">
        <f t="shared" si="202"/>
        <v>-1.5785543315199577</v>
      </c>
      <c r="BU949" s="1">
        <f t="shared" si="203"/>
        <v>4.5890651214129488</v>
      </c>
    </row>
    <row r="950" spans="49:73">
      <c r="AW950" s="1">
        <v>940</v>
      </c>
      <c r="AX950" s="1">
        <f t="shared" si="204"/>
        <v>470</v>
      </c>
      <c r="AZ950" s="1">
        <f t="shared" si="205"/>
        <v>102082.27824814757</v>
      </c>
      <c r="BA950" s="1">
        <f t="shared" si="206"/>
        <v>-325709.28241355432</v>
      </c>
      <c r="BC950" s="1">
        <f t="shared" si="207"/>
        <v>625.96953205714215</v>
      </c>
      <c r="BD950" s="1">
        <f t="shared" si="208"/>
        <v>-633.50815544876218</v>
      </c>
      <c r="BF950" s="1">
        <f t="shared" si="196"/>
        <v>-3.1202030830264684</v>
      </c>
      <c r="BG950" s="1">
        <f t="shared" si="197"/>
        <v>10.210385107417368</v>
      </c>
      <c r="BJ950" s="1">
        <f t="shared" si="198"/>
        <v>-1.0621005016861942</v>
      </c>
      <c r="BK950" s="1">
        <f t="shared" si="199"/>
        <v>4.3115487724162875</v>
      </c>
      <c r="BO950" s="1">
        <f t="shared" si="200"/>
        <v>-0.48072280069917633</v>
      </c>
      <c r="BP950" s="1">
        <f t="shared" si="201"/>
        <v>1.3219208289553963</v>
      </c>
      <c r="BT950" s="1">
        <f t="shared" si="202"/>
        <v>-1.5773797806410976</v>
      </c>
      <c r="BU950" s="1">
        <f t="shared" si="203"/>
        <v>4.5769155060456841</v>
      </c>
    </row>
    <row r="951" spans="49:73">
      <c r="AW951" s="1">
        <v>941</v>
      </c>
      <c r="AX951" s="1">
        <f t="shared" si="204"/>
        <v>470.5</v>
      </c>
      <c r="AZ951" s="1">
        <f t="shared" si="205"/>
        <v>102394.87298879077</v>
      </c>
      <c r="BA951" s="1">
        <f t="shared" si="206"/>
        <v>-326024.76019314025</v>
      </c>
      <c r="BC951" s="1">
        <f t="shared" si="207"/>
        <v>624.40943051562886</v>
      </c>
      <c r="BD951" s="1">
        <f t="shared" si="208"/>
        <v>-628.40296289505352</v>
      </c>
      <c r="BF951" s="1">
        <f t="shared" si="196"/>
        <v>-3.1191539590109842</v>
      </c>
      <c r="BG951" s="1">
        <f t="shared" si="197"/>
        <v>10.184869840698271</v>
      </c>
      <c r="BJ951" s="1">
        <f t="shared" si="198"/>
        <v>-1.062603629165183</v>
      </c>
      <c r="BK951" s="1">
        <f t="shared" si="199"/>
        <v>4.3012945798932467</v>
      </c>
      <c r="BO951" s="1">
        <f t="shared" si="200"/>
        <v>-0.48032537453726526</v>
      </c>
      <c r="BP951" s="1">
        <f t="shared" si="201"/>
        <v>1.318692644979879</v>
      </c>
      <c r="BT951" s="1">
        <f t="shared" si="202"/>
        <v>-1.5762249553085357</v>
      </c>
      <c r="BU951" s="1">
        <f t="shared" si="203"/>
        <v>4.5648826158251454</v>
      </c>
    </row>
    <row r="952" spans="49:73">
      <c r="AW952" s="1">
        <v>942</v>
      </c>
      <c r="AX952" s="1">
        <f t="shared" si="204"/>
        <v>471</v>
      </c>
      <c r="AZ952" s="1">
        <f t="shared" si="205"/>
        <v>102706.68780980371</v>
      </c>
      <c r="BA952" s="1">
        <f t="shared" si="206"/>
        <v>-326337.68856585771</v>
      </c>
      <c r="BC952" s="1">
        <f t="shared" si="207"/>
        <v>622.84985353612342</v>
      </c>
      <c r="BD952" s="1">
        <f t="shared" si="208"/>
        <v>-623.31052797470443</v>
      </c>
      <c r="BF952" s="1">
        <f t="shared" si="196"/>
        <v>-3.1181328504557739</v>
      </c>
      <c r="BG952" s="1">
        <f t="shared" si="197"/>
        <v>10.159597618687043</v>
      </c>
      <c r="BJ952" s="1">
        <f t="shared" si="198"/>
        <v>-1.0631088500710839</v>
      </c>
      <c r="BK952" s="1">
        <f t="shared" si="199"/>
        <v>4.2911378825591004</v>
      </c>
      <c r="BO952" s="1">
        <f t="shared" si="200"/>
        <v>-0.47993424008513103</v>
      </c>
      <c r="BP952" s="1">
        <f t="shared" si="201"/>
        <v>1.3154945003816463</v>
      </c>
      <c r="BT952" s="1">
        <f t="shared" si="202"/>
        <v>-1.575089760299559</v>
      </c>
      <c r="BU952" s="1">
        <f t="shared" si="203"/>
        <v>4.5529652357462957</v>
      </c>
    </row>
    <row r="953" spans="49:73">
      <c r="AW953" s="1">
        <v>943</v>
      </c>
      <c r="AX953" s="1">
        <f t="shared" si="204"/>
        <v>471.5</v>
      </c>
      <c r="AZ953" s="1">
        <f t="shared" si="205"/>
        <v>103017.72296996546</v>
      </c>
      <c r="BA953" s="1">
        <f t="shared" si="206"/>
        <v>-326648.07388014277</v>
      </c>
      <c r="BC953" s="1">
        <f t="shared" si="207"/>
        <v>621.29078711089551</v>
      </c>
      <c r="BD953" s="1">
        <f t="shared" si="208"/>
        <v>-618.23072916536091</v>
      </c>
      <c r="BF953" s="1">
        <f t="shared" si="196"/>
        <v>-3.1171397252416124</v>
      </c>
      <c r="BG953" s="1">
        <f t="shared" si="197"/>
        <v>10.13456600649404</v>
      </c>
      <c r="BJ953" s="1">
        <f t="shared" si="198"/>
        <v>-1.0636162633177118</v>
      </c>
      <c r="BK953" s="1">
        <f t="shared" si="199"/>
        <v>4.2810777388316028</v>
      </c>
      <c r="BO953" s="1">
        <f t="shared" si="200"/>
        <v>-0.47954936008855653</v>
      </c>
      <c r="BP953" s="1">
        <f t="shared" si="201"/>
        <v>1.3123260982783975</v>
      </c>
      <c r="BT953" s="1">
        <f t="shared" si="202"/>
        <v>-1.5739741018353441</v>
      </c>
      <c r="BU953" s="1">
        <f t="shared" si="203"/>
        <v>4.5411621693840409</v>
      </c>
    </row>
    <row r="954" spans="49:73">
      <c r="AW954" s="1">
        <v>944</v>
      </c>
      <c r="AX954" s="1">
        <f t="shared" si="204"/>
        <v>472</v>
      </c>
      <c r="AZ954" s="1">
        <f t="shared" si="205"/>
        <v>103327.97872105525</v>
      </c>
      <c r="BA954" s="1">
        <f t="shared" si="206"/>
        <v>-326955.92242397461</v>
      </c>
      <c r="BC954" s="1">
        <f t="shared" si="207"/>
        <v>619.73221724827465</v>
      </c>
      <c r="BD954" s="1">
        <f t="shared" si="208"/>
        <v>-613.16344616211393</v>
      </c>
      <c r="BF954" s="1">
        <f t="shared" si="196"/>
        <v>-3.1161745516398316</v>
      </c>
      <c r="BG954" s="1">
        <f t="shared" si="197"/>
        <v>10.109772605746432</v>
      </c>
      <c r="BJ954" s="1">
        <f t="shared" si="198"/>
        <v>-1.0641259661852787</v>
      </c>
      <c r="BK954" s="1">
        <f t="shared" si="199"/>
        <v>4.2711132210131399</v>
      </c>
      <c r="BO954" s="1">
        <f t="shared" si="200"/>
        <v>-0.47917069788672495</v>
      </c>
      <c r="BP954" s="1">
        <f t="shared" si="201"/>
        <v>1.3091871461718509</v>
      </c>
      <c r="BT954" s="1">
        <f t="shared" si="202"/>
        <v>-1.5728778875678278</v>
      </c>
      <c r="BU954" s="1">
        <f t="shared" si="203"/>
        <v>4.5294722385614419</v>
      </c>
    </row>
    <row r="955" spans="49:73">
      <c r="AW955" s="1">
        <v>945</v>
      </c>
      <c r="AX955" s="1">
        <f t="shared" si="204"/>
        <v>472.5</v>
      </c>
      <c r="AZ955" s="1">
        <f t="shared" si="205"/>
        <v>103637.45530786042</v>
      </c>
      <c r="BA955" s="1">
        <f t="shared" si="206"/>
        <v>-327261.24042547995</v>
      </c>
      <c r="BC955" s="1">
        <f t="shared" si="207"/>
        <v>618.17412997245469</v>
      </c>
      <c r="BD955" s="1">
        <f t="shared" si="208"/>
        <v>-608.1085598592407</v>
      </c>
      <c r="BF955" s="1">
        <f t="shared" si="196"/>
        <v>-3.115237298334117</v>
      </c>
      <c r="BG955" s="1">
        <f t="shared" si="197"/>
        <v>10.085215053954467</v>
      </c>
      <c r="BJ955" s="1">
        <f t="shared" si="198"/>
        <v>-1.0646380543629925</v>
      </c>
      <c r="BK955" s="1">
        <f t="shared" si="199"/>
        <v>4.2612434150567671</v>
      </c>
      <c r="BO955" s="1">
        <f t="shared" si="200"/>
        <v>-0.47879821740434952</v>
      </c>
      <c r="BP955" s="1">
        <f t="shared" si="201"/>
        <v>1.3060773558725389</v>
      </c>
      <c r="BT955" s="1">
        <f t="shared" si="202"/>
        <v>-1.5718010265667752</v>
      </c>
      <c r="BU955" s="1">
        <f t="shared" si="203"/>
        <v>4.5178942830251607</v>
      </c>
    </row>
    <row r="956" spans="49:73">
      <c r="AW956" s="1">
        <v>946</v>
      </c>
      <c r="AX956" s="1">
        <f t="shared" si="204"/>
        <v>473</v>
      </c>
      <c r="AZ956" s="1">
        <f t="shared" si="205"/>
        <v>103946.15296818437</v>
      </c>
      <c r="BA956" s="1">
        <f t="shared" si="206"/>
        <v>-327564.03405352781</v>
      </c>
      <c r="BC956" s="1">
        <f t="shared" si="207"/>
        <v>616.61651132328768</v>
      </c>
      <c r="BD956" s="1">
        <f t="shared" si="208"/>
        <v>-603.06595233226346</v>
      </c>
      <c r="BF956" s="1">
        <f t="shared" si="196"/>
        <v>-3.1143279344414112</v>
      </c>
      <c r="BG956" s="1">
        <f t="shared" si="197"/>
        <v>10.060891023890523</v>
      </c>
      <c r="BJ956" s="1">
        <f t="shared" si="198"/>
        <v>-1.0651526219905227</v>
      </c>
      <c r="BK956" s="1">
        <f t="shared" si="199"/>
        <v>4.2514674203367013</v>
      </c>
      <c r="BO956" s="1">
        <f t="shared" si="200"/>
        <v>-0.47843188314388985</v>
      </c>
      <c r="BP956" s="1">
        <f t="shared" si="201"/>
        <v>1.3029964434259862</v>
      </c>
      <c r="BT956" s="1">
        <f t="shared" si="202"/>
        <v>-1.5707434293069986</v>
      </c>
      <c r="BU956" s="1">
        <f t="shared" si="203"/>
        <v>4.506427160127835</v>
      </c>
    </row>
    <row r="957" spans="49:73">
      <c r="AW957" s="1">
        <v>947</v>
      </c>
      <c r="AX957" s="1">
        <f t="shared" si="204"/>
        <v>473.5</v>
      </c>
      <c r="AZ957" s="1">
        <f t="shared" si="205"/>
        <v>104254.0719328542</v>
      </c>
      <c r="BA957" s="1">
        <f t="shared" si="206"/>
        <v>-327864.30941831594</v>
      </c>
      <c r="BC957" s="1">
        <f t="shared" si="207"/>
        <v>615.05934735606695</v>
      </c>
      <c r="BD957" s="1">
        <f t="shared" si="208"/>
        <v>-598.03550682031823</v>
      </c>
      <c r="BF957" s="1">
        <f t="shared" si="196"/>
        <v>-3.113446429532313</v>
      </c>
      <c r="BG957" s="1">
        <f t="shared" si="197"/>
        <v>10.036798222981879</v>
      </c>
      <c r="BJ957" s="1">
        <f t="shared" si="198"/>
        <v>-1.0656697616985658</v>
      </c>
      <c r="BK957" s="1">
        <f t="shared" si="199"/>
        <v>4.241784349423952</v>
      </c>
      <c r="BO957" s="1">
        <f t="shared" si="200"/>
        <v>-0.47807166017799813</v>
      </c>
      <c r="BP957" s="1">
        <f t="shared" si="201"/>
        <v>1.2999441290406395</v>
      </c>
      <c r="BT957" s="1">
        <f t="shared" si="202"/>
        <v>-1.5697050076557491</v>
      </c>
      <c r="BU957" s="1">
        <f t="shared" si="203"/>
        <v>4.4950697445172869</v>
      </c>
    </row>
    <row r="958" spans="49:73">
      <c r="AW958" s="1">
        <v>948</v>
      </c>
      <c r="AX958" s="1">
        <f t="shared" si="204"/>
        <v>474</v>
      </c>
      <c r="AZ958" s="1">
        <f t="shared" si="205"/>
        <v>104561.21242572855</v>
      </c>
      <c r="BA958" s="1">
        <f t="shared" si="206"/>
        <v>-328162.07257194823</v>
      </c>
      <c r="BC958" s="1">
        <f t="shared" si="207"/>
        <v>613.50262414130077</v>
      </c>
      <c r="BD958" s="1">
        <f t="shared" si="208"/>
        <v>-593.01710770882733</v>
      </c>
      <c r="BF958" s="1">
        <f t="shared" si="196"/>
        <v>-3.1125927536507261</v>
      </c>
      <c r="BG958" s="1">
        <f t="shared" si="197"/>
        <v>10.012934392715863</v>
      </c>
      <c r="BJ958" s="1">
        <f t="shared" si="198"/>
        <v>-1.0661895646483353</v>
      </c>
      <c r="BK958" s="1">
        <f t="shared" si="199"/>
        <v>4.2321933278661845</v>
      </c>
      <c r="BO958" s="1">
        <f t="shared" si="200"/>
        <v>-0.47771751414202995</v>
      </c>
      <c r="BP958" s="1">
        <f t="shared" si="201"/>
        <v>1.2969201370170669</v>
      </c>
      <c r="BT958" s="1">
        <f t="shared" si="202"/>
        <v>-1.568685674860361</v>
      </c>
      <c r="BU958" s="1">
        <f t="shared" si="203"/>
        <v>4.4838209278326113</v>
      </c>
    </row>
    <row r="959" spans="49:73">
      <c r="AW959" s="1">
        <v>949</v>
      </c>
      <c r="AX959" s="1">
        <f t="shared" si="204"/>
        <v>474.5</v>
      </c>
      <c r="AZ959" s="1">
        <f t="shared" si="205"/>
        <v>104867.574663705</v>
      </c>
      <c r="BA959" s="1">
        <f t="shared" si="206"/>
        <v>-328457.32950900355</v>
      </c>
      <c r="BC959" s="1">
        <f t="shared" si="207"/>
        <v>611.94632776447543</v>
      </c>
      <c r="BD959" s="1">
        <f t="shared" si="208"/>
        <v>-588.01064051246942</v>
      </c>
      <c r="BF959" s="1">
        <f t="shared" si="196"/>
        <v>-3.1117668773328857</v>
      </c>
      <c r="BG959" s="1">
        <f t="shared" si="197"/>
        <v>9.9892973080575871</v>
      </c>
      <c r="BJ959" s="1">
        <f t="shared" si="198"/>
        <v>-1.0667121205701877</v>
      </c>
      <c r="BK959" s="1">
        <f t="shared" si="199"/>
        <v>4.2226934939724297</v>
      </c>
      <c r="BO959" s="1">
        <f t="shared" si="200"/>
        <v>-0.47736941122678983</v>
      </c>
      <c r="BP959" s="1">
        <f t="shared" si="201"/>
        <v>1.2939241956788612</v>
      </c>
      <c r="BT959" s="1">
        <f t="shared" si="202"/>
        <v>-1.5676853455359081</v>
      </c>
      <c r="BU959" s="1">
        <f t="shared" si="203"/>
        <v>4.4726796184062954</v>
      </c>
    </row>
    <row r="960" spans="49:73">
      <c r="AW960" s="1">
        <v>950</v>
      </c>
      <c r="AX960" s="1">
        <f t="shared" si="204"/>
        <v>475</v>
      </c>
      <c r="AZ960" s="1">
        <f t="shared" si="205"/>
        <v>105173.15885672758</v>
      </c>
      <c r="BA960" s="1">
        <f t="shared" si="206"/>
        <v>-328750.08616709628</v>
      </c>
      <c r="BC960" s="1">
        <f t="shared" si="207"/>
        <v>610.39044432580897</v>
      </c>
      <c r="BD960" s="1">
        <f t="shared" si="208"/>
        <v>-583.01599185844066</v>
      </c>
      <c r="BF960" s="1">
        <f t="shared" si="196"/>
        <v>-3.1109687716258003</v>
      </c>
      <c r="BG960" s="1">
        <f t="shared" si="197"/>
        <v>9.9658847768798502</v>
      </c>
      <c r="BJ960" s="1">
        <f t="shared" si="198"/>
        <v>-1.0672375178012388</v>
      </c>
      <c r="BK960" s="1">
        <f t="shared" si="199"/>
        <v>4.2132839986018586</v>
      </c>
      <c r="BO960" s="1">
        <f t="shared" si="200"/>
        <v>-0.4770273181713367</v>
      </c>
      <c r="BP960" s="1">
        <f t="shared" si="201"/>
        <v>1.2909560373047511</v>
      </c>
      <c r="BT960" s="1">
        <f t="shared" si="202"/>
        <v>-1.5667039356532246</v>
      </c>
      <c r="BU960" s="1">
        <f t="shared" si="203"/>
        <v>4.4616447409732407</v>
      </c>
    </row>
    <row r="961" spans="49:73">
      <c r="AW961" s="1">
        <v>951</v>
      </c>
      <c r="AX961" s="1">
        <f t="shared" si="204"/>
        <v>475.5</v>
      </c>
      <c r="AZ961" s="1">
        <f t="shared" si="205"/>
        <v>105477.96520779403</v>
      </c>
      <c r="BA961" s="1">
        <f t="shared" si="206"/>
        <v>-329040.3484274284</v>
      </c>
      <c r="BC961" s="1">
        <f t="shared" si="207"/>
        <v>608.83495993999611</v>
      </c>
      <c r="BD961" s="1">
        <f t="shared" si="208"/>
        <v>-578.03304947000072</v>
      </c>
      <c r="BF961" s="1">
        <f t="shared" si="196"/>
        <v>-3.1101984081051199</v>
      </c>
      <c r="BG961" s="1">
        <f t="shared" si="197"/>
        <v>9.9426946394050475</v>
      </c>
      <c r="BJ961" s="1">
        <f t="shared" si="198"/>
        <v>-1.0677658433221815</v>
      </c>
      <c r="BK961" s="1">
        <f t="shared" si="199"/>
        <v>4.2039640049572462</v>
      </c>
      <c r="BO961" s="1">
        <f t="shared" si="200"/>
        <v>-0.47669120225600303</v>
      </c>
      <c r="BP961" s="1">
        <f t="shared" si="201"/>
        <v>1.2880153980623061</v>
      </c>
      <c r="BT961" s="1">
        <f t="shared" si="202"/>
        <v>-1.5657413625269356</v>
      </c>
      <c r="BU961" s="1">
        <f t="shared" si="203"/>
        <v>4.450715236385494</v>
      </c>
    </row>
    <row r="962" spans="49:73">
      <c r="AW962" s="1">
        <v>952</v>
      </c>
      <c r="AX962" s="1">
        <f t="shared" si="204"/>
        <v>476</v>
      </c>
      <c r="AZ962" s="1">
        <f t="shared" si="205"/>
        <v>105781.99391296301</v>
      </c>
      <c r="BA962" s="1">
        <f t="shared" si="206"/>
        <v>-329328.12211533351</v>
      </c>
      <c r="BC962" s="1">
        <f t="shared" si="207"/>
        <v>607.27986073594354</v>
      </c>
      <c r="BD962" s="1">
        <f t="shared" si="208"/>
        <v>-573.06170215029817</v>
      </c>
      <c r="BF962" s="1">
        <f t="shared" si="196"/>
        <v>-3.1094557588924312</v>
      </c>
      <c r="BG962" s="1">
        <f t="shared" si="197"/>
        <v>9.9197247676585203</v>
      </c>
      <c r="BJ962" s="1">
        <f t="shared" si="198"/>
        <v>-1.0682971827931436</v>
      </c>
      <c r="BK962" s="1">
        <f t="shared" si="199"/>
        <v>4.1947326883822802</v>
      </c>
      <c r="BO962" s="1">
        <f t="shared" si="200"/>
        <v>-0.47636103129549329</v>
      </c>
      <c r="BP962" s="1">
        <f t="shared" si="201"/>
        <v>1.2851020179428445</v>
      </c>
      <c r="BT962" s="1">
        <f t="shared" si="202"/>
        <v>-1.5647975448037943</v>
      </c>
      <c r="BU962" s="1">
        <f t="shared" si="203"/>
        <v>4.4398900613333954</v>
      </c>
    </row>
    <row r="963" spans="49:73">
      <c r="AW963" s="1">
        <v>953</v>
      </c>
      <c r="AX963" s="1">
        <f t="shared" si="204"/>
        <v>476.5</v>
      </c>
      <c r="AZ963" s="1">
        <f t="shared" si="205"/>
        <v>106085.2451613611</v>
      </c>
      <c r="BA963" s="1">
        <f t="shared" si="206"/>
        <v>-329613.4130008127</v>
      </c>
      <c r="BC963" s="1">
        <f t="shared" si="207"/>
        <v>605.72513285649734</v>
      </c>
      <c r="BD963" s="1">
        <f t="shared" si="208"/>
        <v>-568.10183976646897</v>
      </c>
      <c r="BF963" s="1">
        <f t="shared" si="196"/>
        <v>-3.1087407966719947</v>
      </c>
      <c r="BG963" s="1">
        <f t="shared" si="197"/>
        <v>9.8969730649333485</v>
      </c>
      <c r="BJ963" s="1">
        <f t="shared" si="198"/>
        <v>-1.0688316205887736</v>
      </c>
      <c r="BK963" s="1">
        <f t="shared" si="199"/>
        <v>4.1855892361632918</v>
      </c>
      <c r="BO963" s="1">
        <f t="shared" si="200"/>
        <v>-0.47603677363215563</v>
      </c>
      <c r="BP963" s="1">
        <f t="shared" si="201"/>
        <v>1.2822156406977829</v>
      </c>
      <c r="BT963" s="1">
        <f t="shared" si="202"/>
        <v>-1.5638724024510655</v>
      </c>
      <c r="BU963" s="1">
        <f t="shared" si="203"/>
        <v>4.4291681880722749</v>
      </c>
    </row>
    <row r="964" spans="49:73">
      <c r="AW964" s="1">
        <v>954</v>
      </c>
      <c r="AX964" s="1">
        <f t="shared" si="204"/>
        <v>477</v>
      </c>
      <c r="AZ964" s="1">
        <f t="shared" si="205"/>
        <v>106387.71913518976</v>
      </c>
      <c r="BA964" s="1">
        <f t="shared" si="206"/>
        <v>-329896.2267990628</v>
      </c>
      <c r="BC964" s="1">
        <f t="shared" si="207"/>
        <v>604.17076245816133</v>
      </c>
      <c r="BD964" s="1">
        <f t="shared" si="208"/>
        <v>-563.15335323400234</v>
      </c>
      <c r="BF964" s="1">
        <f t="shared" si="196"/>
        <v>-3.10805349470701</v>
      </c>
      <c r="BG964" s="1">
        <f t="shared" si="197"/>
        <v>9.8744374652662081</v>
      </c>
      <c r="BJ964" s="1">
        <f t="shared" si="198"/>
        <v>-1.0693692398324424</v>
      </c>
      <c r="BK964" s="1">
        <f t="shared" si="199"/>
        <v>4.1765328473347427</v>
      </c>
      <c r="BO964" s="1">
        <f t="shared" si="200"/>
        <v>-0.47571839812938227</v>
      </c>
      <c r="BP964" s="1">
        <f t="shared" si="201"/>
        <v>1.2793560137762716</v>
      </c>
      <c r="BT964" s="1">
        <f t="shared" si="202"/>
        <v>-1.5629658567451854</v>
      </c>
      <c r="BU964" s="1">
        <f t="shared" si="203"/>
        <v>4.4185486041551929</v>
      </c>
    </row>
    <row r="965" spans="49:73">
      <c r="AW965" s="1">
        <v>955</v>
      </c>
      <c r="AX965" s="1">
        <f t="shared" si="204"/>
        <v>477.5</v>
      </c>
      <c r="AZ965" s="1">
        <f t="shared" si="205"/>
        <v>106689.416009732</v>
      </c>
      <c r="BA965" s="1">
        <f t="shared" si="206"/>
        <v>-330176.56917099666</v>
      </c>
      <c r="BC965" s="1">
        <f t="shared" si="207"/>
        <v>602.6167357108078</v>
      </c>
      <c r="BD965" s="1">
        <f t="shared" si="208"/>
        <v>-558.2161345013692</v>
      </c>
      <c r="BF965" s="1">
        <f t="shared" si="196"/>
        <v>-3.1073938268553531</v>
      </c>
      <c r="BG965" s="1">
        <f t="shared" si="197"/>
        <v>9.8521159329240291</v>
      </c>
      <c r="BJ965" s="1">
        <f t="shared" si="198"/>
        <v>-1.0699101224296956</v>
      </c>
      <c r="BK965" s="1">
        <f t="shared" si="199"/>
        <v>4.1675627324888413</v>
      </c>
      <c r="BO965" s="1">
        <f t="shared" si="200"/>
        <v>-0.47540587416511765</v>
      </c>
      <c r="BP965" s="1">
        <f t="shared" si="201"/>
        <v>1.2765228882640454</v>
      </c>
      <c r="BT965" s="1">
        <f t="shared" si="202"/>
        <v>-1.5620778302605398</v>
      </c>
      <c r="BU965" s="1">
        <f t="shared" si="203"/>
        <v>4.4080303121711415</v>
      </c>
    </row>
    <row r="966" spans="49:73">
      <c r="AW966" s="1">
        <v>956</v>
      </c>
      <c r="AX966" s="1">
        <f t="shared" si="204"/>
        <v>478</v>
      </c>
      <c r="AZ966" s="1">
        <f t="shared" si="205"/>
        <v>106990.33595335906</v>
      </c>
      <c r="BA966" s="1">
        <f t="shared" si="206"/>
        <v>-330454.44572375575</v>
      </c>
      <c r="BC966" s="1">
        <f t="shared" si="207"/>
        <v>601.06303879738016</v>
      </c>
      <c r="BD966" s="1">
        <f t="shared" si="208"/>
        <v>-553.29007653490714</v>
      </c>
      <c r="BF966" s="1">
        <f t="shared" si="196"/>
        <v>-3.1067617675847838</v>
      </c>
      <c r="BG966" s="1">
        <f t="shared" si="197"/>
        <v>9.8300064619010428</v>
      </c>
      <c r="BJ966" s="1">
        <f t="shared" si="198"/>
        <v>-1.0704543491008798</v>
      </c>
      <c r="BK966" s="1">
        <f t="shared" si="199"/>
        <v>4.1586781135888042</v>
      </c>
      <c r="BO966" s="1">
        <f t="shared" si="200"/>
        <v>-0.47509917162550941</v>
      </c>
      <c r="BP966" s="1">
        <f t="shared" si="201"/>
        <v>1.2737160188235555</v>
      </c>
      <c r="BT966" s="1">
        <f t="shared" si="202"/>
        <v>-1.561208246858395</v>
      </c>
      <c r="BU966" s="1">
        <f t="shared" si="203"/>
        <v>4.3976123294886822</v>
      </c>
    </row>
    <row r="967" spans="49:73">
      <c r="AW967" s="1">
        <v>957</v>
      </c>
      <c r="AX967" s="1">
        <f t="shared" si="204"/>
        <v>478.5</v>
      </c>
      <c r="AZ967" s="1">
        <f t="shared" si="205"/>
        <v>107290.4791275368</v>
      </c>
      <c r="BA967" s="1">
        <f t="shared" si="206"/>
        <v>-330729.86201121547</v>
      </c>
      <c r="BC967" s="1">
        <f t="shared" si="207"/>
        <v>599.50965791358772</v>
      </c>
      <c r="BD967" s="1">
        <f t="shared" si="208"/>
        <v>-548.37507330395658</v>
      </c>
      <c r="BF967" s="1">
        <f t="shared" si="196"/>
        <v>-3.10615729198777</v>
      </c>
      <c r="BG967" s="1">
        <f t="shared" si="197"/>
        <v>9.8081070754263457</v>
      </c>
      <c r="BJ967" s="1">
        <f t="shared" si="198"/>
        <v>-1.0710019994130318</v>
      </c>
      <c r="BK967" s="1">
        <f t="shared" si="199"/>
        <v>4.149878223785934</v>
      </c>
      <c r="BO967" s="1">
        <f t="shared" si="200"/>
        <v>-0.47479826089869709</v>
      </c>
      <c r="BP967" s="1">
        <f t="shared" si="201"/>
        <v>1.2709351636353503</v>
      </c>
      <c r="BT967" s="1">
        <f t="shared" si="202"/>
        <v>-1.5603570316760411</v>
      </c>
      <c r="BU967" s="1">
        <f t="shared" si="203"/>
        <v>4.3872936880050606</v>
      </c>
    </row>
    <row r="968" spans="49:73">
      <c r="AW968" s="1">
        <v>958</v>
      </c>
      <c r="AX968" s="1">
        <f t="shared" si="204"/>
        <v>479</v>
      </c>
      <c r="AZ968" s="1">
        <f t="shared" si="205"/>
        <v>107589.84568683209</v>
      </c>
      <c r="BA968" s="1">
        <f t="shared" si="206"/>
        <v>-331002.82353448303</v>
      </c>
      <c r="BC968" s="1">
        <f t="shared" si="207"/>
        <v>597.95657926759384</v>
      </c>
      <c r="BD968" s="1">
        <f t="shared" si="208"/>
        <v>-543.47101976624344</v>
      </c>
      <c r="BF968" s="1">
        <f t="shared" si="196"/>
        <v>-3.1055803757958502</v>
      </c>
      <c r="BG968" s="1">
        <f t="shared" si="197"/>
        <v>9.7864158254815834</v>
      </c>
      <c r="BJ968" s="1">
        <f t="shared" si="198"/>
        <v>-1.0715531518110923</v>
      </c>
      <c r="BK968" s="1">
        <f t="shared" si="199"/>
        <v>4.1411623072405961</v>
      </c>
      <c r="BO968" s="1">
        <f t="shared" si="200"/>
        <v>-0.47450311286868546</v>
      </c>
      <c r="BP968" s="1">
        <f t="shared" si="201"/>
        <v>1.2681800843405402</v>
      </c>
      <c r="BT968" s="1">
        <f t="shared" si="202"/>
        <v>-1.5595241111160723</v>
      </c>
      <c r="BU968" s="1">
        <f t="shared" si="203"/>
        <v>4.3770734339004482</v>
      </c>
    </row>
    <row r="969" spans="49:73">
      <c r="AW969" s="1">
        <v>959</v>
      </c>
      <c r="AX969" s="1">
        <f t="shared" si="204"/>
        <v>479.5</v>
      </c>
      <c r="AZ969" s="1">
        <f t="shared" si="205"/>
        <v>107888.43577891892</v>
      </c>
      <c r="BA969" s="1">
        <f t="shared" si="206"/>
        <v>-331273.33574238798</v>
      </c>
      <c r="BC969" s="1">
        <f t="shared" si="207"/>
        <v>596.40378907969591</v>
      </c>
      <c r="BD969" s="1">
        <f t="shared" si="208"/>
        <v>-538.57781185350268</v>
      </c>
      <c r="BF969" s="1">
        <f t="shared" si="196"/>
        <v>-3.105030995393574</v>
      </c>
      <c r="BG969" s="1">
        <f t="shared" si="197"/>
        <v>9.7649307923283395</v>
      </c>
      <c r="BJ969" s="1">
        <f t="shared" si="198"/>
        <v>-1.0721078836483058</v>
      </c>
      <c r="BK969" s="1">
        <f t="shared" si="199"/>
        <v>4.1325296189463732</v>
      </c>
      <c r="BO969" s="1">
        <f t="shared" si="200"/>
        <v>-0.4742136989093918</v>
      </c>
      <c r="BP969" s="1">
        <f t="shared" si="201"/>
        <v>1.265450545984562</v>
      </c>
      <c r="BT969" s="1">
        <f t="shared" si="202"/>
        <v>-1.5587094128358763</v>
      </c>
      <c r="BU969" s="1">
        <f t="shared" si="203"/>
        <v>4.3669506273974044</v>
      </c>
    </row>
    <row r="970" spans="49:73">
      <c r="AW970" s="1">
        <v>960</v>
      </c>
      <c r="AX970" s="1">
        <f t="shared" si="204"/>
        <v>480</v>
      </c>
      <c r="AZ970" s="1">
        <f t="shared" si="205"/>
        <v>108186.24954458434</v>
      </c>
      <c r="BA970" s="1">
        <f t="shared" si="206"/>
        <v>-331541.40403196571</v>
      </c>
      <c r="BC970" s="1">
        <f t="shared" si="207"/>
        <v>594.85127358199918</v>
      </c>
      <c r="BD970" s="1">
        <f t="shared" si="208"/>
        <v>-533.69534645733847</v>
      </c>
      <c r="BF970" s="1">
        <f t="shared" si="196"/>
        <v>-3.1045091278318973</v>
      </c>
      <c r="BG970" s="1">
        <f t="shared" si="197"/>
        <v>9.7436500840448286</v>
      </c>
      <c r="BJ970" s="1">
        <f t="shared" si="198"/>
        <v>-1.0726662712159625</v>
      </c>
      <c r="BK970" s="1">
        <f t="shared" si="199"/>
        <v>4.1239794245578878</v>
      </c>
      <c r="BO970" s="1">
        <f t="shared" si="200"/>
        <v>-0.47392999087876081</v>
      </c>
      <c r="BP970" s="1">
        <f t="shared" si="201"/>
        <v>1.2627463169619451</v>
      </c>
      <c r="BT970" s="1">
        <f t="shared" si="202"/>
        <v>-1.5579128657371739</v>
      </c>
      <c r="BU970" s="1">
        <f t="shared" si="203"/>
        <v>4.3569243425249962</v>
      </c>
    </row>
    <row r="971" spans="49:73">
      <c r="AW971" s="1">
        <v>961</v>
      </c>
      <c r="AX971" s="1">
        <f t="shared" si="204"/>
        <v>480.5</v>
      </c>
      <c r="AZ971" s="1">
        <f t="shared" si="205"/>
        <v>108483.28711773436</v>
      </c>
      <c r="BA971" s="1">
        <f t="shared" si="206"/>
        <v>-331807.03374893387</v>
      </c>
      <c r="BC971" s="1">
        <f t="shared" si="207"/>
        <v>593.29901901808319</v>
      </c>
      <c r="BD971" s="1">
        <f t="shared" si="208"/>
        <v>-528.82352141531601</v>
      </c>
      <c r="BF971" s="1">
        <f t="shared" ref="BF971:BF1010" si="209">BJ971 + BO971 + BT971</f>
        <v>-3.1040147508414098</v>
      </c>
      <c r="BG971" s="1">
        <f t="shared" ref="BG971:BG1010" si="210">BK971 + BP971 + BU971</f>
        <v>9.7225718360726532</v>
      </c>
      <c r="BJ971" s="1">
        <f t="shared" ref="BJ971:BJ1010" si="211">$M$22*($M$18 - AZ971)/ (SQRT(($M$18 - AZ971)^2 + ($N$18 - BA971)^2 )^2 + $M$23^2)^(3/2)</f>
        <v>-1.0732283897725032</v>
      </c>
      <c r="BK971" s="1">
        <f t="shared" ref="BK971:BK1010" si="212">$M$22*($N$18 - BA971)/ (SQRT(($M$18 - AZ971)^2 + ($N$18 - BA971)^2 )^2 + $M$23^2)^(3/2)</f>
        <v>4.115511000222174</v>
      </c>
      <c r="BO971" s="1">
        <f t="shared" ref="BO971:BO1010" si="213">$M$30*($M$26 - AZ971)/ (SQRT(($M$26 - AZ971)^2 + ($N$26 - BA971)^2 )^2 + $M$31^2)^(3/2)</f>
        <v>-0.47365196111301849</v>
      </c>
      <c r="BP971" s="1">
        <f t="shared" ref="BP971:BP1010" si="214">$M$30*($N$26 - BA971)/ (SQRT(($M$26 - AZ971)^2 + ($N$26 - BA971)^2 )^2 + $M$31^2)^(3/2)</f>
        <v>1.2600671689622402</v>
      </c>
      <c r="BT971" s="1">
        <f t="shared" ref="BT971:BT1010" si="215">$M$38*($M$34 - AZ971)/ (SQRT(($M$34 - AZ971)^2 + ($N$34 - BA971)^2 )^2 + $M$39^2)^(3/2)</f>
        <v>-1.5571343999558882</v>
      </c>
      <c r="BU971" s="1">
        <f t="shared" ref="BU971:BU1010" si="216">$M$38*($N$34 - BA971)/ (SQRT(($M$34 - AZ971)^2 + ($N$34 - BA971)^2 )^2 + $M$39^2)^(3/2)</f>
        <v>4.3469936668882392</v>
      </c>
    </row>
    <row r="972" spans="49:73">
      <c r="AW972" s="1">
        <v>962</v>
      </c>
      <c r="AX972" s="1">
        <f t="shared" ref="AX972:AX1010" si="217">AX971+$M$5</f>
        <v>481</v>
      </c>
      <c r="AZ972" s="1">
        <f t="shared" ref="AZ972:AZ1010" si="218">AZ971 + BC971 * $M$5 + 0.5 * BF971 * POWER($M$5, 2)</f>
        <v>108779.54862539955</v>
      </c>
      <c r="BA972" s="1">
        <f t="shared" ref="BA972:BA1010" si="219">BA971+BD971*$M$5+0.5*BG971* POWER($M$5, 2)</f>
        <v>-332070.23018816207</v>
      </c>
      <c r="BC972" s="1">
        <f t="shared" ref="BC972:BC1010" si="220">BC971 + BF971 * $M$5</f>
        <v>591.74701164266253</v>
      </c>
      <c r="BD972" s="1">
        <f t="shared" ref="BD972:BD1010" si="221">BD971+BG971*$M$5</f>
        <v>-523.96223549727972</v>
      </c>
      <c r="BF972" s="1">
        <f t="shared" si="209"/>
        <v>-3.1035478428450234</v>
      </c>
      <c r="BG972" s="1">
        <f t="shared" si="210"/>
        <v>9.7016942107722368</v>
      </c>
      <c r="BJ972" s="1">
        <f t="shared" si="211"/>
        <v>-1.0737943135719432</v>
      </c>
      <c r="BK972" s="1">
        <f t="shared" si="212"/>
        <v>4.1071236324133</v>
      </c>
      <c r="BO972" s="1">
        <f t="shared" si="213"/>
        <v>-0.47337958242103756</v>
      </c>
      <c r="BP972" s="1">
        <f t="shared" si="214"/>
        <v>1.257412876917031</v>
      </c>
      <c r="BT972" s="1">
        <f t="shared" si="215"/>
        <v>-1.5563739468520426</v>
      </c>
      <c r="BU972" s="1">
        <f t="shared" si="216"/>
        <v>4.3371577014419058</v>
      </c>
    </row>
    <row r="973" spans="49:73">
      <c r="AW973" s="1">
        <v>963</v>
      </c>
      <c r="AX973" s="1">
        <f t="shared" si="217"/>
        <v>481.5</v>
      </c>
      <c r="AZ973" s="1">
        <f t="shared" si="218"/>
        <v>109075.03418774053</v>
      </c>
      <c r="BA973" s="1">
        <f t="shared" si="219"/>
        <v>-332330.99859413435</v>
      </c>
      <c r="BC973" s="1">
        <f t="shared" si="220"/>
        <v>590.19523772124001</v>
      </c>
      <c r="BD973" s="1">
        <f t="shared" si="221"/>
        <v>-519.11138839189357</v>
      </c>
      <c r="BF973" s="1">
        <f t="shared" si="209"/>
        <v>-3.1031083829703188</v>
      </c>
      <c r="BG973" s="1">
        <f t="shared" si="210"/>
        <v>9.6810153969872452</v>
      </c>
      <c r="BJ973" s="1">
        <f t="shared" si="211"/>
        <v>-1.0743641158915913</v>
      </c>
      <c r="BK973" s="1">
        <f t="shared" si="212"/>
        <v>4.0988166177700229</v>
      </c>
      <c r="BO973" s="1">
        <f t="shared" si="213"/>
        <v>-0.47311282807882327</v>
      </c>
      <c r="BP973" s="1">
        <f t="shared" si="214"/>
        <v>1.2547832189480184</v>
      </c>
      <c r="BT973" s="1">
        <f t="shared" si="215"/>
        <v>-1.5556314389999042</v>
      </c>
      <c r="BU973" s="1">
        <f t="shared" si="216"/>
        <v>4.3274155602692037</v>
      </c>
    </row>
    <row r="974" spans="49:73">
      <c r="AW974" s="1">
        <v>964</v>
      </c>
      <c r="AX974" s="1">
        <f t="shared" si="217"/>
        <v>482</v>
      </c>
      <c r="AZ974" s="1">
        <f t="shared" si="218"/>
        <v>109369.74391805327</v>
      </c>
      <c r="BA974" s="1">
        <f t="shared" si="219"/>
        <v>-332589.34416140569</v>
      </c>
      <c r="BC974" s="1">
        <f t="shared" si="220"/>
        <v>588.64368352975487</v>
      </c>
      <c r="BD974" s="1">
        <f t="shared" si="221"/>
        <v>-514.27088069339993</v>
      </c>
      <c r="BF974" s="1">
        <f t="shared" si="209"/>
        <v>-3.1026963510616143</v>
      </c>
      <c r="BG974" s="1">
        <f t="shared" si="210"/>
        <v>9.6605336096181205</v>
      </c>
      <c r="BJ974" s="1">
        <f t="shared" si="211"/>
        <v>-1.0749378690593101</v>
      </c>
      <c r="BK974" s="1">
        <f t="shared" si="212"/>
        <v>4.090589262937244</v>
      </c>
      <c r="BO974" s="1">
        <f t="shared" si="213"/>
        <v>-0.47285167182407567</v>
      </c>
      <c r="BP974" s="1">
        <f t="shared" si="214"/>
        <v>1.2521779763160557</v>
      </c>
      <c r="BT974" s="1">
        <f t="shared" si="215"/>
        <v>-1.5549068101782286</v>
      </c>
      <c r="BU974" s="1">
        <f t="shared" si="216"/>
        <v>4.3177663703648212</v>
      </c>
    </row>
    <row r="975" spans="49:73">
      <c r="AW975" s="1">
        <v>965</v>
      </c>
      <c r="AX975" s="1">
        <f t="shared" si="217"/>
        <v>482.5</v>
      </c>
      <c r="AZ975" s="1">
        <f t="shared" si="218"/>
        <v>109663.67792277427</v>
      </c>
      <c r="BA975" s="1">
        <f t="shared" si="219"/>
        <v>-332845.2720350512</v>
      </c>
      <c r="BC975" s="1">
        <f t="shared" si="220"/>
        <v>587.09233535422402</v>
      </c>
      <c r="BD975" s="1">
        <f t="shared" si="221"/>
        <v>-509.44061388859086</v>
      </c>
      <c r="BF975" s="1">
        <f t="shared" si="209"/>
        <v>-3.1023117276915473</v>
      </c>
      <c r="BG975" s="1">
        <f t="shared" si="210"/>
        <v>9.6402470892035232</v>
      </c>
      <c r="BJ975" s="1">
        <f t="shared" si="211"/>
        <v>-1.0755156444799499</v>
      </c>
      <c r="BK975" s="1">
        <f t="shared" si="212"/>
        <v>4.0824408844097544</v>
      </c>
      <c r="BO975" s="1">
        <f t="shared" si="213"/>
        <v>-0.47259608785091139</v>
      </c>
      <c r="BP975" s="1">
        <f t="shared" si="214"/>
        <v>1.2495969333713308</v>
      </c>
      <c r="BT975" s="1">
        <f t="shared" si="215"/>
        <v>-1.554199995360686</v>
      </c>
      <c r="BU975" s="1">
        <f t="shared" si="216"/>
        <v>4.3082092714224389</v>
      </c>
    </row>
    <row r="976" spans="49:73">
      <c r="AW976" s="1">
        <v>966</v>
      </c>
      <c r="AX976" s="1">
        <f t="shared" si="217"/>
        <v>483</v>
      </c>
      <c r="AZ976" s="1">
        <f t="shared" si="218"/>
        <v>109956.83630148541</v>
      </c>
      <c r="BA976" s="1">
        <f t="shared" si="219"/>
        <v>-333098.78731110931</v>
      </c>
      <c r="BC976" s="1">
        <f t="shared" si="220"/>
        <v>585.54117949037823</v>
      </c>
      <c r="BD976" s="1">
        <f t="shared" si="221"/>
        <v>-504.6204903439891</v>
      </c>
      <c r="BF976" s="1">
        <f t="shared" si="209"/>
        <v>-3.1019544941725381</v>
      </c>
      <c r="BG976" s="1">
        <f t="shared" si="210"/>
        <v>9.6201541015109591</v>
      </c>
      <c r="BJ976" s="1">
        <f t="shared" si="211"/>
        <v>-1.0760975126614156</v>
      </c>
      <c r="BK976" s="1">
        <f t="shared" si="212"/>
        <v>4.074370808379876</v>
      </c>
      <c r="BO976" s="1">
        <f t="shared" si="213"/>
        <v>-0.47234605080463499</v>
      </c>
      <c r="BP976" s="1">
        <f t="shared" si="214"/>
        <v>1.2470398775043858</v>
      </c>
      <c r="BT976" s="1">
        <f t="shared" si="215"/>
        <v>-1.5535109307064876</v>
      </c>
      <c r="BU976" s="1">
        <f t="shared" si="216"/>
        <v>4.2987434156266975</v>
      </c>
    </row>
    <row r="977" spans="49:73">
      <c r="AW977" s="1">
        <v>967</v>
      </c>
      <c r="AX977" s="1">
        <f t="shared" si="217"/>
        <v>483.5</v>
      </c>
      <c r="AZ977" s="1">
        <f t="shared" si="218"/>
        <v>110249.21914691884</v>
      </c>
      <c r="BA977" s="1">
        <f t="shared" si="219"/>
        <v>-333349.89503701864</v>
      </c>
      <c r="BC977" s="1">
        <f t="shared" si="220"/>
        <v>583.99020224329195</v>
      </c>
      <c r="BD977" s="1">
        <f t="shared" si="221"/>
        <v>-499.81041329323364</v>
      </c>
      <c r="BF977" s="1">
        <f t="shared" si="209"/>
        <v>-3.1016246325677268</v>
      </c>
      <c r="BG977" s="1">
        <f t="shared" si="210"/>
        <v>9.6002529371347745</v>
      </c>
      <c r="BJ977" s="1">
        <f t="shared" si="211"/>
        <v>-1.0766835432399966</v>
      </c>
      <c r="BK977" s="1">
        <f t="shared" si="212"/>
        <v>4.066378370587457</v>
      </c>
      <c r="BO977" s="1">
        <f t="shared" si="213"/>
        <v>-0.47210153577665043</v>
      </c>
      <c r="BP977" s="1">
        <f t="shared" si="214"/>
        <v>1.2445065990982009</v>
      </c>
      <c r="BT977" s="1">
        <f t="shared" si="215"/>
        <v>-1.5528395535510797</v>
      </c>
      <c r="BU977" s="1">
        <f t="shared" si="216"/>
        <v>4.2893679674491167</v>
      </c>
    </row>
    <row r="978" spans="49:73">
      <c r="AW978" s="1">
        <v>968</v>
      </c>
      <c r="AX978" s="1">
        <f t="shared" si="217"/>
        <v>484</v>
      </c>
      <c r="AZ978" s="1">
        <f t="shared" si="218"/>
        <v>110540.82654496141</v>
      </c>
      <c r="BA978" s="1">
        <f t="shared" si="219"/>
        <v>-333598.6002120481</v>
      </c>
      <c r="BC978" s="1">
        <f t="shared" si="220"/>
        <v>582.43938992700805</v>
      </c>
      <c r="BD978" s="1">
        <f t="shared" si="221"/>
        <v>-495.01028682466625</v>
      </c>
      <c r="BF978" s="1">
        <f t="shared" si="209"/>
        <v>-3.1013221257018175</v>
      </c>
      <c r="BG978" s="1">
        <f t="shared" si="210"/>
        <v>9.5805419111028627</v>
      </c>
      <c r="BJ978" s="1">
        <f t="shared" si="211"/>
        <v>-1.0772738050052451</v>
      </c>
      <c r="BK978" s="1">
        <f t="shared" si="212"/>
        <v>4.0584629161731991</v>
      </c>
      <c r="BO978" s="1">
        <f t="shared" si="213"/>
        <v>-0.47186251829946818</v>
      </c>
      <c r="BP978" s="1">
        <f t="shared" si="214"/>
        <v>1.2419968914812047</v>
      </c>
      <c r="BT978" s="1">
        <f t="shared" si="215"/>
        <v>-1.5521858023971042</v>
      </c>
      <c r="BU978" s="1">
        <f t="shared" si="216"/>
        <v>4.2800821034484597</v>
      </c>
    </row>
    <row r="979" spans="49:73">
      <c r="AW979" s="1">
        <v>969</v>
      </c>
      <c r="AX979" s="1">
        <f t="shared" si="217"/>
        <v>484.5</v>
      </c>
      <c r="AZ979" s="1">
        <f t="shared" si="218"/>
        <v>110831.6585746592</v>
      </c>
      <c r="BA979" s="1">
        <f t="shared" si="219"/>
        <v>-333844.90778772155</v>
      </c>
      <c r="BC979" s="1">
        <f t="shared" si="220"/>
        <v>580.88872886415709</v>
      </c>
      <c r="BD979" s="1">
        <f t="shared" si="221"/>
        <v>-490.22001586911483</v>
      </c>
      <c r="BF979" s="1">
        <f t="shared" si="209"/>
        <v>-3.1010469571714498</v>
      </c>
      <c r="BG979" s="1">
        <f t="shared" si="210"/>
        <v>9.5610193624905691</v>
      </c>
      <c r="BJ979" s="1">
        <f t="shared" si="211"/>
        <v>-1.0778683659242487</v>
      </c>
      <c r="BK979" s="1">
        <f t="shared" si="212"/>
        <v>4.0506237995345913</v>
      </c>
      <c r="BO979" s="1">
        <f t="shared" si="213"/>
        <v>-0.47162897434178597</v>
      </c>
      <c r="BP979" s="1">
        <f t="shared" si="214"/>
        <v>1.2395105508811404</v>
      </c>
      <c r="BT979" s="1">
        <f t="shared" si="215"/>
        <v>-1.551549616905415</v>
      </c>
      <c r="BU979" s="1">
        <f t="shared" si="216"/>
        <v>4.270885012074837</v>
      </c>
    </row>
    <row r="980" spans="49:73">
      <c r="AW980" s="1">
        <v>970</v>
      </c>
      <c r="AX980" s="1">
        <f t="shared" si="217"/>
        <v>485</v>
      </c>
      <c r="AZ980" s="1">
        <f t="shared" si="218"/>
        <v>111121.71530822164</v>
      </c>
      <c r="BA980" s="1">
        <f t="shared" si="219"/>
        <v>-334088.82266823581</v>
      </c>
      <c r="BC980" s="1">
        <f t="shared" si="220"/>
        <v>579.33820538557131</v>
      </c>
      <c r="BD980" s="1">
        <f t="shared" si="221"/>
        <v>-485.43950618786954</v>
      </c>
      <c r="BF980" s="1">
        <f t="shared" si="209"/>
        <v>-3.1007991113554234</v>
      </c>
      <c r="BG980" s="1">
        <f t="shared" si="210"/>
        <v>9.5416836540425898</v>
      </c>
      <c r="BJ980" s="1">
        <f t="shared" si="211"/>
        <v>-1.078467293165386</v>
      </c>
      <c r="BK980" s="1">
        <f t="shared" si="212"/>
        <v>4.0428603841846726</v>
      </c>
      <c r="BO980" s="1">
        <f t="shared" si="213"/>
        <v>-0.47140088030371546</v>
      </c>
      <c r="BP980" s="1">
        <f t="shared" si="214"/>
        <v>1.2370473763799585</v>
      </c>
      <c r="BT980" s="1">
        <f t="shared" si="215"/>
        <v>-1.5509309378863219</v>
      </c>
      <c r="BU980" s="1">
        <f t="shared" si="216"/>
        <v>4.2617758934779575</v>
      </c>
    </row>
    <row r="981" spans="49:73">
      <c r="AW981" s="1">
        <v>971</v>
      </c>
      <c r="AX981" s="1">
        <f t="shared" si="217"/>
        <v>485.5</v>
      </c>
      <c r="AZ981" s="1">
        <f t="shared" si="218"/>
        <v>111410.99681102551</v>
      </c>
      <c r="BA981" s="1">
        <f t="shared" si="219"/>
        <v>-334330.34971087304</v>
      </c>
      <c r="BC981" s="1">
        <f t="shared" si="220"/>
        <v>577.78780582989361</v>
      </c>
      <c r="BD981" s="1">
        <f t="shared" si="221"/>
        <v>-480.66866436084825</v>
      </c>
      <c r="BF981" s="1">
        <f t="shared" si="209"/>
        <v>-3.1005785734246487</v>
      </c>
      <c r="BG981" s="1">
        <f t="shared" si="210"/>
        <v>9.5225331718024187</v>
      </c>
      <c r="BJ981" s="1">
        <f t="shared" si="211"/>
        <v>-1.0790706531216527</v>
      </c>
      <c r="BK981" s="1">
        <f t="shared" si="212"/>
        <v>4.0351720426138584</v>
      </c>
      <c r="BO981" s="1">
        <f t="shared" si="213"/>
        <v>-0.47117821301205187</v>
      </c>
      <c r="BP981" s="1">
        <f t="shared" si="214"/>
        <v>1.2346071698694541</v>
      </c>
      <c r="BT981" s="1">
        <f t="shared" si="215"/>
        <v>-1.5503297072909443</v>
      </c>
      <c r="BU981" s="1">
        <f t="shared" si="216"/>
        <v>4.252753959319107</v>
      </c>
    </row>
    <row r="982" spans="49:73">
      <c r="AW982" s="1">
        <v>972</v>
      </c>
      <c r="AX982" s="1">
        <f t="shared" si="217"/>
        <v>486</v>
      </c>
      <c r="AZ982" s="1">
        <f t="shared" si="218"/>
        <v>111699.50314161878</v>
      </c>
      <c r="BA982" s="1">
        <f t="shared" si="219"/>
        <v>-334569.493726407</v>
      </c>
      <c r="BC982" s="1">
        <f t="shared" si="220"/>
        <v>576.2375165431813</v>
      </c>
      <c r="BD982" s="1">
        <f t="shared" si="221"/>
        <v>-475.90739777494707</v>
      </c>
      <c r="BF982" s="1">
        <f t="shared" si="209"/>
        <v>-3.1003853293517398</v>
      </c>
      <c r="BG982" s="1">
        <f t="shared" si="210"/>
        <v>9.5035663247486273</v>
      </c>
      <c r="BJ982" s="1">
        <f t="shared" si="211"/>
        <v>-1.0796785114333325</v>
      </c>
      <c r="BK982" s="1">
        <f t="shared" si="212"/>
        <v>4.0275581561538329</v>
      </c>
      <c r="BO982" s="1">
        <f t="shared" si="213"/>
        <v>-0.47096094971567981</v>
      </c>
      <c r="BP982" s="1">
        <f t="shared" si="214"/>
        <v>1.2321897360078755</v>
      </c>
      <c r="BT982" s="1">
        <f t="shared" si="215"/>
        <v>-1.5497458682027276</v>
      </c>
      <c r="BU982" s="1">
        <f t="shared" si="216"/>
        <v>4.2438184325869184</v>
      </c>
    </row>
    <row r="983" spans="49:73">
      <c r="AW983" s="1">
        <v>973</v>
      </c>
      <c r="AX983" s="1">
        <f t="shared" si="217"/>
        <v>486.5</v>
      </c>
      <c r="AZ983" s="1">
        <f t="shared" si="218"/>
        <v>111987.23435172421</v>
      </c>
      <c r="BA983" s="1">
        <f t="shared" si="219"/>
        <v>-334806.2594795039</v>
      </c>
      <c r="BC983" s="1">
        <f t="shared" si="220"/>
        <v>574.68732387850548</v>
      </c>
      <c r="BD983" s="1">
        <f t="shared" si="221"/>
        <v>-471.15561461257278</v>
      </c>
      <c r="BF983" s="1">
        <f t="shared" si="209"/>
        <v>-3.1002193659205144</v>
      </c>
      <c r="BG983" s="1">
        <f t="shared" si="210"/>
        <v>9.4847815444388637</v>
      </c>
      <c r="BJ983" s="1">
        <f t="shared" si="211"/>
        <v>-1.0802909330103676</v>
      </c>
      <c r="BK983" s="1">
        <f t="shared" si="212"/>
        <v>4.0200181148447678</v>
      </c>
      <c r="BO983" s="1">
        <f t="shared" si="213"/>
        <v>-0.4707490680810425</v>
      </c>
      <c r="BP983" s="1">
        <f t="shared" si="214"/>
        <v>1.2297948821773017</v>
      </c>
      <c r="BT983" s="1">
        <f t="shared" si="215"/>
        <v>-1.5491793648291041</v>
      </c>
      <c r="BU983" s="1">
        <f t="shared" si="216"/>
        <v>4.234968547416794</v>
      </c>
    </row>
    <row r="984" spans="49:73">
      <c r="AW984" s="1">
        <v>974</v>
      </c>
      <c r="AX984" s="1">
        <f t="shared" si="217"/>
        <v>487</v>
      </c>
      <c r="AZ984" s="1">
        <f t="shared" si="218"/>
        <v>112274.19048624273</v>
      </c>
      <c r="BA984" s="1">
        <f t="shared" si="219"/>
        <v>-335040.65168911713</v>
      </c>
      <c r="BC984" s="1">
        <f t="shared" si="220"/>
        <v>573.1372141955452</v>
      </c>
      <c r="BD984" s="1">
        <f t="shared" si="221"/>
        <v>-466.41322384035334</v>
      </c>
      <c r="BF984" s="1">
        <f t="shared" si="209"/>
        <v>-3.1000806707351742</v>
      </c>
      <c r="BG984" s="1">
        <f t="shared" si="210"/>
        <v>9.4661772846604535</v>
      </c>
      <c r="BJ984" s="1">
        <f t="shared" si="211"/>
        <v>-1.0809079820540906</v>
      </c>
      <c r="BK984" s="1">
        <f t="shared" si="212"/>
        <v>4.0125513173044682</v>
      </c>
      <c r="BO984" s="1">
        <f t="shared" si="213"/>
        <v>-0.47054254618771346</v>
      </c>
      <c r="BP984" s="1">
        <f t="shared" si="214"/>
        <v>1.2274224184418738</v>
      </c>
      <c r="BT984" s="1">
        <f t="shared" si="215"/>
        <v>-1.5486301424933699</v>
      </c>
      <c r="BU984" s="1">
        <f t="shared" si="216"/>
        <v>4.2262035489141105</v>
      </c>
    </row>
    <row r="985" spans="49:73">
      <c r="AW985" s="1">
        <v>975</v>
      </c>
      <c r="AX985" s="1">
        <f t="shared" si="217"/>
        <v>487.5</v>
      </c>
      <c r="AZ985" s="1">
        <f t="shared" si="218"/>
        <v>112560.37158325665</v>
      </c>
      <c r="BA985" s="1">
        <f t="shared" si="219"/>
        <v>-335272.67502887669</v>
      </c>
      <c r="BC985" s="1">
        <f t="shared" si="220"/>
        <v>571.58717386017759</v>
      </c>
      <c r="BD985" s="1">
        <f t="shared" si="221"/>
        <v>-461.68013519802309</v>
      </c>
      <c r="BF985" s="1">
        <f t="shared" si="209"/>
        <v>-3.0999692322292454</v>
      </c>
      <c r="BG985" s="1">
        <f t="shared" si="210"/>
        <v>9.4477520210878403</v>
      </c>
      <c r="BJ985" s="1">
        <f t="shared" si="211"/>
        <v>-1.0815297220785973</v>
      </c>
      <c r="BK985" s="1">
        <f t="shared" si="212"/>
        <v>4.0051571706004054</v>
      </c>
      <c r="BO985" s="1">
        <f t="shared" si="213"/>
        <v>-0.47034136252407466</v>
      </c>
      <c r="BP985" s="1">
        <f t="shared" si="214"/>
        <v>1.2250721575068799</v>
      </c>
      <c r="BT985" s="1">
        <f t="shared" si="215"/>
        <v>-1.5480981476265734</v>
      </c>
      <c r="BU985" s="1">
        <f t="shared" si="216"/>
        <v>4.2175226929805563</v>
      </c>
    </row>
    <row r="986" spans="49:73">
      <c r="AW986" s="1">
        <v>976</v>
      </c>
      <c r="AX986" s="1">
        <f t="shared" si="217"/>
        <v>488</v>
      </c>
      <c r="AZ986" s="1">
        <f t="shared" si="218"/>
        <v>112845.77767403271</v>
      </c>
      <c r="BA986" s="1">
        <f t="shared" si="219"/>
        <v>-335502.33412747306</v>
      </c>
      <c r="BC986" s="1">
        <f t="shared" si="220"/>
        <v>570.03718924406292</v>
      </c>
      <c r="BD986" s="1">
        <f t="shared" si="221"/>
        <v>-456.95625918747919</v>
      </c>
      <c r="BF986" s="1">
        <f t="shared" si="209"/>
        <v>-3.0998850396744211</v>
      </c>
      <c r="BG986" s="1">
        <f t="shared" si="210"/>
        <v>9.4295042509470566</v>
      </c>
      <c r="BJ986" s="1">
        <f t="shared" si="211"/>
        <v>-1.0821562159316815</v>
      </c>
      <c r="BK986" s="1">
        <f t="shared" si="212"/>
        <v>3.997835090124227</v>
      </c>
      <c r="BO986" s="1">
        <f t="shared" si="213"/>
        <v>-0.47014549598303818</v>
      </c>
      <c r="BP986" s="1">
        <f t="shared" si="214"/>
        <v>1.2227439146785131</v>
      </c>
      <c r="BT986" s="1">
        <f t="shared" si="215"/>
        <v>-1.5475833277597013</v>
      </c>
      <c r="BU986" s="1">
        <f t="shared" si="216"/>
        <v>4.2089252461443163</v>
      </c>
    </row>
    <row r="987" spans="49:73">
      <c r="AW987" s="1">
        <v>977</v>
      </c>
      <c r="AX987" s="1">
        <f t="shared" si="217"/>
        <v>488.5</v>
      </c>
      <c r="AZ987" s="1">
        <f t="shared" si="218"/>
        <v>113130.40878302477</v>
      </c>
      <c r="BA987" s="1">
        <f t="shared" si="219"/>
        <v>-335729.63356903539</v>
      </c>
      <c r="BC987" s="1">
        <f t="shared" si="220"/>
        <v>568.48724672422566</v>
      </c>
      <c r="BD987" s="1">
        <f t="shared" si="221"/>
        <v>-452.24150706200567</v>
      </c>
      <c r="BF987" s="1">
        <f t="shared" si="209"/>
        <v>-3.0998280831890441</v>
      </c>
      <c r="BG987" s="1">
        <f t="shared" si="210"/>
        <v>9.4114324926861634</v>
      </c>
      <c r="BJ987" s="1">
        <f t="shared" si="211"/>
        <v>-1.0827875258152428</v>
      </c>
      <c r="BK987" s="1">
        <f t="shared" si="212"/>
        <v>3.9905844994683335</v>
      </c>
      <c r="BO987" s="1">
        <f t="shared" si="213"/>
        <v>-0.46995492585789916</v>
      </c>
      <c r="BP987" s="1">
        <f t="shared" si="214"/>
        <v>1.2204375078245224</v>
      </c>
      <c r="BT987" s="1">
        <f t="shared" si="215"/>
        <v>-1.5470856315159021</v>
      </c>
      <c r="BU987" s="1">
        <f t="shared" si="216"/>
        <v>4.2004104853933084</v>
      </c>
    </row>
    <row r="988" spans="49:73">
      <c r="AW988" s="1">
        <v>978</v>
      </c>
      <c r="AX988" s="1">
        <f t="shared" si="217"/>
        <v>489</v>
      </c>
      <c r="AZ988" s="1">
        <f t="shared" si="218"/>
        <v>113414.26492787649</v>
      </c>
      <c r="BA988" s="1">
        <f t="shared" si="219"/>
        <v>-335954.57789350481</v>
      </c>
      <c r="BC988" s="1">
        <f t="shared" si="220"/>
        <v>566.93733268263111</v>
      </c>
      <c r="BD988" s="1">
        <f t="shared" si="221"/>
        <v>-447.53579081566261</v>
      </c>
      <c r="BF988" s="1">
        <f t="shared" si="209"/>
        <v>-3.0997983537465608</v>
      </c>
      <c r="BG988" s="1">
        <f t="shared" si="210"/>
        <v>9.3935352856527032</v>
      </c>
      <c r="BJ988" s="1">
        <f t="shared" si="211"/>
        <v>-1.0834237133054025</v>
      </c>
      <c r="BK988" s="1">
        <f t="shared" si="212"/>
        <v>3.9834048303052829</v>
      </c>
      <c r="BO988" s="1">
        <f t="shared" si="213"/>
        <v>-0.46976963183824799</v>
      </c>
      <c r="BP988" s="1">
        <f t="shared" si="214"/>
        <v>1.2181527573355497</v>
      </c>
      <c r="BT988" s="1">
        <f t="shared" si="215"/>
        <v>-1.5466050086029099</v>
      </c>
      <c r="BU988" s="1">
        <f t="shared" si="216"/>
        <v>4.1919776980118693</v>
      </c>
    </row>
    <row r="989" spans="49:73">
      <c r="AW989" s="1">
        <v>979</v>
      </c>
      <c r="AX989" s="1">
        <f t="shared" si="217"/>
        <v>489.5</v>
      </c>
      <c r="AZ989" s="1">
        <f t="shared" si="218"/>
        <v>113697.34611942359</v>
      </c>
      <c r="BA989" s="1">
        <f t="shared" si="219"/>
        <v>-336177.17159700196</v>
      </c>
      <c r="BC989" s="1">
        <f t="shared" si="220"/>
        <v>565.38743350575783</v>
      </c>
      <c r="BD989" s="1">
        <f t="shared" si="221"/>
        <v>-442.83902317283628</v>
      </c>
      <c r="BF989" s="1">
        <f t="shared" si="209"/>
        <v>-3.0997958431836978</v>
      </c>
      <c r="BG989" s="1">
        <f t="shared" si="210"/>
        <v>9.3758111897769751</v>
      </c>
      <c r="BJ989" s="1">
        <f t="shared" si="211"/>
        <v>-1.0840648393720842</v>
      </c>
      <c r="BK989" s="1">
        <f t="shared" si="212"/>
        <v>3.9762955222690368</v>
      </c>
      <c r="BO989" s="1">
        <f t="shared" si="213"/>
        <v>-0.46958959400598582</v>
      </c>
      <c r="BP989" s="1">
        <f t="shared" si="214"/>
        <v>1.2158894860872613</v>
      </c>
      <c r="BT989" s="1">
        <f t="shared" si="215"/>
        <v>-1.5461414098056279</v>
      </c>
      <c r="BU989" s="1">
        <f t="shared" si="216"/>
        <v>4.1836261814206779</v>
      </c>
    </row>
    <row r="990" spans="49:73">
      <c r="AW990" s="1">
        <v>980</v>
      </c>
      <c r="AX990" s="1">
        <f t="shared" si="217"/>
        <v>490</v>
      </c>
      <c r="AZ990" s="1">
        <f t="shared" si="218"/>
        <v>113979.65236169606</v>
      </c>
      <c r="BA990" s="1">
        <f t="shared" si="219"/>
        <v>-336397.41913218965</v>
      </c>
      <c r="BC990" s="1">
        <f t="shared" si="220"/>
        <v>563.83753558416595</v>
      </c>
      <c r="BD990" s="1">
        <f t="shared" si="221"/>
        <v>-438.15111757794779</v>
      </c>
      <c r="BF990" s="1">
        <f t="shared" si="209"/>
        <v>-3.0998205442084625</v>
      </c>
      <c r="BG990" s="1">
        <f t="shared" si="210"/>
        <v>9.358258785261576</v>
      </c>
      <c r="BJ990" s="1">
        <f t="shared" si="211"/>
        <v>-1.0847109643982984</v>
      </c>
      <c r="BK990" s="1">
        <f t="shared" si="212"/>
        <v>3.9692560228388474</v>
      </c>
      <c r="BO990" s="1">
        <f t="shared" si="213"/>
        <v>-0.4694147928313786</v>
      </c>
      <c r="BP990" s="1">
        <f t="shared" si="214"/>
        <v>1.2136475194030918</v>
      </c>
      <c r="BT990" s="1">
        <f t="shared" si="215"/>
        <v>-1.5456947869787854</v>
      </c>
      <c r="BU990" s="1">
        <f t="shared" si="216"/>
        <v>4.1753552430196361</v>
      </c>
    </row>
    <row r="991" spans="49:73">
      <c r="AW991" s="1">
        <v>981</v>
      </c>
      <c r="AX991" s="1">
        <f t="shared" si="217"/>
        <v>490.5</v>
      </c>
      <c r="AZ991" s="1">
        <f t="shared" si="218"/>
        <v>114261.18365192012</v>
      </c>
      <c r="BA991" s="1">
        <f t="shared" si="219"/>
        <v>-336615.32490863046</v>
      </c>
      <c r="BC991" s="1">
        <f t="shared" si="220"/>
        <v>562.28762531206166</v>
      </c>
      <c r="BD991" s="1">
        <f t="shared" si="221"/>
        <v>-433.471988185317</v>
      </c>
      <c r="BF991" s="1">
        <f t="shared" si="209"/>
        <v>-3.0998724504079758</v>
      </c>
      <c r="BG991" s="1">
        <f t="shared" si="210"/>
        <v>9.3408766722767744</v>
      </c>
      <c r="BJ991" s="1">
        <f t="shared" si="211"/>
        <v>-1.0853621481989311</v>
      </c>
      <c r="BK991" s="1">
        <f t="shared" si="212"/>
        <v>3.9622857872249546</v>
      </c>
      <c r="BO991" s="1">
        <f t="shared" si="213"/>
        <v>-0.46924520916925655</v>
      </c>
      <c r="BP991" s="1">
        <f t="shared" si="214"/>
        <v>1.2114266850178632</v>
      </c>
      <c r="BT991" s="1">
        <f t="shared" si="215"/>
        <v>-1.5452650930397882</v>
      </c>
      <c r="BU991" s="1">
        <f t="shared" si="216"/>
        <v>4.1671642000339579</v>
      </c>
    </row>
    <row r="992" spans="49:73">
      <c r="AW992" s="1">
        <v>982</v>
      </c>
      <c r="AX992" s="1">
        <f t="shared" si="217"/>
        <v>491</v>
      </c>
      <c r="AZ992" s="1">
        <f t="shared" si="218"/>
        <v>114541.93998051983</v>
      </c>
      <c r="BA992" s="1">
        <f t="shared" si="219"/>
        <v>-336830.89329313906</v>
      </c>
      <c r="BC992" s="1">
        <f t="shared" si="220"/>
        <v>560.7376890868577</v>
      </c>
      <c r="BD992" s="1">
        <f t="shared" si="221"/>
        <v>-428.80154984917863</v>
      </c>
      <c r="BF992" s="1">
        <f t="shared" si="209"/>
        <v>-3.0999515562562312</v>
      </c>
      <c r="BG992" s="1">
        <f t="shared" si="210"/>
        <v>9.323663470662142</v>
      </c>
      <c r="BJ992" s="1">
        <f t="shared" si="211"/>
        <v>-1.0860184500392924</v>
      </c>
      <c r="BK992" s="1">
        <f t="shared" si="212"/>
        <v>3.9553842782569451</v>
      </c>
      <c r="BO992" s="1">
        <f t="shared" si="213"/>
        <v>-0.4690808242552203</v>
      </c>
      <c r="BP992" s="1">
        <f t="shared" si="214"/>
        <v>1.2092268130419108</v>
      </c>
      <c r="BT992" s="1">
        <f t="shared" si="215"/>
        <v>-1.5448522819617188</v>
      </c>
      <c r="BU992" s="1">
        <f t="shared" si="216"/>
        <v>4.1590523793632865</v>
      </c>
    </row>
    <row r="993" spans="49:73">
      <c r="AW993" s="1">
        <v>983</v>
      </c>
      <c r="AX993" s="1">
        <f t="shared" si="217"/>
        <v>491.5</v>
      </c>
      <c r="AZ993" s="1">
        <f t="shared" si="218"/>
        <v>114821.92133111872</v>
      </c>
      <c r="BA993" s="1">
        <f t="shared" si="219"/>
        <v>-337044.12861012982</v>
      </c>
      <c r="BC993" s="1">
        <f t="shared" si="220"/>
        <v>559.1877133087296</v>
      </c>
      <c r="BD993" s="1">
        <f t="shared" si="221"/>
        <v>-424.13971811384755</v>
      </c>
      <c r="BF993" s="1">
        <f t="shared" si="209"/>
        <v>-3.1000578571216186</v>
      </c>
      <c r="BG993" s="1">
        <f t="shared" si="210"/>
        <v>9.306617819633523</v>
      </c>
      <c r="BJ993" s="1">
        <f t="shared" si="211"/>
        <v>-1.0866799286531568</v>
      </c>
      <c r="BK993" s="1">
        <f t="shared" si="212"/>
        <v>3.948550966273725</v>
      </c>
      <c r="BO993" s="1">
        <f t="shared" si="213"/>
        <v>-0.46892161970200408</v>
      </c>
      <c r="BP993" s="1">
        <f t="shared" si="214"/>
        <v>1.2070477359260929</v>
      </c>
      <c r="BT993" s="1">
        <f t="shared" si="215"/>
        <v>-1.5444563087664576</v>
      </c>
      <c r="BU993" s="1">
        <f t="shared" si="216"/>
        <v>4.1510191174337061</v>
      </c>
    </row>
    <row r="994" spans="49:73">
      <c r="AW994" s="1">
        <v>984</v>
      </c>
      <c r="AX994" s="1">
        <f t="shared" si="217"/>
        <v>492</v>
      </c>
      <c r="AZ994" s="1">
        <f t="shared" si="218"/>
        <v>115101.12768054094</v>
      </c>
      <c r="BA994" s="1">
        <f t="shared" si="219"/>
        <v>-337255.03514195926</v>
      </c>
      <c r="BC994" s="1">
        <f t="shared" si="220"/>
        <v>557.63768438016882</v>
      </c>
      <c r="BD994" s="1">
        <f t="shared" si="221"/>
        <v>-419.48640920403079</v>
      </c>
      <c r="BF994" s="1">
        <f t="shared" si="209"/>
        <v>-3.1001913492743016</v>
      </c>
      <c r="BG994" s="1">
        <f t="shared" si="210"/>
        <v>9.289738377495727</v>
      </c>
      <c r="BJ994" s="1">
        <f t="shared" si="211"/>
        <v>-1.0873466422605458</v>
      </c>
      <c r="BK994" s="1">
        <f t="shared" si="212"/>
        <v>3.9417853290159184</v>
      </c>
      <c r="BO994" s="1">
        <f t="shared" si="213"/>
        <v>-0.46876757749583425</v>
      </c>
      <c r="BP994" s="1">
        <f t="shared" si="214"/>
        <v>1.2048892884272573</v>
      </c>
      <c r="BT994" s="1">
        <f t="shared" si="215"/>
        <v>-1.5440771295179219</v>
      </c>
      <c r="BU994" s="1">
        <f t="shared" si="216"/>
        <v>4.1430637600525513</v>
      </c>
    </row>
    <row r="995" spans="49:73">
      <c r="AW995" s="1">
        <v>985</v>
      </c>
      <c r="AX995" s="1">
        <f t="shared" si="217"/>
        <v>492.5</v>
      </c>
      <c r="AZ995" s="1">
        <f t="shared" si="218"/>
        <v>115379.55899881237</v>
      </c>
      <c r="BA995" s="1">
        <f t="shared" si="219"/>
        <v>-337463.61712926411</v>
      </c>
      <c r="BC995" s="1">
        <f t="shared" si="220"/>
        <v>556.08758870553163</v>
      </c>
      <c r="BD995" s="1">
        <f t="shared" si="221"/>
        <v>-414.84154001528293</v>
      </c>
      <c r="BF995" s="1">
        <f t="shared" si="209"/>
        <v>-3.1003520298935472</v>
      </c>
      <c r="BG995" s="1">
        <f t="shared" si="210"/>
        <v>9.2730238213608889</v>
      </c>
      <c r="BJ995" s="1">
        <f t="shared" si="211"/>
        <v>-1.0880186485851346</v>
      </c>
      <c r="BK995" s="1">
        <f t="shared" si="212"/>
        <v>3.9350868515202002</v>
      </c>
      <c r="BO995" s="1">
        <f t="shared" si="213"/>
        <v>-0.46861867999292228</v>
      </c>
      <c r="BP995" s="1">
        <f t="shared" si="214"/>
        <v>1.2027513075745082</v>
      </c>
      <c r="BT995" s="1">
        <f t="shared" si="215"/>
        <v>-1.5437147013154904</v>
      </c>
      <c r="BU995" s="1">
        <f t="shared" si="216"/>
        <v>4.1351856622661805</v>
      </c>
    </row>
    <row r="996" spans="49:73">
      <c r="AW996" s="1">
        <v>986</v>
      </c>
      <c r="AX996" s="1">
        <f t="shared" si="217"/>
        <v>493</v>
      </c>
      <c r="AZ996" s="1">
        <f t="shared" si="218"/>
        <v>115657.2152491614</v>
      </c>
      <c r="BA996" s="1">
        <f t="shared" si="219"/>
        <v>-337669.87877129408</v>
      </c>
      <c r="BC996" s="1">
        <f t="shared" si="220"/>
        <v>554.5374126905848</v>
      </c>
      <c r="BD996" s="1">
        <f t="shared" si="221"/>
        <v>-410.20502810460249</v>
      </c>
      <c r="BF996" s="1">
        <f t="shared" si="209"/>
        <v>-3.1005398970747873</v>
      </c>
      <c r="BG996" s="1">
        <f t="shared" si="210"/>
        <v>9.2564728468718123</v>
      </c>
      <c r="BJ996" s="1">
        <f t="shared" si="211"/>
        <v>-1.0886960048712619</v>
      </c>
      <c r="BK996" s="1">
        <f t="shared" si="212"/>
        <v>3.9284550260154063</v>
      </c>
      <c r="BO996" s="1">
        <f t="shared" si="213"/>
        <v>-0.46847490991599722</v>
      </c>
      <c r="BP996" s="1">
        <f t="shared" si="214"/>
        <v>1.2006336326360236</v>
      </c>
      <c r="BT996" s="1">
        <f t="shared" si="215"/>
        <v>-1.5433689822875278</v>
      </c>
      <c r="BU996" s="1">
        <f t="shared" si="216"/>
        <v>4.1273841882203834</v>
      </c>
    </row>
    <row r="997" spans="49:73">
      <c r="AW997" s="1">
        <v>987</v>
      </c>
      <c r="AX997" s="1">
        <f t="shared" si="217"/>
        <v>493.5</v>
      </c>
      <c r="AZ997" s="1">
        <f t="shared" si="218"/>
        <v>115934.09638801955</v>
      </c>
      <c r="BA997" s="1">
        <f t="shared" si="219"/>
        <v>-337873.82422624051</v>
      </c>
      <c r="BC997" s="1">
        <f t="shared" si="220"/>
        <v>552.98714274204735</v>
      </c>
      <c r="BD997" s="1">
        <f t="shared" si="221"/>
        <v>-405.57679168116658</v>
      </c>
      <c r="BF997" s="1">
        <f t="shared" si="209"/>
        <v>-3.1007549498367899</v>
      </c>
      <c r="BG997" s="1">
        <f t="shared" si="210"/>
        <v>9.2400841679312933</v>
      </c>
      <c r="BJ997" s="1">
        <f t="shared" si="211"/>
        <v>-1.0893787679007376</v>
      </c>
      <c r="BK997" s="1">
        <f t="shared" si="212"/>
        <v>3.9218893518210467</v>
      </c>
      <c r="BO997" s="1">
        <f t="shared" si="213"/>
        <v>-0.4683362503509475</v>
      </c>
      <c r="BP997" s="1">
        <f t="shared" si="214"/>
        <v>1.1985361050865901</v>
      </c>
      <c r="BT997" s="1">
        <f t="shared" si="215"/>
        <v>-1.5430399315851051</v>
      </c>
      <c r="BU997" s="1">
        <f t="shared" si="216"/>
        <v>4.1196587110236571</v>
      </c>
    </row>
    <row r="998" spans="49:73">
      <c r="AW998" s="1">
        <v>988</v>
      </c>
      <c r="AX998" s="1">
        <f t="shared" si="217"/>
        <v>494</v>
      </c>
      <c r="AZ998" s="1">
        <f t="shared" si="218"/>
        <v>116210.20236502185</v>
      </c>
      <c r="BA998" s="1">
        <f t="shared" si="219"/>
        <v>-338075.45761156006</v>
      </c>
      <c r="BC998" s="1">
        <f t="shared" si="220"/>
        <v>551.43676526712898</v>
      </c>
      <c r="BD998" s="1">
        <f t="shared" si="221"/>
        <v>-400.95674959720094</v>
      </c>
      <c r="BF998" s="1">
        <f t="shared" si="209"/>
        <v>-3.1009971881283711</v>
      </c>
      <c r="BG998" s="1">
        <f t="shared" si="210"/>
        <v>9.2238565164354966</v>
      </c>
      <c r="BJ998" s="1">
        <f t="shared" si="211"/>
        <v>-1.0900669940091685</v>
      </c>
      <c r="BK998" s="1">
        <f t="shared" si="212"/>
        <v>3.9153893352471441</v>
      </c>
      <c r="BO998" s="1">
        <f t="shared" si="213"/>
        <v>-0.46820268474348442</v>
      </c>
      <c r="BP998" s="1">
        <f t="shared" si="214"/>
        <v>1.1964585685756182</v>
      </c>
      <c r="BT998" s="1">
        <f t="shared" si="215"/>
        <v>-1.542727509375718</v>
      </c>
      <c r="BU998" s="1">
        <f t="shared" si="216"/>
        <v>4.1120086126127351</v>
      </c>
    </row>
    <row r="999" spans="49:73">
      <c r="AW999" s="1">
        <v>989</v>
      </c>
      <c r="AX999" s="1">
        <f t="shared" si="217"/>
        <v>494.5</v>
      </c>
      <c r="AZ999" s="1">
        <f t="shared" si="218"/>
        <v>116485.5331230069</v>
      </c>
      <c r="BA999" s="1">
        <f t="shared" si="219"/>
        <v>-338274.78300429409</v>
      </c>
      <c r="BC999" s="1">
        <f t="shared" si="220"/>
        <v>549.88626667306482</v>
      </c>
      <c r="BD999" s="1">
        <f t="shared" si="221"/>
        <v>-396.34482133898319</v>
      </c>
      <c r="BF999" s="1">
        <f t="shared" si="209"/>
        <v>-3.1012666128353743</v>
      </c>
      <c r="BG999" s="1">
        <f t="shared" si="210"/>
        <v>9.207788642013611</v>
      </c>
      <c r="BJ999" s="1">
        <f t="shared" si="211"/>
        <v>-1.0907607391021561</v>
      </c>
      <c r="BK999" s="1">
        <f t="shared" si="212"/>
        <v>3.9089544894966077</v>
      </c>
      <c r="BO999" s="1">
        <f t="shared" si="213"/>
        <v>-0.46807419689591073</v>
      </c>
      <c r="BP999" s="1">
        <f t="shared" si="214"/>
        <v>1.1944008688958485</v>
      </c>
      <c r="BT999" s="1">
        <f t="shared" si="215"/>
        <v>-1.5424316768373072</v>
      </c>
      <c r="BU999" s="1">
        <f t="shared" si="216"/>
        <v>4.1044332836211561</v>
      </c>
    </row>
    <row r="1000" spans="49:73">
      <c r="AW1000" s="1">
        <v>990</v>
      </c>
      <c r="AX1000" s="1">
        <f t="shared" si="217"/>
        <v>495</v>
      </c>
      <c r="AZ1000" s="1">
        <f t="shared" si="218"/>
        <v>116760.08859801682</v>
      </c>
      <c r="BA1000" s="1">
        <f t="shared" si="219"/>
        <v>-338471.80444138334</v>
      </c>
      <c r="BC1000" s="1">
        <f t="shared" si="220"/>
        <v>548.33563336664713</v>
      </c>
      <c r="BD1000" s="1">
        <f t="shared" si="221"/>
        <v>-391.74092701797639</v>
      </c>
      <c r="BF1000" s="1">
        <f t="shared" si="209"/>
        <v>-3.1015632257872854</v>
      </c>
      <c r="BG1000" s="1">
        <f t="shared" si="210"/>
        <v>9.1918793117715119</v>
      </c>
      <c r="BJ1000" s="1">
        <f t="shared" si="211"/>
        <v>-1.0914600586710081</v>
      </c>
      <c r="BK1000" s="1">
        <f t="shared" si="212"/>
        <v>3.902584334568771</v>
      </c>
      <c r="BO1000" s="1">
        <f t="shared" si="213"/>
        <v>-0.46795077096396026</v>
      </c>
      <c r="BP1000" s="1">
        <f t="shared" si="214"/>
        <v>1.1923628539526434</v>
      </c>
      <c r="BT1000" s="1">
        <f t="shared" si="215"/>
        <v>-1.5421523961523171</v>
      </c>
      <c r="BU1000" s="1">
        <f t="shared" si="216"/>
        <v>4.0969321232500979</v>
      </c>
    </row>
    <row r="1001" spans="49:73">
      <c r="AW1001" s="1">
        <v>991</v>
      </c>
      <c r="AX1001" s="1">
        <f t="shared" si="217"/>
        <v>495.5</v>
      </c>
      <c r="AZ1001" s="1">
        <f t="shared" si="218"/>
        <v>117033.86871929694</v>
      </c>
      <c r="BA1001" s="1">
        <f t="shared" si="219"/>
        <v>-338666.52591997839</v>
      </c>
      <c r="BC1001" s="1">
        <f t="shared" si="220"/>
        <v>546.78485175375351</v>
      </c>
      <c r="BD1001" s="1">
        <f t="shared" si="221"/>
        <v>-387.14498736209066</v>
      </c>
      <c r="BF1001" s="1">
        <f t="shared" si="209"/>
        <v>-3.1018870297638759</v>
      </c>
      <c r="BG1001" s="1">
        <f t="shared" si="210"/>
        <v>9.1761273100407301</v>
      </c>
      <c r="BJ1001" s="1">
        <f t="shared" si="211"/>
        <v>-1.0921650078082876</v>
      </c>
      <c r="BK1001" s="1">
        <f t="shared" si="212"/>
        <v>3.8962783971652031</v>
      </c>
      <c r="BO1001" s="1">
        <f t="shared" si="213"/>
        <v>-0.46783239145368744</v>
      </c>
      <c r="BP1001" s="1">
        <f t="shared" si="214"/>
        <v>1.1903443737338095</v>
      </c>
      <c r="BT1001" s="1">
        <f t="shared" si="215"/>
        <v>-1.5418896305019008</v>
      </c>
      <c r="BU1001" s="1">
        <f t="shared" si="216"/>
        <v>4.0895045391417186</v>
      </c>
    </row>
    <row r="1002" spans="49:73">
      <c r="AW1002" s="1">
        <v>992</v>
      </c>
      <c r="AX1002" s="1">
        <f t="shared" si="217"/>
        <v>496</v>
      </c>
      <c r="AZ1002" s="1">
        <f t="shared" si="218"/>
        <v>117306.87340929511</v>
      </c>
      <c r="BA1002" s="1">
        <f t="shared" si="219"/>
        <v>-338858.9513977457</v>
      </c>
      <c r="BC1002" s="1">
        <f t="shared" si="220"/>
        <v>545.23390823887155</v>
      </c>
      <c r="BD1002" s="1">
        <f t="shared" si="221"/>
        <v>-382.55692370707027</v>
      </c>
      <c r="BF1002" s="1">
        <f t="shared" si="209"/>
        <v>-3.1022380285017412</v>
      </c>
      <c r="BG1002" s="1">
        <f t="shared" si="210"/>
        <v>9.1605314381321037</v>
      </c>
      <c r="BJ1002" s="1">
        <f t="shared" si="211"/>
        <v>-1.0928756412230349</v>
      </c>
      <c r="BK1002" s="1">
        <f t="shared" si="212"/>
        <v>3.8900362105971338</v>
      </c>
      <c r="BO1002" s="1">
        <f t="shared" si="213"/>
        <v>-0.46771904321843066</v>
      </c>
      <c r="BP1002" s="1">
        <f t="shared" si="214"/>
        <v>1.1883452802799954</v>
      </c>
      <c r="BT1002" s="1">
        <f t="shared" si="215"/>
        <v>-1.5416433440602755</v>
      </c>
      <c r="BU1002" s="1">
        <f t="shared" si="216"/>
        <v>4.0821499472549752</v>
      </c>
    </row>
    <row r="1003" spans="49:73">
      <c r="AW1003" s="1">
        <v>993</v>
      </c>
      <c r="AX1003" s="1">
        <f t="shared" si="217"/>
        <v>496.5</v>
      </c>
      <c r="AZ1003" s="1">
        <f t="shared" si="218"/>
        <v>117579.10258366098</v>
      </c>
      <c r="BA1003" s="1">
        <f t="shared" si="219"/>
        <v>-339049.08479316946</v>
      </c>
      <c r="BC1003" s="1">
        <f t="shared" si="220"/>
        <v>543.68278922462071</v>
      </c>
      <c r="BD1003" s="1">
        <f t="shared" si="221"/>
        <v>-377.97665798800421</v>
      </c>
      <c r="BF1003" s="1">
        <f t="shared" si="209"/>
        <v>-3.1026162267006479</v>
      </c>
      <c r="BG1003" s="1">
        <f t="shared" si="210"/>
        <v>9.145090514093706</v>
      </c>
      <c r="BJ1003" s="1">
        <f t="shared" si="211"/>
        <v>-1.0935920132556733</v>
      </c>
      <c r="BK1003" s="1">
        <f t="shared" si="212"/>
        <v>3.8838573146944646</v>
      </c>
      <c r="BO1003" s="1">
        <f t="shared" si="213"/>
        <v>-0.46761071145583921</v>
      </c>
      <c r="BP1003" s="1">
        <f t="shared" si="214"/>
        <v>1.1863654276556357</v>
      </c>
      <c r="BT1003" s="1">
        <f t="shared" si="215"/>
        <v>-1.5414135019891351</v>
      </c>
      <c r="BU1003" s="1">
        <f t="shared" si="216"/>
        <v>4.0748677717436061</v>
      </c>
    </row>
    <row r="1004" spans="49:73">
      <c r="AW1004" s="1">
        <v>994</v>
      </c>
      <c r="AX1004" s="1">
        <f t="shared" si="217"/>
        <v>497</v>
      </c>
      <c r="AZ1004" s="1">
        <f t="shared" si="218"/>
        <v>117850.55615124495</v>
      </c>
      <c r="BA1004" s="1">
        <f t="shared" si="219"/>
        <v>-339236.92998584924</v>
      </c>
      <c r="BC1004" s="1">
        <f t="shared" si="220"/>
        <v>542.13148111127043</v>
      </c>
      <c r="BD1004" s="1">
        <f t="shared" si="221"/>
        <v>-373.40411273095737</v>
      </c>
      <c r="BF1004" s="1">
        <f t="shared" si="209"/>
        <v>-3.1030216300300593</v>
      </c>
      <c r="BG1004" s="1">
        <f t="shared" si="210"/>
        <v>9.1298033724740826</v>
      </c>
      <c r="BJ1004" s="1">
        <f t="shared" si="211"/>
        <v>-1.0943141778927068</v>
      </c>
      <c r="BK1004" s="1">
        <f t="shared" si="212"/>
        <v>3.8777412557166961</v>
      </c>
      <c r="BO1004" s="1">
        <f t="shared" si="213"/>
        <v>-0.46750738170498379</v>
      </c>
      <c r="BP1004" s="1">
        <f t="shared" si="214"/>
        <v>1.184404671920481</v>
      </c>
      <c r="BT1004" s="1">
        <f t="shared" si="215"/>
        <v>-1.541200070432369</v>
      </c>
      <c r="BU1004" s="1">
        <f t="shared" si="216"/>
        <v>4.0676574448369065</v>
      </c>
    </row>
    <row r="1005" spans="49:73">
      <c r="AW1005" s="1">
        <v>995</v>
      </c>
      <c r="AX1005" s="1">
        <f t="shared" si="217"/>
        <v>497.5</v>
      </c>
      <c r="AZ1005" s="1">
        <f t="shared" si="218"/>
        <v>118121.23401409683</v>
      </c>
      <c r="BA1005" s="1">
        <f t="shared" si="219"/>
        <v>-339422.49081679317</v>
      </c>
      <c r="BC1005" s="1">
        <f t="shared" si="220"/>
        <v>540.5799702962554</v>
      </c>
      <c r="BD1005" s="1">
        <f t="shared" si="221"/>
        <v>-368.83921104472034</v>
      </c>
      <c r="BF1005" s="1">
        <f t="shared" si="209"/>
        <v>-3.1034542451353015</v>
      </c>
      <c r="BG1005" s="1">
        <f t="shared" si="210"/>
        <v>9.1146688640891291</v>
      </c>
      <c r="BJ1005" s="1">
        <f t="shared" si="211"/>
        <v>-1.0950421887811286</v>
      </c>
      <c r="BK1005" s="1">
        <f t="shared" si="212"/>
        <v>3.871687586265411</v>
      </c>
      <c r="BO1005" s="1">
        <f t="shared" si="213"/>
        <v>-0.46740903984349436</v>
      </c>
      <c r="BP1005" s="1">
        <f t="shared" si="214"/>
        <v>1.182462871101561</v>
      </c>
      <c r="BT1005" s="1">
        <f t="shared" si="215"/>
        <v>-1.5410030165106785</v>
      </c>
      <c r="BU1005" s="1">
        <f t="shared" si="216"/>
        <v>4.0605184067221565</v>
      </c>
    </row>
    <row r="1006" spans="49:73">
      <c r="AW1006" s="1">
        <v>996</v>
      </c>
      <c r="AX1006" s="1">
        <f t="shared" si="217"/>
        <v>498</v>
      </c>
      <c r="AZ1006" s="1">
        <f t="shared" si="218"/>
        <v>118391.13606746432</v>
      </c>
      <c r="BA1006" s="1">
        <f t="shared" si="219"/>
        <v>-339605.77108870749</v>
      </c>
      <c r="BC1006" s="1">
        <f t="shared" si="220"/>
        <v>539.02824317368777</v>
      </c>
      <c r="BD1006" s="1">
        <f t="shared" si="221"/>
        <v>-364.28187661267577</v>
      </c>
      <c r="BF1006" s="1">
        <f t="shared" si="209"/>
        <v>-3.1039140796438041</v>
      </c>
      <c r="BG1006" s="1">
        <f t="shared" si="210"/>
        <v>9.0996858557936804</v>
      </c>
      <c r="BJ1006" s="1">
        <f t="shared" si="211"/>
        <v>-1.0957760992425252</v>
      </c>
      <c r="BK1006" s="1">
        <f t="shared" si="212"/>
        <v>3.8656958651982247</v>
      </c>
      <c r="BO1006" s="1">
        <f t="shared" si="213"/>
        <v>-0.46731567208480812</v>
      </c>
      <c r="BP1006" s="1">
        <f t="shared" si="214"/>
        <v>1.1805398851657856</v>
      </c>
      <c r="BT1006" s="1">
        <f t="shared" si="215"/>
        <v>-1.5408223083164705</v>
      </c>
      <c r="BU1006" s="1">
        <f t="shared" si="216"/>
        <v>4.053450105429671</v>
      </c>
    </row>
    <row r="1007" spans="49:73">
      <c r="AW1007" s="1">
        <v>997</v>
      </c>
      <c r="AX1007" s="1">
        <f t="shared" si="217"/>
        <v>498.5</v>
      </c>
      <c r="AZ1007" s="1">
        <f t="shared" si="218"/>
        <v>118660.26219979122</v>
      </c>
      <c r="BA1007" s="1">
        <f t="shared" si="219"/>
        <v>-339786.77456628188</v>
      </c>
      <c r="BC1007" s="1">
        <f t="shared" si="220"/>
        <v>537.47628613386587</v>
      </c>
      <c r="BD1007" s="1">
        <f t="shared" si="221"/>
        <v>-359.73203368477891</v>
      </c>
      <c r="BF1007" s="1">
        <f t="shared" si="209"/>
        <v>-3.1044011421713562</v>
      </c>
      <c r="BG1007" s="1">
        <f t="shared" si="210"/>
        <v>9.0848532302576661</v>
      </c>
      <c r="BJ1007" s="1">
        <f t="shared" si="211"/>
        <v>-1.0965159622870351</v>
      </c>
      <c r="BK1007" s="1">
        <f t="shared" si="212"/>
        <v>3.8597656575446746</v>
      </c>
      <c r="BO1007" s="1">
        <f t="shared" si="213"/>
        <v>-0.46722726497543576</v>
      </c>
      <c r="BP1007" s="1">
        <f t="shared" si="214"/>
        <v>1.1786355759929414</v>
      </c>
      <c r="BT1007" s="1">
        <f t="shared" si="215"/>
        <v>-1.5406579149088855</v>
      </c>
      <c r="BU1007" s="1">
        <f t="shared" si="216"/>
        <v>4.0464519967200498</v>
      </c>
    </row>
    <row r="1008" spans="49:73">
      <c r="AW1008" s="1">
        <v>998</v>
      </c>
      <c r="AX1008" s="1">
        <f t="shared" si="217"/>
        <v>499</v>
      </c>
      <c r="AZ1008" s="1">
        <f t="shared" si="218"/>
        <v>118928.61229271538</v>
      </c>
      <c r="BA1008" s="1">
        <f t="shared" si="219"/>
        <v>-339965.50497647049</v>
      </c>
      <c r="BC1008" s="1">
        <f t="shared" si="220"/>
        <v>535.92408556278019</v>
      </c>
      <c r="BD1008" s="1">
        <f t="shared" si="221"/>
        <v>-355.18960706965009</v>
      </c>
      <c r="BF1008" s="1">
        <f t="shared" si="209"/>
        <v>-3.1049154423281431</v>
      </c>
      <c r="BG1008" s="1">
        <f t="shared" si="210"/>
        <v>9.0701698857459014</v>
      </c>
      <c r="BJ1008" s="1">
        <f t="shared" si="211"/>
        <v>-1.097261830626973</v>
      </c>
      <c r="BK1008" s="1">
        <f t="shared" si="212"/>
        <v>3.853896534423356</v>
      </c>
      <c r="BO1008" s="1">
        <f t="shared" si="213"/>
        <v>-0.46714380539230682</v>
      </c>
      <c r="BP1008" s="1">
        <f t="shared" si="214"/>
        <v>1.1767498073492302</v>
      </c>
      <c r="BT1008" s="1">
        <f t="shared" si="215"/>
        <v>-1.5405098063088631</v>
      </c>
      <c r="BU1008" s="1">
        <f t="shared" si="216"/>
        <v>4.0395235439733144</v>
      </c>
    </row>
    <row r="1009" spans="49:73">
      <c r="AW1009" s="1">
        <v>999</v>
      </c>
      <c r="AX1009" s="1">
        <f t="shared" si="217"/>
        <v>499.5</v>
      </c>
      <c r="AZ1009" s="1">
        <f t="shared" si="218"/>
        <v>119196.18622106648</v>
      </c>
      <c r="BA1009" s="1">
        <f t="shared" si="219"/>
        <v>-340141.96600876958</v>
      </c>
      <c r="BC1009" s="1">
        <f t="shared" si="220"/>
        <v>534.37162784161615</v>
      </c>
      <c r="BD1009" s="1">
        <f t="shared" si="221"/>
        <v>-350.65452212677712</v>
      </c>
      <c r="BF1009" s="1">
        <f t="shared" si="209"/>
        <v>-3.1054569907248109</v>
      </c>
      <c r="BG1009" s="1">
        <f t="shared" si="210"/>
        <v>9.0556347359022453</v>
      </c>
      <c r="BJ1009" s="1">
        <f t="shared" si="211"/>
        <v>-1.0980137566902366</v>
      </c>
      <c r="BK1009" s="1">
        <f t="shared" si="212"/>
        <v>3.8480880729606408</v>
      </c>
      <c r="BO1009" s="1">
        <f t="shared" si="213"/>
        <v>-0.4670652805401872</v>
      </c>
      <c r="BP1009" s="1">
        <f t="shared" si="214"/>
        <v>1.1748824448613235</v>
      </c>
      <c r="BT1009" s="1">
        <f t="shared" si="215"/>
        <v>-1.5403779534943871</v>
      </c>
      <c r="BU1009" s="1">
        <f t="shared" si="216"/>
        <v>4.0326642180802814</v>
      </c>
    </row>
    <row r="1010" spans="49:73">
      <c r="AW1010" s="1">
        <v>1000</v>
      </c>
      <c r="AX1010" s="1">
        <f t="shared" si="217"/>
        <v>500</v>
      </c>
      <c r="AZ1010" s="1">
        <f t="shared" si="218"/>
        <v>119462.98385286344</v>
      </c>
      <c r="BA1010" s="1">
        <f t="shared" si="219"/>
        <v>-340316.16131549096</v>
      </c>
      <c r="BC1010" s="1">
        <f t="shared" si="220"/>
        <v>532.81889934625372</v>
      </c>
      <c r="BD1010" s="1">
        <f t="shared" si="221"/>
        <v>-346.12670475882601</v>
      </c>
      <c r="BF1010" s="1">
        <f t="shared" si="209"/>
        <v>-3.1060257989785676</v>
      </c>
      <c r="BG1010" s="1">
        <f t="shared" si="210"/>
        <v>9.0412467095380435</v>
      </c>
      <c r="BJ1010" s="1">
        <f t="shared" si="211"/>
        <v>-1.0987717926335552</v>
      </c>
      <c r="BK1010" s="1">
        <f t="shared" si="212"/>
        <v>3.8423398562111557</v>
      </c>
      <c r="BO1010" s="1">
        <f t="shared" si="213"/>
        <v>-0.4669916779491366</v>
      </c>
      <c r="BP1010" s="1">
        <f t="shared" si="214"/>
        <v>1.1730333559908461</v>
      </c>
      <c r="BT1010" s="1">
        <f t="shared" si="215"/>
        <v>-1.5402623283958761</v>
      </c>
      <c r="BU1010" s="1">
        <f t="shared" si="216"/>
        <v>4.0258734973360406</v>
      </c>
    </row>
  </sheetData>
  <mergeCells count="90">
    <mergeCell ref="M20:N20"/>
    <mergeCell ref="M22:N22"/>
    <mergeCell ref="G21:L21"/>
    <mergeCell ref="H22:L22"/>
    <mergeCell ref="I23:L23"/>
    <mergeCell ref="C16:P16"/>
    <mergeCell ref="C17:P17"/>
    <mergeCell ref="O18:P18"/>
    <mergeCell ref="D18:L18"/>
    <mergeCell ref="O19:P19"/>
    <mergeCell ref="M19:N19"/>
    <mergeCell ref="E19:L19"/>
    <mergeCell ref="O14:P14"/>
    <mergeCell ref="M14:N14"/>
    <mergeCell ref="D10:L10"/>
    <mergeCell ref="E11:L11"/>
    <mergeCell ref="F12:L12"/>
    <mergeCell ref="G13:L13"/>
    <mergeCell ref="H14:L14"/>
    <mergeCell ref="O13:P13"/>
    <mergeCell ref="C9:P9"/>
    <mergeCell ref="M10:N10"/>
    <mergeCell ref="O10:P10"/>
    <mergeCell ref="O11:P11"/>
    <mergeCell ref="O12:P12"/>
    <mergeCell ref="M6:N6"/>
    <mergeCell ref="O6:P6"/>
    <mergeCell ref="E6:L6"/>
    <mergeCell ref="O7:P7"/>
    <mergeCell ref="M7:N7"/>
    <mergeCell ref="F7:L7"/>
    <mergeCell ref="B2:Q2"/>
    <mergeCell ref="C4:P4"/>
    <mergeCell ref="O5:P5"/>
    <mergeCell ref="M5:N5"/>
    <mergeCell ref="D5:L5"/>
    <mergeCell ref="C25:P25"/>
    <mergeCell ref="F20:L20"/>
    <mergeCell ref="D26:L26"/>
    <mergeCell ref="O26:P26"/>
    <mergeCell ref="E27:L27"/>
    <mergeCell ref="M27:N27"/>
    <mergeCell ref="O27:P27"/>
    <mergeCell ref="J24:L24"/>
    <mergeCell ref="O20:P20"/>
    <mergeCell ref="O21:P21"/>
    <mergeCell ref="O22:P22"/>
    <mergeCell ref="O23:P23"/>
    <mergeCell ref="O24:P24"/>
    <mergeCell ref="M24:N24"/>
    <mergeCell ref="M23:N23"/>
    <mergeCell ref="M21:N21"/>
    <mergeCell ref="F28:L28"/>
    <mergeCell ref="M28:N28"/>
    <mergeCell ref="O28:P28"/>
    <mergeCell ref="M29:N29"/>
    <mergeCell ref="O29:P29"/>
    <mergeCell ref="G29:L29"/>
    <mergeCell ref="J32:L32"/>
    <mergeCell ref="M32:N32"/>
    <mergeCell ref="O32:P32"/>
    <mergeCell ref="H30:L30"/>
    <mergeCell ref="I31:L31"/>
    <mergeCell ref="F36:L36"/>
    <mergeCell ref="M36:N36"/>
    <mergeCell ref="O36:P36"/>
    <mergeCell ref="M37:N37"/>
    <mergeCell ref="O37:P37"/>
    <mergeCell ref="G37:L37"/>
    <mergeCell ref="J40:L40"/>
    <mergeCell ref="M40:N40"/>
    <mergeCell ref="O40:P40"/>
    <mergeCell ref="H38:L38"/>
    <mergeCell ref="I39:L39"/>
    <mergeCell ref="S2:AH2"/>
    <mergeCell ref="T4:AG40"/>
    <mergeCell ref="M38:N38"/>
    <mergeCell ref="O38:P38"/>
    <mergeCell ref="M39:N39"/>
    <mergeCell ref="O39:P39"/>
    <mergeCell ref="C33:P33"/>
    <mergeCell ref="D34:L34"/>
    <mergeCell ref="O34:P34"/>
    <mergeCell ref="E35:L35"/>
    <mergeCell ref="M35:N35"/>
    <mergeCell ref="O35:P35"/>
    <mergeCell ref="M30:N30"/>
    <mergeCell ref="O30:P30"/>
    <mergeCell ref="M31:N31"/>
    <mergeCell ref="O31:P3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5E684-CC08-40C7-A936-4480BEB26A95}">
  <sheetPr codeName="Feuil2"/>
  <dimension ref="A1"/>
  <sheetViews>
    <sheetView workbookViewId="0">
      <selection activeCell="E18" sqref="E18"/>
    </sheetView>
  </sheetViews>
  <sheetFormatPr baseColWidth="10" defaultRowHeight="15"/>
  <cols>
    <col min="1" max="15" width="11.42578125" style="1"/>
    <col min="16" max="16" width="16.7109375" style="1" bestFit="1" customWidth="1"/>
    <col min="17" max="18" width="15.5703125" style="1" bestFit="1" customWidth="1"/>
    <col min="19" max="19" width="11.42578125" style="1"/>
    <col min="20" max="20" width="20.28515625" style="1" bestFit="1" customWidth="1"/>
    <col min="21" max="21" width="12" style="1" bestFit="1" customWidth="1"/>
    <col min="22" max="16384" width="11.425781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Conditions initiales + chemin</vt:lpstr>
      <vt:lpstr>Animation du mouvement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Islam Shafaatul</dc:creator>
  <cp:lastModifiedBy>Islam Shafaatul</cp:lastModifiedBy>
  <dcterms:created xsi:type="dcterms:W3CDTF">2022-11-15T15:26:12Z</dcterms:created>
  <dcterms:modified xsi:type="dcterms:W3CDTF">2022-12-13T16:14:08Z</dcterms:modified>
</cp:coreProperties>
</file>