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Outil de gestion\GitHub2022\ProjetGravite\"/>
    </mc:Choice>
  </mc:AlternateContent>
  <xr:revisionPtr revIDLastSave="0" documentId="13_ncr:1_{F6B79002-783D-478E-AD09-ECB166CE367A}" xr6:coauthVersionLast="47" xr6:coauthVersionMax="47" xr10:uidLastSave="{00000000-0000-0000-0000-000000000000}"/>
  <bookViews>
    <workbookView xWindow="5340" yWindow="375" windowWidth="21600" windowHeight="11385" xr2:uid="{FD5A80BE-EA49-45AB-B386-BF518CFC0556}"/>
  </bookViews>
  <sheets>
    <sheet name="Conditions initiales + chemin" sheetId="1" r:id="rId1"/>
    <sheet name="Animation du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L10" i="1" l="1"/>
  <c r="AZ11" i="1"/>
  <c r="BC11" i="1"/>
  <c r="BG10" i="1"/>
  <c r="BF10" i="1"/>
  <c r="BD10" i="1"/>
  <c r="BC10" i="1"/>
  <c r="BA10" i="1"/>
  <c r="AZ10" i="1"/>
  <c r="AL10" i="1"/>
  <c r="AL122" i="1"/>
  <c r="AM7" i="1" s="1"/>
  <c r="AL7" i="1" s="1"/>
  <c r="M39" i="1"/>
  <c r="M37" i="1"/>
  <c r="M38" i="1" s="1"/>
  <c r="M23" i="1"/>
  <c r="M31" i="1"/>
  <c r="M29" i="1"/>
  <c r="M30" i="1" s="1"/>
  <c r="M21" i="1"/>
  <c r="M22" i="1" s="1"/>
  <c r="U8" i="2" s="1" a="1"/>
  <c r="U8" i="2" s="1"/>
  <c r="AL11" i="1" l="1"/>
  <c r="AU10" i="1"/>
  <c r="AT10" i="1"/>
  <c r="AQ10" i="1"/>
  <c r="AN10" i="1"/>
  <c r="AR10" i="1"/>
  <c r="AO10" i="1"/>
  <c r="AU122" i="1"/>
  <c r="AT122" i="1"/>
  <c r="AR122" i="1"/>
  <c r="AQ122" i="1"/>
  <c r="AO122" i="1"/>
  <c r="AN122" i="1"/>
  <c r="AU11" i="1" l="1"/>
  <c r="AT11" i="1"/>
  <c r="AR11" i="1"/>
  <c r="AQ11" i="1"/>
  <c r="AO11" i="1"/>
  <c r="AL12" i="1"/>
  <c r="AN11" i="1"/>
  <c r="AU12" i="1" l="1"/>
  <c r="AT12" i="1"/>
  <c r="AR12" i="1"/>
  <c r="AQ12" i="1"/>
  <c r="AO12" i="1"/>
  <c r="AN12" i="1"/>
  <c r="AL13" i="1"/>
  <c r="AQ13" i="1" l="1"/>
  <c r="AO13" i="1"/>
  <c r="AN13" i="1"/>
  <c r="AU13" i="1"/>
  <c r="AT13" i="1"/>
  <c r="AR13" i="1"/>
  <c r="AL14" i="1"/>
  <c r="AR14" i="1" l="1"/>
  <c r="AQ14" i="1"/>
  <c r="AO14" i="1"/>
  <c r="AN14" i="1"/>
  <c r="AU14" i="1"/>
  <c r="AT14" i="1"/>
  <c r="AL15" i="1"/>
  <c r="AL16" i="1" l="1"/>
  <c r="AR15" i="1"/>
  <c r="AQ15" i="1"/>
  <c r="AO15" i="1"/>
  <c r="AN15" i="1"/>
  <c r="AU15" i="1"/>
  <c r="AT15" i="1"/>
  <c r="AL17" i="1" l="1"/>
  <c r="AT16" i="1"/>
  <c r="AR16" i="1"/>
  <c r="AQ16" i="1"/>
  <c r="AO16" i="1"/>
  <c r="AN16" i="1"/>
  <c r="AU16" i="1"/>
  <c r="AL18" i="1" l="1"/>
  <c r="AT17" i="1"/>
  <c r="AR17" i="1"/>
  <c r="AQ17" i="1"/>
  <c r="AO17" i="1"/>
  <c r="AN17" i="1"/>
  <c r="AU17" i="1"/>
  <c r="AL19" i="1" l="1"/>
  <c r="AU18" i="1"/>
  <c r="AT18" i="1"/>
  <c r="AR18" i="1"/>
  <c r="AQ18" i="1"/>
  <c r="AO18" i="1"/>
  <c r="AN18" i="1"/>
  <c r="AL20" i="1" l="1"/>
  <c r="AU19" i="1"/>
  <c r="AT19" i="1"/>
  <c r="AR19" i="1"/>
  <c r="AQ19" i="1"/>
  <c r="AO19" i="1"/>
  <c r="AN19" i="1"/>
  <c r="AL21" i="1" l="1"/>
  <c r="AU20" i="1"/>
  <c r="AT20" i="1"/>
  <c r="AR20" i="1"/>
  <c r="AQ20" i="1"/>
  <c r="AO20" i="1"/>
  <c r="AN20" i="1"/>
  <c r="AL22" i="1" l="1"/>
  <c r="AQ21" i="1"/>
  <c r="AO21" i="1"/>
  <c r="AN21" i="1"/>
  <c r="AU21" i="1"/>
  <c r="AT21" i="1"/>
  <c r="AR21" i="1"/>
  <c r="AL23" i="1" l="1"/>
  <c r="AR22" i="1"/>
  <c r="AQ22" i="1"/>
  <c r="AO22" i="1"/>
  <c r="AN22" i="1"/>
  <c r="AU22" i="1"/>
  <c r="AT22" i="1"/>
  <c r="AL24" i="1" l="1"/>
  <c r="AR23" i="1"/>
  <c r="AQ23" i="1"/>
  <c r="AO23" i="1"/>
  <c r="AN23" i="1"/>
  <c r="AU23" i="1"/>
  <c r="AT23" i="1"/>
  <c r="AL25" i="1" l="1"/>
  <c r="AT24" i="1"/>
  <c r="AR24" i="1"/>
  <c r="AQ24" i="1"/>
  <c r="AO24" i="1"/>
  <c r="AN24" i="1"/>
  <c r="AU24" i="1"/>
  <c r="AL26" i="1" l="1"/>
  <c r="AT25" i="1"/>
  <c r="AR25" i="1"/>
  <c r="AQ25" i="1"/>
  <c r="AO25" i="1"/>
  <c r="AN25" i="1"/>
  <c r="AU25" i="1"/>
  <c r="AL27" i="1" l="1"/>
  <c r="AU26" i="1"/>
  <c r="AT26" i="1"/>
  <c r="AR26" i="1"/>
  <c r="AQ26" i="1"/>
  <c r="AO26" i="1"/>
  <c r="AN26" i="1"/>
  <c r="AL28" i="1" l="1"/>
  <c r="AU27" i="1"/>
  <c r="AT27" i="1"/>
  <c r="AR27" i="1"/>
  <c r="AQ27" i="1"/>
  <c r="AO27" i="1"/>
  <c r="AN27" i="1"/>
  <c r="AL29" i="1" l="1"/>
  <c r="AU28" i="1"/>
  <c r="AT28" i="1"/>
  <c r="AR28" i="1"/>
  <c r="AQ28" i="1"/>
  <c r="AO28" i="1"/>
  <c r="AN28" i="1"/>
  <c r="AL30" i="1" l="1"/>
  <c r="AQ29" i="1"/>
  <c r="AO29" i="1"/>
  <c r="AN29" i="1"/>
  <c r="AU29" i="1"/>
  <c r="AT29" i="1"/>
  <c r="AR29" i="1"/>
  <c r="AL31" i="1" l="1"/>
  <c r="AR30" i="1"/>
  <c r="AQ30" i="1"/>
  <c r="AO30" i="1"/>
  <c r="AN30" i="1"/>
  <c r="AU30" i="1"/>
  <c r="AT30" i="1"/>
  <c r="AL32" i="1" l="1"/>
  <c r="AR31" i="1"/>
  <c r="AQ31" i="1"/>
  <c r="AO31" i="1"/>
  <c r="AN31" i="1"/>
  <c r="AU31" i="1"/>
  <c r="AT31" i="1"/>
  <c r="AL33" i="1" l="1"/>
  <c r="AT32" i="1"/>
  <c r="AR32" i="1"/>
  <c r="AQ32" i="1"/>
  <c r="AO32" i="1"/>
  <c r="AN32" i="1"/>
  <c r="AU32" i="1"/>
  <c r="AL34" i="1" l="1"/>
  <c r="AT33" i="1"/>
  <c r="AR33" i="1"/>
  <c r="AQ33" i="1"/>
  <c r="AO33" i="1"/>
  <c r="AN33" i="1"/>
  <c r="AU33" i="1"/>
  <c r="AL35" i="1" l="1"/>
  <c r="AU34" i="1"/>
  <c r="AT34" i="1"/>
  <c r="AR34" i="1"/>
  <c r="AQ34" i="1"/>
  <c r="AO34" i="1"/>
  <c r="AN34" i="1"/>
  <c r="AL36" i="1" l="1"/>
  <c r="AU35" i="1"/>
  <c r="AT35" i="1"/>
  <c r="AR35" i="1"/>
  <c r="AQ35" i="1"/>
  <c r="AO35" i="1"/>
  <c r="AN35" i="1"/>
  <c r="AL37" i="1" l="1"/>
  <c r="AU36" i="1"/>
  <c r="AT36" i="1"/>
  <c r="AR36" i="1"/>
  <c r="AQ36" i="1"/>
  <c r="AO36" i="1"/>
  <c r="AN36" i="1"/>
  <c r="AL38" i="1" l="1"/>
  <c r="AQ37" i="1"/>
  <c r="AO37" i="1"/>
  <c r="AN37" i="1"/>
  <c r="AU37" i="1"/>
  <c r="AT37" i="1"/>
  <c r="AR37" i="1"/>
  <c r="AL39" i="1" l="1"/>
  <c r="AR38" i="1"/>
  <c r="AQ38" i="1"/>
  <c r="AO38" i="1"/>
  <c r="AN38" i="1"/>
  <c r="AU38" i="1"/>
  <c r="AT38" i="1"/>
  <c r="AL40" i="1" l="1"/>
  <c r="AR39" i="1"/>
  <c r="AQ39" i="1"/>
  <c r="AO39" i="1"/>
  <c r="AN39" i="1"/>
  <c r="AU39" i="1"/>
  <c r="AT39" i="1"/>
  <c r="AL41" i="1" l="1"/>
  <c r="AT40" i="1"/>
  <c r="AR40" i="1"/>
  <c r="AQ40" i="1"/>
  <c r="AO40" i="1"/>
  <c r="AN40" i="1"/>
  <c r="AU40" i="1"/>
  <c r="AL42" i="1" l="1"/>
  <c r="AT41" i="1"/>
  <c r="AR41" i="1"/>
  <c r="AQ41" i="1"/>
  <c r="AO41" i="1"/>
  <c r="AN41" i="1"/>
  <c r="AU41" i="1"/>
  <c r="AL43" i="1" l="1"/>
  <c r="AU42" i="1"/>
  <c r="AT42" i="1"/>
  <c r="AR42" i="1"/>
  <c r="AQ42" i="1"/>
  <c r="AO42" i="1"/>
  <c r="AN42" i="1"/>
  <c r="AL44" i="1" l="1"/>
  <c r="AU43" i="1"/>
  <c r="AT43" i="1"/>
  <c r="AR43" i="1"/>
  <c r="AQ43" i="1"/>
  <c r="AO43" i="1"/>
  <c r="AN43" i="1"/>
  <c r="AL45" i="1" l="1"/>
  <c r="AU44" i="1"/>
  <c r="AT44" i="1"/>
  <c r="AR44" i="1"/>
  <c r="AQ44" i="1"/>
  <c r="AO44" i="1"/>
  <c r="AN44" i="1"/>
  <c r="AL46" i="1" l="1"/>
  <c r="AQ45" i="1"/>
  <c r="AO45" i="1"/>
  <c r="AN45" i="1"/>
  <c r="AU45" i="1"/>
  <c r="AT45" i="1"/>
  <c r="AR45" i="1"/>
  <c r="AL47" i="1" l="1"/>
  <c r="AR46" i="1"/>
  <c r="AQ46" i="1"/>
  <c r="AO46" i="1"/>
  <c r="AN46" i="1"/>
  <c r="AU46" i="1"/>
  <c r="AT46" i="1"/>
  <c r="AL48" i="1" l="1"/>
  <c r="AR47" i="1"/>
  <c r="AQ47" i="1"/>
  <c r="AO47" i="1"/>
  <c r="AU47" i="1"/>
  <c r="AT47" i="1"/>
  <c r="AN47" i="1"/>
  <c r="AL49" i="1" l="1"/>
  <c r="AT48" i="1"/>
  <c r="AR48" i="1"/>
  <c r="AQ48" i="1"/>
  <c r="AO48" i="1"/>
  <c r="AU48" i="1"/>
  <c r="AN48" i="1"/>
  <c r="AL50" i="1" l="1"/>
  <c r="AT49" i="1"/>
  <c r="AR49" i="1"/>
  <c r="AQ49" i="1"/>
  <c r="AO49" i="1"/>
  <c r="AU49" i="1"/>
  <c r="AN49" i="1"/>
  <c r="AL51" i="1" l="1"/>
  <c r="AU50" i="1"/>
  <c r="AT50" i="1"/>
  <c r="AR50" i="1"/>
  <c r="AQ50" i="1"/>
  <c r="AO50" i="1"/>
  <c r="AN50" i="1"/>
  <c r="AL52" i="1" l="1"/>
  <c r="AU51" i="1"/>
  <c r="AT51" i="1"/>
  <c r="AR51" i="1"/>
  <c r="AQ51" i="1"/>
  <c r="AO51" i="1"/>
  <c r="AN51" i="1"/>
  <c r="AL53" i="1" l="1"/>
  <c r="AU52" i="1"/>
  <c r="AT52" i="1"/>
  <c r="AR52" i="1"/>
  <c r="AQ52" i="1"/>
  <c r="AO52" i="1"/>
  <c r="AN52" i="1"/>
  <c r="AL54" i="1" l="1"/>
  <c r="AQ53" i="1"/>
  <c r="AO53" i="1"/>
  <c r="AN53" i="1"/>
  <c r="AU53" i="1"/>
  <c r="AT53" i="1"/>
  <c r="AR53" i="1"/>
  <c r="AL55" i="1" l="1"/>
  <c r="AR54" i="1"/>
  <c r="AQ54" i="1"/>
  <c r="AO54" i="1"/>
  <c r="AN54" i="1"/>
  <c r="AU54" i="1"/>
  <c r="AT54" i="1"/>
  <c r="AL56" i="1" l="1"/>
  <c r="AR55" i="1"/>
  <c r="AQ55" i="1"/>
  <c r="AO55" i="1"/>
  <c r="AU55" i="1"/>
  <c r="AT55" i="1"/>
  <c r="AN55" i="1"/>
  <c r="AL57" i="1" l="1"/>
  <c r="AT56" i="1"/>
  <c r="AR56" i="1"/>
  <c r="AQ56" i="1"/>
  <c r="AO56" i="1"/>
  <c r="AU56" i="1"/>
  <c r="AN56" i="1"/>
  <c r="AL58" i="1" l="1"/>
  <c r="AT57" i="1"/>
  <c r="AR57" i="1"/>
  <c r="AQ57" i="1"/>
  <c r="AO57" i="1"/>
  <c r="AU57" i="1"/>
  <c r="AN57" i="1"/>
  <c r="AL59" i="1" l="1"/>
  <c r="AU58" i="1"/>
  <c r="AT58" i="1"/>
  <c r="AR58" i="1"/>
  <c r="AQ58" i="1"/>
  <c r="AO58" i="1"/>
  <c r="AN58" i="1"/>
  <c r="AL60" i="1" l="1"/>
  <c r="AU59" i="1"/>
  <c r="AT59" i="1"/>
  <c r="AR59" i="1"/>
  <c r="AQ59" i="1"/>
  <c r="AO59" i="1"/>
  <c r="AN59" i="1"/>
  <c r="AL61" i="1" l="1"/>
  <c r="AU60" i="1"/>
  <c r="AT60" i="1"/>
  <c r="AR60" i="1"/>
  <c r="AQ60" i="1"/>
  <c r="AO60" i="1"/>
  <c r="AN60" i="1"/>
  <c r="AL62" i="1" l="1"/>
  <c r="AQ61" i="1"/>
  <c r="AO61" i="1"/>
  <c r="AN61" i="1"/>
  <c r="AU61" i="1"/>
  <c r="AT61" i="1"/>
  <c r="AR61" i="1"/>
  <c r="AL63" i="1" l="1"/>
  <c r="AR62" i="1"/>
  <c r="AQ62" i="1"/>
  <c r="AO62" i="1"/>
  <c r="AN62" i="1"/>
  <c r="AU62" i="1"/>
  <c r="AT62" i="1"/>
  <c r="AL64" i="1" l="1"/>
  <c r="AR63" i="1"/>
  <c r="AQ63" i="1"/>
  <c r="AO63" i="1"/>
  <c r="AU63" i="1"/>
  <c r="AT63" i="1"/>
  <c r="AN63" i="1"/>
  <c r="AL65" i="1" l="1"/>
  <c r="AT64" i="1"/>
  <c r="AR64" i="1"/>
  <c r="AQ64" i="1"/>
  <c r="AO64" i="1"/>
  <c r="AU64" i="1"/>
  <c r="AN64" i="1"/>
  <c r="AL66" i="1" l="1"/>
  <c r="AT65" i="1"/>
  <c r="AR65" i="1"/>
  <c r="AQ65" i="1"/>
  <c r="AO65" i="1"/>
  <c r="AU65" i="1"/>
  <c r="AN65" i="1"/>
  <c r="AL67" i="1" l="1"/>
  <c r="AU66" i="1"/>
  <c r="AT66" i="1"/>
  <c r="AR66" i="1"/>
  <c r="AQ66" i="1"/>
  <c r="AO66" i="1"/>
  <c r="AN66" i="1"/>
  <c r="AL68" i="1" l="1"/>
  <c r="AU67" i="1"/>
  <c r="AT67" i="1"/>
  <c r="AR67" i="1"/>
  <c r="AQ67" i="1"/>
  <c r="AO67" i="1"/>
  <c r="AN67" i="1"/>
  <c r="AL69" i="1" l="1"/>
  <c r="AU68" i="1"/>
  <c r="AT68" i="1"/>
  <c r="AR68" i="1"/>
  <c r="AQ68" i="1"/>
  <c r="AO68" i="1"/>
  <c r="AN68" i="1"/>
  <c r="AL70" i="1" l="1"/>
  <c r="AQ69" i="1"/>
  <c r="AO69" i="1"/>
  <c r="AN69" i="1"/>
  <c r="AU69" i="1"/>
  <c r="AT69" i="1"/>
  <c r="AR69" i="1"/>
  <c r="AL71" i="1" l="1"/>
  <c r="AR70" i="1"/>
  <c r="AQ70" i="1"/>
  <c r="AO70" i="1"/>
  <c r="AN70" i="1"/>
  <c r="AU70" i="1"/>
  <c r="AT70" i="1"/>
  <c r="AL72" i="1" l="1"/>
  <c r="AR71" i="1"/>
  <c r="AQ71" i="1"/>
  <c r="AO71" i="1"/>
  <c r="AU71" i="1"/>
  <c r="AT71" i="1"/>
  <c r="AN71" i="1"/>
  <c r="AL73" i="1" l="1"/>
  <c r="AT72" i="1"/>
  <c r="AR72" i="1"/>
  <c r="AQ72" i="1"/>
  <c r="AO72" i="1"/>
  <c r="AU72" i="1"/>
  <c r="AN72" i="1"/>
  <c r="AL74" i="1" l="1"/>
  <c r="AT73" i="1"/>
  <c r="AR73" i="1"/>
  <c r="AQ73" i="1"/>
  <c r="AO73" i="1"/>
  <c r="AU73" i="1"/>
  <c r="AN73" i="1"/>
  <c r="AL75" i="1" l="1"/>
  <c r="AU74" i="1"/>
  <c r="AT74" i="1"/>
  <c r="AR74" i="1"/>
  <c r="AQ74" i="1"/>
  <c r="AO74" i="1"/>
  <c r="AN74" i="1"/>
  <c r="AL76" i="1" l="1"/>
  <c r="AU75" i="1"/>
  <c r="AT75" i="1"/>
  <c r="AR75" i="1"/>
  <c r="AQ75" i="1"/>
  <c r="AO75" i="1"/>
  <c r="AN75" i="1"/>
  <c r="AL77" i="1" l="1"/>
  <c r="AU76" i="1"/>
  <c r="AT76" i="1"/>
  <c r="AR76" i="1"/>
  <c r="AQ76" i="1"/>
  <c r="AO76" i="1"/>
  <c r="AN76" i="1"/>
  <c r="AL78" i="1" l="1"/>
  <c r="AQ77" i="1"/>
  <c r="AO77" i="1"/>
  <c r="AN77" i="1"/>
  <c r="AU77" i="1"/>
  <c r="AT77" i="1"/>
  <c r="AR77" i="1"/>
  <c r="AL79" i="1" l="1"/>
  <c r="AR78" i="1"/>
  <c r="AQ78" i="1"/>
  <c r="AO78" i="1"/>
  <c r="AN78" i="1"/>
  <c r="AU78" i="1"/>
  <c r="AT78" i="1"/>
  <c r="AL80" i="1" l="1"/>
  <c r="AR79" i="1"/>
  <c r="AQ79" i="1"/>
  <c r="AO79" i="1"/>
  <c r="AU79" i="1"/>
  <c r="AT79" i="1"/>
  <c r="AN79" i="1"/>
  <c r="AL81" i="1" l="1"/>
  <c r="AT80" i="1"/>
  <c r="AR80" i="1"/>
  <c r="AQ80" i="1"/>
  <c r="AO80" i="1"/>
  <c r="AU80" i="1"/>
  <c r="AN80" i="1"/>
  <c r="AL82" i="1" l="1"/>
  <c r="AT81" i="1"/>
  <c r="AR81" i="1"/>
  <c r="AQ81" i="1"/>
  <c r="AO81" i="1"/>
  <c r="AU81" i="1"/>
  <c r="AN81" i="1"/>
  <c r="AL83" i="1" l="1"/>
  <c r="AU82" i="1"/>
  <c r="AT82" i="1"/>
  <c r="AR82" i="1"/>
  <c r="AQ82" i="1"/>
  <c r="AO82" i="1"/>
  <c r="AN82" i="1"/>
  <c r="AL84" i="1" l="1"/>
  <c r="AU83" i="1"/>
  <c r="AT83" i="1"/>
  <c r="AR83" i="1"/>
  <c r="AQ83" i="1"/>
  <c r="AO83" i="1"/>
  <c r="AN83" i="1"/>
  <c r="AL85" i="1" l="1"/>
  <c r="AU84" i="1"/>
  <c r="AT84" i="1"/>
  <c r="AR84" i="1"/>
  <c r="AQ84" i="1"/>
  <c r="AO84" i="1"/>
  <c r="AN84" i="1"/>
  <c r="AL86" i="1" l="1"/>
  <c r="AQ85" i="1"/>
  <c r="AO85" i="1"/>
  <c r="AN85" i="1"/>
  <c r="AU85" i="1"/>
  <c r="AT85" i="1"/>
  <c r="AR85" i="1"/>
  <c r="AL87" i="1" l="1"/>
  <c r="AR86" i="1"/>
  <c r="AQ86" i="1"/>
  <c r="AO86" i="1"/>
  <c r="AN86" i="1"/>
  <c r="AU86" i="1"/>
  <c r="AT86" i="1"/>
  <c r="AL88" i="1" l="1"/>
  <c r="AR87" i="1"/>
  <c r="AQ87" i="1"/>
  <c r="AO87" i="1"/>
  <c r="AU87" i="1"/>
  <c r="AT87" i="1"/>
  <c r="AN87" i="1"/>
  <c r="AL89" i="1" l="1"/>
  <c r="AT88" i="1"/>
  <c r="AR88" i="1"/>
  <c r="AQ88" i="1"/>
  <c r="AO88" i="1"/>
  <c r="AU88" i="1"/>
  <c r="AN88" i="1"/>
  <c r="AL90" i="1" l="1"/>
  <c r="AT89" i="1"/>
  <c r="AR89" i="1"/>
  <c r="AQ89" i="1"/>
  <c r="AO89" i="1"/>
  <c r="AU89" i="1"/>
  <c r="AN89" i="1"/>
  <c r="AL91" i="1" l="1"/>
  <c r="AU90" i="1"/>
  <c r="AT90" i="1"/>
  <c r="AR90" i="1"/>
  <c r="AQ90" i="1"/>
  <c r="AO90" i="1"/>
  <c r="AN90" i="1"/>
  <c r="AL92" i="1" l="1"/>
  <c r="AU91" i="1"/>
  <c r="AT91" i="1"/>
  <c r="AR91" i="1"/>
  <c r="AQ91" i="1"/>
  <c r="AO91" i="1"/>
  <c r="AN91" i="1"/>
  <c r="AL93" i="1" l="1"/>
  <c r="AU92" i="1"/>
  <c r="AT92" i="1"/>
  <c r="AR92" i="1"/>
  <c r="AQ92" i="1"/>
  <c r="AO92" i="1"/>
  <c r="AN92" i="1"/>
  <c r="AL94" i="1" l="1"/>
  <c r="AQ93" i="1"/>
  <c r="AO93" i="1"/>
  <c r="AU93" i="1"/>
  <c r="AT93" i="1"/>
  <c r="AR93" i="1"/>
  <c r="AN93" i="1"/>
  <c r="AL95" i="1" l="1"/>
  <c r="AR94" i="1"/>
  <c r="AQ94" i="1"/>
  <c r="AO94" i="1"/>
  <c r="AN94" i="1"/>
  <c r="AU94" i="1"/>
  <c r="AT94" i="1"/>
  <c r="AL96" i="1" l="1"/>
  <c r="AR95" i="1"/>
  <c r="AQ95" i="1"/>
  <c r="AO95" i="1"/>
  <c r="AU95" i="1"/>
  <c r="AT95" i="1"/>
  <c r="AN95" i="1"/>
  <c r="AL97" i="1" l="1"/>
  <c r="AT96" i="1"/>
  <c r="AR96" i="1"/>
  <c r="AQ96" i="1"/>
  <c r="AO96" i="1"/>
  <c r="AU96" i="1"/>
  <c r="AN96" i="1"/>
  <c r="AL98" i="1" l="1"/>
  <c r="AT97" i="1"/>
  <c r="AR97" i="1"/>
  <c r="AQ97" i="1"/>
  <c r="AO97" i="1"/>
  <c r="AU97" i="1"/>
  <c r="AN97" i="1"/>
  <c r="AL99" i="1" l="1"/>
  <c r="AU98" i="1"/>
  <c r="AT98" i="1"/>
  <c r="AR98" i="1"/>
  <c r="AQ98" i="1"/>
  <c r="AO98" i="1"/>
  <c r="AN98" i="1"/>
  <c r="AL100" i="1" l="1"/>
  <c r="AU99" i="1"/>
  <c r="AT99" i="1"/>
  <c r="AR99" i="1"/>
  <c r="AQ99" i="1"/>
  <c r="AO99" i="1"/>
  <c r="AN99" i="1"/>
  <c r="AL101" i="1" l="1"/>
  <c r="AU100" i="1"/>
  <c r="AT100" i="1"/>
  <c r="AR100" i="1"/>
  <c r="AQ100" i="1"/>
  <c r="AO100" i="1"/>
  <c r="AN100" i="1"/>
  <c r="AL102" i="1" l="1"/>
  <c r="AQ101" i="1"/>
  <c r="AO101" i="1"/>
  <c r="AU101" i="1"/>
  <c r="AT101" i="1"/>
  <c r="AR101" i="1"/>
  <c r="AN101" i="1"/>
  <c r="AL103" i="1" l="1"/>
  <c r="AR102" i="1"/>
  <c r="AQ102" i="1"/>
  <c r="AO102" i="1"/>
  <c r="AN102" i="1"/>
  <c r="AU102" i="1"/>
  <c r="AT102" i="1"/>
  <c r="AL104" i="1" l="1"/>
  <c r="AR103" i="1"/>
  <c r="AQ103" i="1"/>
  <c r="AO103" i="1"/>
  <c r="AU103" i="1"/>
  <c r="AT103" i="1"/>
  <c r="AN103" i="1"/>
  <c r="AL105" i="1" l="1"/>
  <c r="AT104" i="1"/>
  <c r="AR104" i="1"/>
  <c r="AQ104" i="1"/>
  <c r="AO104" i="1"/>
  <c r="AU104" i="1"/>
  <c r="AN104" i="1"/>
  <c r="AL106" i="1" l="1"/>
  <c r="AT105" i="1"/>
  <c r="AR105" i="1"/>
  <c r="AQ105" i="1"/>
  <c r="AO105" i="1"/>
  <c r="AU105" i="1"/>
  <c r="AN105" i="1"/>
  <c r="AL107" i="1" l="1"/>
  <c r="AU106" i="1"/>
  <c r="AT106" i="1"/>
  <c r="AR106" i="1"/>
  <c r="AQ106" i="1"/>
  <c r="AO106" i="1"/>
  <c r="AN106" i="1"/>
  <c r="AL108" i="1" l="1"/>
  <c r="AU107" i="1"/>
  <c r="AT107" i="1"/>
  <c r="AR107" i="1"/>
  <c r="AQ107" i="1"/>
  <c r="AO107" i="1"/>
  <c r="AN107" i="1"/>
  <c r="AL109" i="1" l="1"/>
  <c r="AU108" i="1"/>
  <c r="AT108" i="1"/>
  <c r="AR108" i="1"/>
  <c r="AQ108" i="1"/>
  <c r="AO108" i="1"/>
  <c r="AN108" i="1"/>
  <c r="AL110" i="1" l="1"/>
  <c r="AQ109" i="1"/>
  <c r="AO109" i="1"/>
  <c r="AU109" i="1"/>
  <c r="AT109" i="1"/>
  <c r="AR109" i="1"/>
  <c r="AN109" i="1"/>
  <c r="AL111" i="1" l="1"/>
  <c r="AR110" i="1"/>
  <c r="AQ110" i="1"/>
  <c r="AO110" i="1"/>
  <c r="AN110" i="1"/>
  <c r="AU110" i="1"/>
  <c r="AT110" i="1"/>
  <c r="AL112" i="1" l="1"/>
  <c r="AR111" i="1"/>
  <c r="AQ111" i="1"/>
  <c r="AO111" i="1"/>
  <c r="AU111" i="1"/>
  <c r="AT111" i="1"/>
  <c r="AN111" i="1"/>
  <c r="AL113" i="1" l="1"/>
  <c r="AT112" i="1"/>
  <c r="AR112" i="1"/>
  <c r="AQ112" i="1"/>
  <c r="AO112" i="1"/>
  <c r="AU112" i="1"/>
  <c r="AN112" i="1"/>
  <c r="AL114" i="1" l="1"/>
  <c r="AT113" i="1"/>
  <c r="AR113" i="1"/>
  <c r="AQ113" i="1"/>
  <c r="AO113" i="1"/>
  <c r="AU113" i="1"/>
  <c r="AN113" i="1"/>
  <c r="AL115" i="1" l="1"/>
  <c r="AU114" i="1"/>
  <c r="AT114" i="1"/>
  <c r="AR114" i="1"/>
  <c r="AQ114" i="1"/>
  <c r="AO114" i="1"/>
  <c r="AN114" i="1"/>
  <c r="AL116" i="1" l="1"/>
  <c r="AU115" i="1"/>
  <c r="AT115" i="1"/>
  <c r="AR115" i="1"/>
  <c r="AQ115" i="1"/>
  <c r="AO115" i="1"/>
  <c r="AN115" i="1"/>
  <c r="AL117" i="1" l="1"/>
  <c r="AU116" i="1"/>
  <c r="AT116" i="1"/>
  <c r="AR116" i="1"/>
  <c r="AQ116" i="1"/>
  <c r="AO116" i="1"/>
  <c r="AN116" i="1"/>
  <c r="AL118" i="1" l="1"/>
  <c r="AQ117" i="1"/>
  <c r="AO117" i="1"/>
  <c r="AU117" i="1"/>
  <c r="AT117" i="1"/>
  <c r="AR117" i="1"/>
  <c r="AN117" i="1"/>
  <c r="AL119" i="1" l="1"/>
  <c r="AR118" i="1"/>
  <c r="AQ118" i="1"/>
  <c r="AO118" i="1"/>
  <c r="AN118" i="1"/>
  <c r="AU118" i="1"/>
  <c r="AT118" i="1"/>
  <c r="AL120" i="1" l="1"/>
  <c r="AR119" i="1"/>
  <c r="AQ119" i="1"/>
  <c r="AO119" i="1"/>
  <c r="AU119" i="1"/>
  <c r="AT119" i="1"/>
  <c r="AN119" i="1"/>
  <c r="AL121" i="1" l="1"/>
  <c r="AT120" i="1"/>
  <c r="AR120" i="1"/>
  <c r="AQ120" i="1"/>
  <c r="AO120" i="1"/>
  <c r="AU120" i="1"/>
  <c r="AN120" i="1"/>
  <c r="AT121" i="1" l="1"/>
  <c r="AR121" i="1"/>
  <c r="AQ121" i="1"/>
  <c r="AO121" i="1"/>
  <c r="AU121" i="1"/>
  <c r="AN12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<sst xmlns="http://schemas.openxmlformats.org/spreadsheetml/2006/main" count="104" uniqueCount="69">
  <si>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</si>
  <si>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</si>
  <si>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</si>
  <si>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</si>
  <si>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</si>
  <si>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</si>
  <si>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</si>
  <si>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</si>
  <si>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</si>
  <si>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</si>
  <si>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</si>
  <si>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</si>
  <si>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</si>
  <si>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</si>
  <si>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</si>
  <si>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</si>
  <si>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</si>
  <si>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</si>
  <si>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</si>
  <si>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</si>
  <si>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</si>
  <si>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</si>
  <si>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</si>
  <si>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</si>
  <si>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Représentation des conditions initiales</t>
  </si>
  <si>
    <t>départ</t>
  </si>
  <si>
    <t>incrément</t>
  </si>
  <si>
    <t>fin</t>
  </si>
  <si>
    <t>Itération</t>
  </si>
  <si>
    <r>
      <t xml:space="preserve">Position 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1xy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</si>
  <si>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</si>
  <si>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 xml:space="preserve">ƿ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</si>
  <si>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</si>
  <si>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</si>
  <si>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 xml:space="preserve">ʎ </t>
    </r>
    <r>
      <rPr>
        <vertAlign val="subscript"/>
        <sz val="11"/>
        <color theme="1"/>
        <rFont val="Calibri"/>
        <family val="2"/>
      </rPr>
      <t>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</si>
  <si>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 xml:space="preserve">ω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</si>
  <si>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2xy</t>
    </r>
  </si>
  <si>
    <r>
      <t>Rayon                                                                                                                                                                                      r</t>
    </r>
    <r>
      <rPr>
        <b/>
        <vertAlign val="subscript"/>
        <sz val="11"/>
        <color theme="1"/>
        <rFont val="Calibri"/>
        <family val="2"/>
        <scheme val="minor"/>
      </rPr>
      <t xml:space="preserve"> 2</t>
    </r>
  </si>
  <si>
    <r>
      <t xml:space="preserve">Masse volumique moyenne                                                                                                              ƿ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</si>
  <si>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</si>
  <si>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</si>
  <si>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Constante d'Arseth                                                ʎ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</si>
  <si>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Attraction/Répulsion                ω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</si>
  <si>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3xy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</si>
  <si>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</si>
  <si>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Masse volumique moyenne                                                                                                              ƿ</t>
    </r>
    <r>
      <rPr>
        <b/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</si>
  <si>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3</t>
    </r>
  </si>
  <si>
    <r>
      <t>Masse totale                                                                                       M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</si>
  <si>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>Constante d'Arseth                                                 ʎ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</si>
  <si>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Attraction/Répulsion                 ω </t>
    </r>
    <r>
      <rPr>
        <b/>
        <vertAlign val="subscript"/>
        <sz val="11"/>
        <color theme="1"/>
        <rFont val="Calibri"/>
        <family val="2"/>
        <scheme val="minor"/>
      </rPr>
      <t>3</t>
    </r>
  </si>
  <si>
    <t>position courante</t>
  </si>
  <si>
    <t>vitesse courante</t>
  </si>
  <si>
    <t>accélération courante</t>
  </si>
  <si>
    <t>corps 3</t>
  </si>
  <si>
    <t>=</t>
  </si>
  <si>
    <t>corps 1 +</t>
  </si>
  <si>
    <t>corps 2 +</t>
  </si>
  <si>
    <t>position x</t>
  </si>
  <si>
    <t>position y</t>
  </si>
  <si>
    <t>vitesse x</t>
  </si>
  <si>
    <t>vitesse y</t>
  </si>
  <si>
    <t>accélération x</t>
  </si>
  <si>
    <t>accélération y</t>
  </si>
  <si>
    <t>planète 1</t>
  </si>
  <si>
    <t>distance du vaisseau</t>
  </si>
  <si>
    <t>planète 3</t>
  </si>
  <si>
    <t>planète 2</t>
  </si>
  <si>
    <t>(racineca( (Xk - Xj)^2 + (Yk - Yi)^2 )</t>
  </si>
  <si>
    <r>
      <t>d</t>
    </r>
    <r>
      <rPr>
        <sz val="16"/>
        <color rgb="FF000000"/>
        <rFont val="MJXc-TeX-main-R"/>
      </rPr>
      <t>(</t>
    </r>
    <r>
      <rPr>
        <sz val="16"/>
        <color rgb="FF000000"/>
        <rFont val="MJXc-TeX-math-I"/>
      </rPr>
      <t>A</t>
    </r>
    <r>
      <rPr>
        <sz val="16"/>
        <color rgb="FF000000"/>
        <rFont val="MJXc-TeX-main-R"/>
      </rPr>
      <t>,</t>
    </r>
    <r>
      <rPr>
        <sz val="16"/>
        <color rgb="FF000000"/>
        <rFont val="MJXc-TeX-math-I"/>
      </rPr>
      <t>B</t>
    </r>
    <r>
      <rPr>
        <sz val="16"/>
        <color rgb="FF000000"/>
        <rFont val="MJXc-TeX-main-R"/>
      </rPr>
      <t>)=</t>
    </r>
    <r>
      <rPr>
        <sz val="16"/>
        <color rgb="FF000000"/>
        <rFont val="MJXc-TeX-size2-R"/>
      </rPr>
      <t>√</t>
    </r>
    <r>
      <rPr>
        <sz val="16"/>
        <color rgb="FF000000"/>
        <rFont val="MJXc-TeX-main-R"/>
      </rPr>
      <t>(</t>
    </r>
    <r>
      <rPr>
        <sz val="16"/>
        <color rgb="FF000000"/>
        <rFont val="MJXc-TeX-math-I"/>
      </rPr>
      <t>x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−</t>
    </r>
    <r>
      <rPr>
        <sz val="16"/>
        <color rgb="FF000000"/>
        <rFont val="MJXc-TeX-math-I"/>
      </rPr>
      <t>x</t>
    </r>
    <r>
      <rPr>
        <sz val="11"/>
        <color rgb="FF000000"/>
        <rFont val="MJXc-TeX-main-R"/>
      </rPr>
      <t>1</t>
    </r>
    <r>
      <rPr>
        <sz val="16"/>
        <color rgb="FF000000"/>
        <rFont val="MJXc-TeX-main-R"/>
      </rPr>
      <t>)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+(</t>
    </r>
    <r>
      <rPr>
        <sz val="16"/>
        <color rgb="FF000000"/>
        <rFont val="MJXc-TeX-math-I"/>
      </rPr>
      <t>y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−</t>
    </r>
    <r>
      <rPr>
        <sz val="16"/>
        <color rgb="FF000000"/>
        <rFont val="MJXc-TeX-math-I"/>
      </rPr>
      <t>y</t>
    </r>
    <r>
      <rPr>
        <sz val="11"/>
        <color rgb="FF000000"/>
        <rFont val="MJXc-TeX-main-R"/>
      </rPr>
      <t>1</t>
    </r>
    <r>
      <rPr>
        <sz val="16"/>
        <color rgb="FF000000"/>
        <rFont val="MJXc-TeX-main-R"/>
      </rPr>
      <t>)</t>
    </r>
    <r>
      <rPr>
        <sz val="11"/>
        <color rgb="FF000000"/>
        <rFont val="MJXc-TeX-main-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</si>
</sst>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6"/>
      <color rgb="FF000000"/>
      <name val="MJXc-TeX-math-I"/>
    </font>
    <font>
      <sz val="16"/>
      <color rgb="FF000000"/>
      <name val="MJXc-TeX-main-R"/>
    </font>
    <font>
      <sz val="16"/>
      <color rgb="FF000000"/>
      <name val="MJXc-TeX-size2-R"/>
    </font>
    <font>
      <sz val="11"/>
      <color rgb="FF000000"/>
      <name val="MJXc-TeX-main-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1" fillId="2" borderId="1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4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3" borderId="0" xfId="0" applyFont="1" applyFill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'Conditions initiales + chemin'!$AM$10:$AM$122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C9-412D-941E-04448833F7A2}"/>
            </c:ext>
          </c:extLst>
        </c:ser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'Conditions initiales + chemin'!$AO$10:$AO$122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C9-412D-941E-04448833F7A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chemin'!$AP$10:$AP$122</c:f>
              <c:numCache>
                <c:formatCode>General</c:formatCode>
                <c:ptCount val="113"/>
              </c:numCache>
            </c:numRef>
          </c:xVal>
          <c:y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C9-412D-941E-04448833F7A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'Conditions initiales + chemin'!$AS$10:$AS$122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C9-412D-941E-04448833F7A2}"/>
            </c:ext>
          </c:extLst>
        </c:ser>
        <c:ser>
          <c:idx val="4"/>
          <c:order val="4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'Conditions initiales + chemin'!$AU$10:$AU$122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C9-412D-941E-04448833F7A2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EC9-412D-941E-04448833F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3</xdr:row>
      <xdr:rowOff>28576</xdr:rowOff>
    </xdr:from>
    <xdr:to>
      <xdr:col>32</xdr:col>
      <xdr:colOff>723900</xdr:colOff>
      <xdr:row>39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DF248F1-21A2-4882-8FA0-163D111D7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BV1010"/>
  <sheetViews>
    <sheetView tabSelected="1" topLeftCell="BG4" workbookViewId="0">
      <selection activeCell="BM22" sqref="BM22"/>
    </sheetView>
  </sheetViews>
  <sheetFormatPr baseColWidth="10" defaultRowHeight="15"/>
  <cols>
    <col min="1" max="57" width="11.42578125" style="1"/>
    <col min="58" max="59" width="13.28515625" style="1" bestFit="1" customWidth="1"/>
    <col min="60" max="61" width="11.42578125" style="1"/>
    <col min="62" max="63" width="13.28515625" style="1" bestFit="1" customWidth="1"/>
    <col min="64" max="64" width="19.28515625" style="1" bestFit="1" customWidth="1"/>
    <col min="65" max="66" width="11.42578125" style="1"/>
    <col min="67" max="68" width="13.28515625" style="1" bestFit="1" customWidth="1"/>
    <col min="69" max="69" width="19.28515625" style="1" bestFit="1" customWidth="1"/>
    <col min="70" max="71" width="11.42578125" style="1"/>
    <col min="72" max="73" width="13.28515625" style="1" bestFit="1" customWidth="1"/>
    <col min="74" max="74" width="19.28515625" style="1" bestFit="1" customWidth="1"/>
    <col min="75" max="16384" width="11.42578125" style="1"/>
  </cols>
  <sheetData>
    <row r="1" spans="2:74" ht="15.75" thickBot="1"/>
    <row r="2" spans="2:74" ht="23.25" thickBot="1">
      <c r="B2" s="11" t="s">
        <v>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3"/>
      <c r="S2" s="11" t="s">
        <v>24</v>
      </c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3"/>
    </row>
    <row r="4" spans="2:74">
      <c r="C4" s="43" t="s">
        <v>1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T4" s="14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6"/>
    </row>
    <row r="5" spans="2:74">
      <c r="D5" s="46" t="s">
        <v>16</v>
      </c>
      <c r="E5" s="32"/>
      <c r="F5" s="32"/>
      <c r="G5" s="32"/>
      <c r="H5" s="32"/>
      <c r="I5" s="32"/>
      <c r="J5" s="32"/>
      <c r="K5" s="32"/>
      <c r="L5" s="47"/>
      <c r="M5" s="44">
        <v>0.5</v>
      </c>
      <c r="N5" s="15"/>
      <c r="O5" s="44" t="s">
        <v>2</v>
      </c>
      <c r="P5" s="45"/>
      <c r="T5" s="17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</row>
    <row r="6" spans="2:74">
      <c r="E6" s="46" t="s">
        <v>17</v>
      </c>
      <c r="F6" s="32"/>
      <c r="G6" s="32"/>
      <c r="H6" s="32"/>
      <c r="I6" s="32"/>
      <c r="J6" s="32"/>
      <c r="K6" s="32"/>
      <c r="L6" s="47"/>
      <c r="M6" s="48">
        <v>0</v>
      </c>
      <c r="N6" s="49"/>
      <c r="O6" s="48" t="s">
        <v>3</v>
      </c>
      <c r="P6" s="50"/>
      <c r="T6" s="17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9"/>
      <c r="AK6" t="s">
        <v>25</v>
      </c>
      <c r="AL6" t="s">
        <v>26</v>
      </c>
      <c r="AM6" t="s">
        <v>27</v>
      </c>
    </row>
    <row r="7" spans="2:74">
      <c r="F7" s="46" t="s">
        <v>18</v>
      </c>
      <c r="G7" s="32"/>
      <c r="H7" s="32"/>
      <c r="I7" s="32"/>
      <c r="J7" s="32"/>
      <c r="K7" s="32"/>
      <c r="L7" s="47"/>
      <c r="M7" s="51">
        <v>2</v>
      </c>
      <c r="N7" s="21"/>
      <c r="O7" s="51" t="s">
        <v>4</v>
      </c>
      <c r="P7" s="52"/>
      <c r="T7" s="17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9"/>
      <c r="AK7" s="1">
        <v>0</v>
      </c>
      <c r="AL7" s="1">
        <f>AM7/112</f>
        <v>0.39269908169872414</v>
      </c>
      <c r="AM7" s="1">
        <f>AL122</f>
        <v>43.982297150257104</v>
      </c>
    </row>
    <row r="8" spans="2:74">
      <c r="T8" s="17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9"/>
    </row>
    <row r="9" spans="2:74">
      <c r="C9" s="43" t="s">
        <v>5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T9" s="17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9"/>
      <c r="AK9" t="s">
        <v>28</v>
      </c>
      <c r="AL9"/>
      <c r="AN9" s="1" t="s">
        <v>9</v>
      </c>
      <c r="AQ9" s="1" t="s">
        <v>14</v>
      </c>
      <c r="AT9" s="1" t="s">
        <v>15</v>
      </c>
      <c r="AW9" s="1" t="s">
        <v>28</v>
      </c>
      <c r="AZ9" s="1" t="s">
        <v>57</v>
      </c>
      <c r="BA9" s="1" t="s">
        <v>58</v>
      </c>
      <c r="BC9" s="1" t="s">
        <v>59</v>
      </c>
      <c r="BD9" s="1" t="s">
        <v>60</v>
      </c>
      <c r="BF9" s="1" t="s">
        <v>61</v>
      </c>
      <c r="BG9" s="1" t="s">
        <v>62</v>
      </c>
      <c r="BI9" s="1" t="s">
        <v>63</v>
      </c>
      <c r="BJ9" s="1" t="s">
        <v>61</v>
      </c>
      <c r="BK9" s="1" t="s">
        <v>62</v>
      </c>
      <c r="BL9" s="1" t="s">
        <v>64</v>
      </c>
      <c r="BN9" s="1" t="s">
        <v>66</v>
      </c>
      <c r="BO9" s="1" t="s">
        <v>61</v>
      </c>
      <c r="BP9" s="1" t="s">
        <v>62</v>
      </c>
      <c r="BQ9" s="1" t="s">
        <v>64</v>
      </c>
      <c r="BS9" s="1" t="s">
        <v>65</v>
      </c>
      <c r="BT9" s="1" t="s">
        <v>61</v>
      </c>
      <c r="BU9" s="1" t="s">
        <v>62</v>
      </c>
      <c r="BV9" s="1" t="s">
        <v>64</v>
      </c>
    </row>
    <row r="10" spans="2:74">
      <c r="D10" s="46" t="s">
        <v>19</v>
      </c>
      <c r="E10" s="32"/>
      <c r="F10" s="32"/>
      <c r="G10" s="32"/>
      <c r="H10" s="32"/>
      <c r="I10" s="32"/>
      <c r="J10" s="32"/>
      <c r="K10" s="32"/>
      <c r="L10" s="32"/>
      <c r="M10" s="48">
        <v>1</v>
      </c>
      <c r="N10" s="49"/>
      <c r="O10" s="48" t="s">
        <v>6</v>
      </c>
      <c r="P10" s="50"/>
      <c r="T10" s="17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  <c r="AW10" s="1">
        <v>0</v>
      </c>
      <c r="AZ10" s="1">
        <f>M11</f>
        <v>0</v>
      </c>
      <c r="BA10" s="1">
        <f>N11</f>
        <v>0</v>
      </c>
      <c r="BC10" s="1">
        <f>M12</f>
        <v>0</v>
      </c>
      <c r="BD10" s="1">
        <f>N12</f>
        <v>0</v>
      </c>
      <c r="BF10" s="1">
        <f>M13</f>
        <v>0</v>
      </c>
      <c r="BG10" s="1">
        <f>N13</f>
        <v>0</v>
      </c>
      <c r="BL10" s="1">
        <f>SQRT(0)</f>
        <v>0</v>
      </c>
    </row>
    <row r="11" spans="2:74">
      <c r="E11" s="46" t="s">
        <v>20</v>
      </c>
      <c r="F11" s="32"/>
      <c r="G11" s="32"/>
      <c r="H11" s="32"/>
      <c r="I11" s="32"/>
      <c r="J11" s="32"/>
      <c r="K11" s="32"/>
      <c r="L11" s="32"/>
      <c r="M11" s="3">
        <v>0</v>
      </c>
      <c r="N11" s="2">
        <v>0</v>
      </c>
      <c r="O11" s="48" t="s">
        <v>7</v>
      </c>
      <c r="P11" s="50"/>
      <c r="T11" s="17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9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  <c r="AW11" s="1">
        <v>1</v>
      </c>
      <c r="AZ11" s="1">
        <f>AZ10 + BC10 * AX11 + 0.5 * BF10 * POWER(AW11, 2)</f>
        <v>0</v>
      </c>
      <c r="BC11" s="1">
        <f>BC10 + BF10 * AW11</f>
        <v>0</v>
      </c>
    </row>
    <row r="12" spans="2:74">
      <c r="F12" s="46" t="s">
        <v>21</v>
      </c>
      <c r="G12" s="32"/>
      <c r="H12" s="32"/>
      <c r="I12" s="32"/>
      <c r="J12" s="32"/>
      <c r="K12" s="32"/>
      <c r="L12" s="32"/>
      <c r="M12" s="3">
        <v>0</v>
      </c>
      <c r="N12" s="2">
        <v>0</v>
      </c>
      <c r="O12" s="48" t="s">
        <v>3</v>
      </c>
      <c r="P12" s="50"/>
      <c r="T12" s="17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9"/>
      <c r="AK12" s="1">
        <v>2</v>
      </c>
      <c r="AL12" s="1">
        <f>AL11+$AL$7</f>
        <v>0.78539816339744828</v>
      </c>
      <c r="AN12" s="1">
        <f t="shared" ref="AN12:AN75" si="5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  <c r="AW12" s="1">
        <v>2</v>
      </c>
    </row>
    <row r="13" spans="2:74" ht="17.25">
      <c r="G13" s="46" t="s">
        <v>22</v>
      </c>
      <c r="H13" s="32"/>
      <c r="I13" s="32"/>
      <c r="J13" s="32"/>
      <c r="K13" s="32"/>
      <c r="L13" s="32"/>
      <c r="M13" s="3">
        <v>0</v>
      </c>
      <c r="N13" s="2">
        <v>0</v>
      </c>
      <c r="O13" s="48" t="s">
        <v>10</v>
      </c>
      <c r="P13" s="50"/>
      <c r="T13" s="17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9"/>
      <c r="AK13" s="1">
        <v>3</v>
      </c>
      <c r="AL13" s="1">
        <f t="shared" ref="AL13:AL76" si="6">AL12+$AL$7</f>
        <v>1.1780972450961724</v>
      </c>
      <c r="AN13" s="1">
        <f t="shared" si="5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  <c r="AW13" s="1">
        <v>3</v>
      </c>
    </row>
    <row r="14" spans="2:74">
      <c r="H14" s="46" t="s">
        <v>23</v>
      </c>
      <c r="I14" s="32"/>
      <c r="J14" s="32"/>
      <c r="K14" s="32"/>
      <c r="L14" s="32"/>
      <c r="M14" s="48">
        <v>2500</v>
      </c>
      <c r="N14" s="49"/>
      <c r="O14" s="48" t="s">
        <v>7</v>
      </c>
      <c r="P14" s="50"/>
      <c r="T14" s="17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  <c r="AK14" s="1">
        <v>4</v>
      </c>
      <c r="AL14" s="1">
        <f t="shared" si="6"/>
        <v>1.5707963267948966</v>
      </c>
      <c r="AN14" s="1">
        <f t="shared" si="5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  <c r="AW14" s="1">
        <v>4</v>
      </c>
    </row>
    <row r="15" spans="2:74">
      <c r="T15" s="17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  <c r="AK15">
        <v>5</v>
      </c>
      <c r="AL15" s="1">
        <f t="shared" si="6"/>
        <v>1.9634954084936207</v>
      </c>
      <c r="AN15" s="1">
        <f t="shared" si="5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  <c r="AW15" s="1">
        <v>5</v>
      </c>
      <c r="BL15" s="1" t="s">
        <v>67</v>
      </c>
    </row>
    <row r="16" spans="2:74" ht="20.25">
      <c r="C16" s="43" t="s">
        <v>8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T16" s="17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  <c r="AK16" s="1">
        <v>6</v>
      </c>
      <c r="AL16" s="1">
        <f t="shared" si="6"/>
        <v>2.3561944901923448</v>
      </c>
      <c r="AN16" s="1">
        <f t="shared" si="5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  <c r="AW16" s="1">
        <v>6</v>
      </c>
      <c r="BL16" s="56" t="s">
        <v>68</v>
      </c>
    </row>
    <row r="17" spans="3:49">
      <c r="C17" s="53" t="s">
        <v>9</v>
      </c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T17" s="17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  <c r="AK17" s="1">
        <v>7</v>
      </c>
      <c r="AL17" s="1">
        <f t="shared" si="6"/>
        <v>2.748893571891069</v>
      </c>
      <c r="AN17" s="1">
        <f t="shared" si="5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  <c r="AW17" s="1">
        <v>7</v>
      </c>
    </row>
    <row r="18" spans="3:49" ht="18">
      <c r="D18" s="39" t="s">
        <v>29</v>
      </c>
      <c r="E18" s="27"/>
      <c r="F18" s="27"/>
      <c r="G18" s="27"/>
      <c r="H18" s="27"/>
      <c r="I18" s="27"/>
      <c r="J18" s="27"/>
      <c r="K18" s="27"/>
      <c r="L18" s="40"/>
      <c r="M18" s="5">
        <v>20000</v>
      </c>
      <c r="N18" s="6">
        <v>7500</v>
      </c>
      <c r="O18" s="41" t="s">
        <v>7</v>
      </c>
      <c r="P18" s="42"/>
      <c r="T18" s="17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  <c r="AK18" s="1">
        <v>8</v>
      </c>
      <c r="AL18" s="1">
        <f t="shared" si="6"/>
        <v>3.1415926535897931</v>
      </c>
      <c r="AN18" s="1">
        <f t="shared" si="5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  <c r="AW18" s="1">
        <v>8</v>
      </c>
    </row>
    <row r="19" spans="3:49" ht="18">
      <c r="E19" s="39" t="s">
        <v>30</v>
      </c>
      <c r="F19" s="27"/>
      <c r="G19" s="27"/>
      <c r="H19" s="27"/>
      <c r="I19" s="27"/>
      <c r="J19" s="27"/>
      <c r="K19" s="27"/>
      <c r="L19" s="40"/>
      <c r="M19" s="41">
        <v>5000</v>
      </c>
      <c r="N19" s="42"/>
      <c r="O19" s="41" t="s">
        <v>7</v>
      </c>
      <c r="P19" s="42"/>
      <c r="T19" s="17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  <c r="AK19" s="1">
        <v>9</v>
      </c>
      <c r="AL19" s="1">
        <f t="shared" si="6"/>
        <v>3.5342917352885173</v>
      </c>
      <c r="AN19" s="1">
        <f t="shared" si="5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  <c r="AW19" s="1">
        <v>9</v>
      </c>
    </row>
    <row r="20" spans="3:49" ht="18.75">
      <c r="E20" s="4"/>
      <c r="F20" s="39" t="s">
        <v>31</v>
      </c>
      <c r="G20" s="27"/>
      <c r="H20" s="27"/>
      <c r="I20" s="27"/>
      <c r="J20" s="27"/>
      <c r="K20" s="27"/>
      <c r="L20" s="40"/>
      <c r="M20" s="41">
        <v>1</v>
      </c>
      <c r="N20" s="42"/>
      <c r="O20" s="41" t="s">
        <v>11</v>
      </c>
      <c r="P20" s="42"/>
      <c r="T20" s="17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  <c r="AK20">
        <v>10</v>
      </c>
      <c r="AL20" s="1">
        <f t="shared" si="6"/>
        <v>3.9269908169872414</v>
      </c>
      <c r="AN20" s="1">
        <f t="shared" si="5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  <c r="AW20" s="1">
        <v>10</v>
      </c>
    </row>
    <row r="21" spans="3:49" ht="18.75">
      <c r="E21" s="4"/>
      <c r="F21" s="4"/>
      <c r="G21" s="54" t="s">
        <v>32</v>
      </c>
      <c r="H21" s="32"/>
      <c r="I21" s="32"/>
      <c r="J21" s="32"/>
      <c r="K21" s="32"/>
      <c r="L21" s="55"/>
      <c r="M21" s="41">
        <f xml:space="preserve"> (4/3)*PI()*POWER(M19,3)</f>
        <v>523598775598.29883</v>
      </c>
      <c r="N21" s="42"/>
      <c r="O21" s="41" t="s">
        <v>12</v>
      </c>
      <c r="P21" s="42"/>
      <c r="T21" s="17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  <c r="AK21" s="1">
        <v>11</v>
      </c>
      <c r="AL21" s="1">
        <f t="shared" si="6"/>
        <v>4.3196898986859651</v>
      </c>
      <c r="AN21" s="1">
        <f t="shared" si="5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  <c r="AW21" s="1">
        <v>11</v>
      </c>
    </row>
    <row r="22" spans="3:49" ht="18">
      <c r="E22" s="4"/>
      <c r="F22" s="4"/>
      <c r="G22" s="4"/>
      <c r="H22" s="54" t="s">
        <v>33</v>
      </c>
      <c r="I22" s="32"/>
      <c r="J22" s="32"/>
      <c r="K22" s="32"/>
      <c r="L22" s="55"/>
      <c r="M22" s="41">
        <f xml:space="preserve"> M20*M21</f>
        <v>523598775598.29883</v>
      </c>
      <c r="N22" s="42"/>
      <c r="O22" s="41" t="s">
        <v>6</v>
      </c>
      <c r="P22" s="42"/>
      <c r="T22" s="17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  <c r="AK22" s="1">
        <v>12</v>
      </c>
      <c r="AL22" s="1">
        <f t="shared" si="6"/>
        <v>4.7123889803846897</v>
      </c>
      <c r="AN22" s="1">
        <f t="shared" si="5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  <c r="AW22" s="1">
        <v>12</v>
      </c>
    </row>
    <row r="23" spans="3:49" ht="18">
      <c r="E23" s="4"/>
      <c r="F23" s="4"/>
      <c r="G23" s="4"/>
      <c r="H23" s="4"/>
      <c r="I23" s="54" t="s">
        <v>34</v>
      </c>
      <c r="J23" s="32"/>
      <c r="K23" s="32"/>
      <c r="L23" s="55"/>
      <c r="M23" s="41">
        <f xml:space="preserve"> M19*$M$7</f>
        <v>10000</v>
      </c>
      <c r="N23" s="42"/>
      <c r="O23" s="41" t="s">
        <v>7</v>
      </c>
      <c r="P23" s="42"/>
      <c r="T23" s="17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  <c r="AK23" s="1">
        <v>13</v>
      </c>
      <c r="AL23" s="1">
        <f t="shared" si="6"/>
        <v>5.1050880620834143</v>
      </c>
      <c r="AN23" s="1">
        <f t="shared" si="5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  <c r="AW23" s="1">
        <v>13</v>
      </c>
    </row>
    <row r="24" spans="3:49" ht="18">
      <c r="E24" s="4"/>
      <c r="F24" s="4"/>
      <c r="G24" s="4"/>
      <c r="H24" s="4"/>
      <c r="I24" s="4"/>
      <c r="J24" s="39" t="s">
        <v>35</v>
      </c>
      <c r="K24" s="27"/>
      <c r="L24" s="40"/>
      <c r="M24" s="41" t="s">
        <v>13</v>
      </c>
      <c r="N24" s="42"/>
      <c r="O24" s="41" t="s">
        <v>4</v>
      </c>
      <c r="P24" s="42"/>
      <c r="T24" s="17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  <c r="AK24" s="1">
        <v>14</v>
      </c>
      <c r="AL24" s="1">
        <f t="shared" si="6"/>
        <v>5.4977871437821388</v>
      </c>
      <c r="AN24" s="1">
        <f t="shared" si="5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  <c r="AW24" s="1">
        <v>14</v>
      </c>
    </row>
    <row r="25" spans="3:49">
      <c r="C25" s="38" t="s">
        <v>14</v>
      </c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T25" s="17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  <c r="AK25">
        <v>15</v>
      </c>
      <c r="AL25" s="1">
        <f t="shared" si="6"/>
        <v>5.8904862254808634</v>
      </c>
      <c r="AN25" s="1">
        <f t="shared" si="5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  <c r="AW25" s="1">
        <v>15</v>
      </c>
    </row>
    <row r="26" spans="3:49" ht="18">
      <c r="D26" s="34" t="s">
        <v>36</v>
      </c>
      <c r="E26" s="27"/>
      <c r="F26" s="27"/>
      <c r="G26" s="27"/>
      <c r="H26" s="27"/>
      <c r="I26" s="27"/>
      <c r="J26" s="27"/>
      <c r="K26" s="27"/>
      <c r="L26" s="35"/>
      <c r="M26" s="7">
        <v>-20000</v>
      </c>
      <c r="N26" s="8">
        <v>10000</v>
      </c>
      <c r="O26" s="29" t="s">
        <v>7</v>
      </c>
      <c r="P26" s="30"/>
      <c r="T26" s="17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  <c r="AK26" s="1">
        <v>16</v>
      </c>
      <c r="AL26" s="1">
        <f t="shared" si="6"/>
        <v>6.283185307179588</v>
      </c>
      <c r="AN26" s="1">
        <f t="shared" si="5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  <c r="AW26" s="1">
        <v>16</v>
      </c>
    </row>
    <row r="27" spans="3:49" ht="18">
      <c r="D27" s="4"/>
      <c r="E27" s="34" t="s">
        <v>37</v>
      </c>
      <c r="F27" s="27"/>
      <c r="G27" s="27"/>
      <c r="H27" s="27"/>
      <c r="I27" s="27"/>
      <c r="J27" s="27"/>
      <c r="K27" s="27"/>
      <c r="L27" s="35"/>
      <c r="M27" s="29">
        <v>3500</v>
      </c>
      <c r="N27" s="30"/>
      <c r="O27" s="29" t="s">
        <v>7</v>
      </c>
      <c r="P27" s="30"/>
      <c r="T27" s="17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  <c r="AK27" s="1">
        <v>17</v>
      </c>
      <c r="AL27" s="1">
        <f t="shared" si="6"/>
        <v>6.6758843888783126</v>
      </c>
      <c r="AN27" s="1">
        <f t="shared" si="5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  <c r="AW27" s="1">
        <v>17</v>
      </c>
    </row>
    <row r="28" spans="3:49" ht="18.75">
      <c r="D28" s="4"/>
      <c r="E28" s="4"/>
      <c r="F28" s="34" t="s">
        <v>38</v>
      </c>
      <c r="G28" s="27"/>
      <c r="H28" s="27"/>
      <c r="I28" s="27"/>
      <c r="J28" s="27"/>
      <c r="K28" s="27"/>
      <c r="L28" s="35"/>
      <c r="M28" s="29">
        <v>1</v>
      </c>
      <c r="N28" s="30"/>
      <c r="O28" s="29" t="s">
        <v>11</v>
      </c>
      <c r="P28" s="30"/>
      <c r="T28" s="17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  <c r="AK28" s="1">
        <v>18</v>
      </c>
      <c r="AL28" s="1">
        <f t="shared" si="6"/>
        <v>7.0685834705770372</v>
      </c>
      <c r="AN28" s="1">
        <f t="shared" si="5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  <c r="AW28" s="1">
        <v>18</v>
      </c>
    </row>
    <row r="29" spans="3:49" ht="18.75">
      <c r="D29" s="4"/>
      <c r="E29" s="4"/>
      <c r="F29" s="4"/>
      <c r="G29" s="36" t="s">
        <v>39</v>
      </c>
      <c r="H29" s="32"/>
      <c r="I29" s="32"/>
      <c r="J29" s="32"/>
      <c r="K29" s="32"/>
      <c r="L29" s="37"/>
      <c r="M29" s="29">
        <f xml:space="preserve"> (4/3)*PI()*POWER(M27,3)</f>
        <v>179594380030.21649</v>
      </c>
      <c r="N29" s="30"/>
      <c r="O29" s="29" t="s">
        <v>12</v>
      </c>
      <c r="P29" s="30"/>
      <c r="T29" s="17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  <c r="AK29" s="1">
        <v>19</v>
      </c>
      <c r="AL29" s="1">
        <f t="shared" si="6"/>
        <v>7.4612825522757618</v>
      </c>
      <c r="AN29" s="1">
        <f t="shared" si="5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  <c r="AW29" s="1">
        <v>19</v>
      </c>
    </row>
    <row r="30" spans="3:49" ht="18">
      <c r="D30" s="4"/>
      <c r="E30" s="4"/>
      <c r="F30" s="4"/>
      <c r="G30" s="4"/>
      <c r="H30" s="36" t="s">
        <v>40</v>
      </c>
      <c r="I30" s="32"/>
      <c r="J30" s="32"/>
      <c r="K30" s="32"/>
      <c r="L30" s="37"/>
      <c r="M30" s="29">
        <f xml:space="preserve"> M28*M29</f>
        <v>179594380030.21649</v>
      </c>
      <c r="N30" s="30"/>
      <c r="O30" s="29" t="s">
        <v>6</v>
      </c>
      <c r="P30" s="30"/>
      <c r="T30" s="17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  <c r="AK30">
        <v>20</v>
      </c>
      <c r="AL30" s="1">
        <f t="shared" si="6"/>
        <v>7.8539816339744863</v>
      </c>
      <c r="AN30" s="1">
        <f t="shared" si="5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  <c r="AW30" s="1">
        <v>20</v>
      </c>
    </row>
    <row r="31" spans="3:49" ht="18">
      <c r="D31" s="4"/>
      <c r="E31" s="4"/>
      <c r="F31" s="4"/>
      <c r="G31" s="4"/>
      <c r="H31" s="4"/>
      <c r="I31" s="36" t="s">
        <v>41</v>
      </c>
      <c r="J31" s="32"/>
      <c r="K31" s="32"/>
      <c r="L31" s="37"/>
      <c r="M31" s="29">
        <f xml:space="preserve"> M27*$M$7</f>
        <v>7000</v>
      </c>
      <c r="N31" s="30"/>
      <c r="O31" s="29" t="s">
        <v>7</v>
      </c>
      <c r="P31" s="30"/>
      <c r="T31" s="17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  <c r="AK31" s="1">
        <v>21</v>
      </c>
      <c r="AL31" s="1">
        <f t="shared" si="6"/>
        <v>8.2466807156732109</v>
      </c>
      <c r="AN31" s="1">
        <f t="shared" si="5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  <c r="AW31" s="1">
        <v>21</v>
      </c>
    </row>
    <row r="32" spans="3:49" ht="18">
      <c r="D32" s="4"/>
      <c r="E32" s="4"/>
      <c r="F32" s="4"/>
      <c r="G32" s="4"/>
      <c r="H32" s="4"/>
      <c r="I32" s="4"/>
      <c r="J32" s="34" t="s">
        <v>42</v>
      </c>
      <c r="K32" s="27"/>
      <c r="L32" s="35"/>
      <c r="M32" s="29" t="s">
        <v>13</v>
      </c>
      <c r="N32" s="30"/>
      <c r="O32" s="29" t="s">
        <v>4</v>
      </c>
      <c r="P32" s="30"/>
      <c r="T32" s="17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9"/>
      <c r="AK32" s="1">
        <v>22</v>
      </c>
      <c r="AL32" s="1">
        <f t="shared" si="6"/>
        <v>8.6393797973719355</v>
      </c>
      <c r="AN32" s="1">
        <f t="shared" si="5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  <c r="AW32" s="1">
        <v>22</v>
      </c>
    </row>
    <row r="33" spans="3:49">
      <c r="C33" s="25" t="s">
        <v>15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T33" s="17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9"/>
      <c r="AK33" s="1">
        <v>23</v>
      </c>
      <c r="AL33" s="1">
        <f t="shared" si="6"/>
        <v>9.0320788790706601</v>
      </c>
      <c r="AN33" s="1">
        <f t="shared" si="5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  <c r="AW33" s="1">
        <v>23</v>
      </c>
    </row>
    <row r="34" spans="3:49" ht="18">
      <c r="D34" s="26" t="s">
        <v>43</v>
      </c>
      <c r="E34" s="27"/>
      <c r="F34" s="27"/>
      <c r="G34" s="27"/>
      <c r="H34" s="27"/>
      <c r="I34" s="27"/>
      <c r="J34" s="27"/>
      <c r="K34" s="27"/>
      <c r="L34" s="28"/>
      <c r="M34" s="9">
        <v>-5000</v>
      </c>
      <c r="N34" s="10">
        <v>-15000</v>
      </c>
      <c r="O34" s="23" t="s">
        <v>7</v>
      </c>
      <c r="P34" s="24"/>
      <c r="T34" s="17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9"/>
      <c r="AK34" s="1">
        <v>24</v>
      </c>
      <c r="AL34" s="1">
        <f t="shared" si="6"/>
        <v>9.4247779607693847</v>
      </c>
      <c r="AN34" s="1">
        <f t="shared" si="5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  <c r="AW34" s="1">
        <v>24</v>
      </c>
    </row>
    <row r="35" spans="3:49" ht="18">
      <c r="D35" s="4"/>
      <c r="E35" s="26" t="s">
        <v>44</v>
      </c>
      <c r="F35" s="27"/>
      <c r="G35" s="27"/>
      <c r="H35" s="27"/>
      <c r="I35" s="27"/>
      <c r="J35" s="27"/>
      <c r="K35" s="27"/>
      <c r="L35" s="28"/>
      <c r="M35" s="23">
        <v>5000</v>
      </c>
      <c r="N35" s="24"/>
      <c r="O35" s="23" t="s">
        <v>7</v>
      </c>
      <c r="P35" s="24"/>
      <c r="T35" s="17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9"/>
      <c r="AK35">
        <v>25</v>
      </c>
      <c r="AL35" s="1">
        <f t="shared" si="6"/>
        <v>9.8174770424681093</v>
      </c>
      <c r="AN35" s="1">
        <f t="shared" si="5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  <c r="AW35" s="1">
        <v>25</v>
      </c>
    </row>
    <row r="36" spans="3:49" ht="18.75">
      <c r="D36" s="4"/>
      <c r="E36" s="4"/>
      <c r="F36" s="26" t="s">
        <v>45</v>
      </c>
      <c r="G36" s="27"/>
      <c r="H36" s="27"/>
      <c r="I36" s="27"/>
      <c r="J36" s="27"/>
      <c r="K36" s="27"/>
      <c r="L36" s="28"/>
      <c r="M36" s="23">
        <v>1</v>
      </c>
      <c r="N36" s="24"/>
      <c r="O36" s="23" t="s">
        <v>11</v>
      </c>
      <c r="P36" s="24"/>
      <c r="T36" s="17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9"/>
      <c r="AK36" s="1">
        <v>26</v>
      </c>
      <c r="AL36" s="1">
        <f t="shared" si="6"/>
        <v>10.210176124166834</v>
      </c>
      <c r="AN36" s="1">
        <f t="shared" si="5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  <c r="AW36" s="1">
        <v>26</v>
      </c>
    </row>
    <row r="37" spans="3:49" ht="18.75">
      <c r="D37" s="4"/>
      <c r="E37" s="4"/>
      <c r="F37" s="4"/>
      <c r="G37" s="31" t="s">
        <v>46</v>
      </c>
      <c r="H37" s="32"/>
      <c r="I37" s="32"/>
      <c r="J37" s="32"/>
      <c r="K37" s="32"/>
      <c r="L37" s="33"/>
      <c r="M37" s="23">
        <f xml:space="preserve"> (4/3)*PI()*POWER(M35,3)</f>
        <v>523598775598.29883</v>
      </c>
      <c r="N37" s="24"/>
      <c r="O37" s="23" t="s">
        <v>12</v>
      </c>
      <c r="P37" s="24"/>
      <c r="T37" s="17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9"/>
      <c r="AK37" s="1">
        <v>27</v>
      </c>
      <c r="AL37" s="1">
        <f t="shared" si="6"/>
        <v>10.602875205865558</v>
      </c>
      <c r="AN37" s="1">
        <f t="shared" si="5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  <c r="AW37" s="1">
        <v>27</v>
      </c>
    </row>
    <row r="38" spans="3:49" ht="18">
      <c r="D38" s="4"/>
      <c r="E38" s="4"/>
      <c r="F38" s="4"/>
      <c r="G38" s="4"/>
      <c r="H38" s="31" t="s">
        <v>47</v>
      </c>
      <c r="I38" s="32"/>
      <c r="J38" s="32"/>
      <c r="K38" s="32"/>
      <c r="L38" s="33"/>
      <c r="M38" s="23">
        <f xml:space="preserve"> M36*M37</f>
        <v>523598775598.29883</v>
      </c>
      <c r="N38" s="24"/>
      <c r="O38" s="23" t="s">
        <v>6</v>
      </c>
      <c r="P38" s="24"/>
      <c r="T38" s="17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9"/>
      <c r="AK38" s="1">
        <v>28</v>
      </c>
      <c r="AL38" s="1">
        <f t="shared" si="6"/>
        <v>10.995574287564283</v>
      </c>
      <c r="AN38" s="1">
        <f t="shared" si="5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  <c r="AW38" s="1">
        <v>28</v>
      </c>
    </row>
    <row r="39" spans="3:49" ht="18">
      <c r="D39" s="4"/>
      <c r="E39" s="4"/>
      <c r="F39" s="4"/>
      <c r="G39" s="4"/>
      <c r="H39" s="4"/>
      <c r="I39" s="31" t="s">
        <v>48</v>
      </c>
      <c r="J39" s="32"/>
      <c r="K39" s="32"/>
      <c r="L39" s="33"/>
      <c r="M39" s="23">
        <f xml:space="preserve"> M35*$M$7</f>
        <v>10000</v>
      </c>
      <c r="N39" s="24"/>
      <c r="O39" s="23" t="s">
        <v>7</v>
      </c>
      <c r="P39" s="24"/>
      <c r="T39" s="17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9"/>
      <c r="AK39" s="1">
        <v>29</v>
      </c>
      <c r="AL39" s="1">
        <f t="shared" si="6"/>
        <v>11.388273369263008</v>
      </c>
      <c r="AN39" s="1">
        <f t="shared" si="5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  <c r="AW39" s="1">
        <v>29</v>
      </c>
    </row>
    <row r="40" spans="3:49" ht="18">
      <c r="D40" s="4"/>
      <c r="E40" s="4"/>
      <c r="F40" s="4"/>
      <c r="G40" s="4"/>
      <c r="H40" s="4"/>
      <c r="I40" s="4"/>
      <c r="J40" s="26" t="s">
        <v>49</v>
      </c>
      <c r="K40" s="27"/>
      <c r="L40" s="28"/>
      <c r="M40" s="23" t="s">
        <v>13</v>
      </c>
      <c r="N40" s="24"/>
      <c r="O40" s="23" t="s">
        <v>4</v>
      </c>
      <c r="P40" s="24"/>
      <c r="T40" s="20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K40">
        <v>30</v>
      </c>
      <c r="AL40" s="1">
        <f t="shared" si="6"/>
        <v>11.780972450961732</v>
      </c>
      <c r="AN40" s="1">
        <f t="shared" si="5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  <c r="AW40" s="1">
        <v>30</v>
      </c>
    </row>
    <row r="41" spans="3:49">
      <c r="AK41" s="1">
        <v>31</v>
      </c>
      <c r="AL41" s="1">
        <f t="shared" si="6"/>
        <v>12.173671532660457</v>
      </c>
      <c r="AN41" s="1">
        <f t="shared" si="5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  <c r="AW41" s="1">
        <v>31</v>
      </c>
    </row>
    <row r="42" spans="3:49">
      <c r="AK42" s="1">
        <v>32</v>
      </c>
      <c r="AL42" s="1">
        <f t="shared" si="6"/>
        <v>12.566370614359181</v>
      </c>
      <c r="AN42" s="1">
        <f t="shared" si="5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  <c r="AW42" s="1">
        <v>32</v>
      </c>
    </row>
    <row r="43" spans="3:49">
      <c r="AK43" s="1">
        <v>33</v>
      </c>
      <c r="AL43" s="1">
        <f t="shared" si="6"/>
        <v>12.959069696057906</v>
      </c>
      <c r="AN43" s="1">
        <f t="shared" si="5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  <c r="AW43" s="1">
        <v>33</v>
      </c>
    </row>
    <row r="44" spans="3:49">
      <c r="AK44" s="1">
        <v>34</v>
      </c>
      <c r="AL44" s="1">
        <f t="shared" si="6"/>
        <v>13.351768777756631</v>
      </c>
      <c r="AN44" s="1">
        <f t="shared" si="5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  <c r="AW44" s="1">
        <v>34</v>
      </c>
    </row>
    <row r="45" spans="3:49">
      <c r="AK45">
        <v>35</v>
      </c>
      <c r="AL45" s="1">
        <f t="shared" si="6"/>
        <v>13.744467859455355</v>
      </c>
      <c r="AN45" s="1">
        <f t="shared" si="5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  <c r="AW45" s="1">
        <v>35</v>
      </c>
    </row>
    <row r="46" spans="3:49">
      <c r="AK46" s="1">
        <v>36</v>
      </c>
      <c r="AL46" s="1">
        <f t="shared" si="6"/>
        <v>14.13716694115408</v>
      </c>
      <c r="AN46" s="1">
        <f t="shared" si="5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  <c r="AW46" s="1">
        <v>36</v>
      </c>
    </row>
    <row r="47" spans="3:49">
      <c r="AK47" s="1">
        <v>37</v>
      </c>
      <c r="AL47" s="1">
        <f t="shared" si="6"/>
        <v>14.529866022852804</v>
      </c>
      <c r="AN47" s="1">
        <f t="shared" si="5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  <c r="AW47" s="1">
        <v>37</v>
      </c>
    </row>
    <row r="48" spans="3:49">
      <c r="AK48" s="1">
        <v>38</v>
      </c>
      <c r="AL48" s="1">
        <f t="shared" si="6"/>
        <v>14.922565104551529</v>
      </c>
      <c r="AN48" s="1">
        <f t="shared" si="5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  <c r="AW48" s="1">
        <v>38</v>
      </c>
    </row>
    <row r="49" spans="37:49">
      <c r="AK49" s="1">
        <v>39</v>
      </c>
      <c r="AL49" s="1">
        <f t="shared" si="6"/>
        <v>15.315264186250253</v>
      </c>
      <c r="AN49" s="1">
        <f t="shared" si="5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  <c r="AW49" s="1">
        <v>39</v>
      </c>
    </row>
    <row r="50" spans="37:49">
      <c r="AK50">
        <v>40</v>
      </c>
      <c r="AL50" s="1">
        <f t="shared" si="6"/>
        <v>15.707963267948978</v>
      </c>
      <c r="AN50" s="1">
        <f t="shared" si="5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  <c r="AW50" s="1">
        <v>40</v>
      </c>
    </row>
    <row r="51" spans="37:49">
      <c r="AK51" s="1">
        <v>41</v>
      </c>
      <c r="AL51" s="1">
        <f t="shared" si="6"/>
        <v>16.100662349647703</v>
      </c>
      <c r="AN51" s="1">
        <f t="shared" si="5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  <c r="AW51" s="1">
        <v>41</v>
      </c>
    </row>
    <row r="52" spans="37:49">
      <c r="AK52" s="1">
        <v>42</v>
      </c>
      <c r="AL52" s="1">
        <f t="shared" si="6"/>
        <v>16.493361431346425</v>
      </c>
      <c r="AN52" s="1">
        <f t="shared" si="5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  <c r="AW52" s="1">
        <v>42</v>
      </c>
    </row>
    <row r="53" spans="37:49">
      <c r="AK53" s="1">
        <v>43</v>
      </c>
      <c r="AL53" s="1">
        <f t="shared" si="6"/>
        <v>16.886060513045148</v>
      </c>
      <c r="AN53" s="1">
        <f t="shared" si="5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  <c r="AW53" s="1">
        <v>43</v>
      </c>
    </row>
    <row r="54" spans="37:49">
      <c r="AK54" s="1">
        <v>44</v>
      </c>
      <c r="AL54" s="1">
        <f t="shared" si="6"/>
        <v>17.278759594743871</v>
      </c>
      <c r="AN54" s="1">
        <f t="shared" si="5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  <c r="AW54" s="1">
        <v>44</v>
      </c>
    </row>
    <row r="55" spans="37:49">
      <c r="AK55">
        <v>45</v>
      </c>
      <c r="AL55" s="1">
        <f t="shared" si="6"/>
        <v>17.671458676442594</v>
      </c>
      <c r="AN55" s="1">
        <f t="shared" si="5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  <c r="AW55" s="1">
        <v>45</v>
      </c>
    </row>
    <row r="56" spans="37:49">
      <c r="AK56" s="1">
        <v>46</v>
      </c>
      <c r="AL56" s="1">
        <f t="shared" si="6"/>
        <v>18.064157758141317</v>
      </c>
      <c r="AN56" s="1">
        <f t="shared" si="5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  <c r="AW56" s="1">
        <v>46</v>
      </c>
    </row>
    <row r="57" spans="37:49">
      <c r="AK57" s="1">
        <v>47</v>
      </c>
      <c r="AL57" s="1">
        <f t="shared" si="6"/>
        <v>18.456856839840039</v>
      </c>
      <c r="AN57" s="1">
        <f t="shared" si="5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  <c r="AW57" s="1">
        <v>47</v>
      </c>
    </row>
    <row r="58" spans="37:49">
      <c r="AK58" s="1">
        <v>48</v>
      </c>
      <c r="AL58" s="1">
        <f t="shared" si="6"/>
        <v>18.849555921538762</v>
      </c>
      <c r="AN58" s="1">
        <f t="shared" si="5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  <c r="AW58" s="1">
        <v>48</v>
      </c>
    </row>
    <row r="59" spans="37:49">
      <c r="AK59" s="1">
        <v>49</v>
      </c>
      <c r="AL59" s="1">
        <f t="shared" si="6"/>
        <v>19.242255003237485</v>
      </c>
      <c r="AN59" s="1">
        <f t="shared" si="5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  <c r="AW59" s="1">
        <v>49</v>
      </c>
    </row>
    <row r="60" spans="37:49">
      <c r="AK60">
        <v>50</v>
      </c>
      <c r="AL60" s="1">
        <f t="shared" si="6"/>
        <v>19.634954084936208</v>
      </c>
      <c r="AN60" s="1">
        <f t="shared" si="5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  <c r="AW60" s="1">
        <v>50</v>
      </c>
    </row>
    <row r="61" spans="37:49">
      <c r="AK61" s="1">
        <v>51</v>
      </c>
      <c r="AL61" s="1">
        <f t="shared" si="6"/>
        <v>20.027653166634931</v>
      </c>
      <c r="AN61" s="1">
        <f t="shared" si="5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  <c r="AW61" s="1">
        <v>51</v>
      </c>
    </row>
    <row r="62" spans="37:49">
      <c r="AK62" s="1">
        <v>52</v>
      </c>
      <c r="AL62" s="1">
        <f t="shared" si="6"/>
        <v>20.420352248333653</v>
      </c>
      <c r="AN62" s="1">
        <f t="shared" si="5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  <c r="AW62" s="1">
        <v>52</v>
      </c>
    </row>
    <row r="63" spans="37:49">
      <c r="AK63" s="1">
        <v>53</v>
      </c>
      <c r="AL63" s="1">
        <f t="shared" si="6"/>
        <v>20.813051330032376</v>
      </c>
      <c r="AN63" s="1">
        <f t="shared" si="5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  <c r="AW63" s="1">
        <v>53</v>
      </c>
    </row>
    <row r="64" spans="37:49">
      <c r="AK64" s="1">
        <v>54</v>
      </c>
      <c r="AL64" s="1">
        <f t="shared" si="6"/>
        <v>21.205750411731099</v>
      </c>
      <c r="AN64" s="1">
        <f t="shared" si="5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  <c r="AW64" s="1">
        <v>54</v>
      </c>
    </row>
    <row r="65" spans="37:49">
      <c r="AK65">
        <v>55</v>
      </c>
      <c r="AL65" s="1">
        <f t="shared" si="6"/>
        <v>21.598449493429822</v>
      </c>
      <c r="AN65" s="1">
        <f t="shared" si="5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  <c r="AW65" s="1">
        <v>55</v>
      </c>
    </row>
    <row r="66" spans="37:49">
      <c r="AK66" s="1">
        <v>56</v>
      </c>
      <c r="AL66" s="1">
        <f t="shared" si="6"/>
        <v>21.991148575128545</v>
      </c>
      <c r="AN66" s="1">
        <f t="shared" si="5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  <c r="AW66" s="1">
        <v>56</v>
      </c>
    </row>
    <row r="67" spans="37:49">
      <c r="AK67" s="1">
        <v>57</v>
      </c>
      <c r="AL67" s="1">
        <f t="shared" si="6"/>
        <v>22.383847656827268</v>
      </c>
      <c r="AN67" s="1">
        <f t="shared" si="5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  <c r="AW67" s="1">
        <v>57</v>
      </c>
    </row>
    <row r="68" spans="37:49">
      <c r="AK68" s="1">
        <v>58</v>
      </c>
      <c r="AL68" s="1">
        <f t="shared" si="6"/>
        <v>22.77654673852599</v>
      </c>
      <c r="AN68" s="1">
        <f t="shared" si="5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  <c r="AW68" s="1">
        <v>58</v>
      </c>
    </row>
    <row r="69" spans="37:49">
      <c r="AK69" s="1">
        <v>59</v>
      </c>
      <c r="AL69" s="1">
        <f t="shared" si="6"/>
        <v>23.169245820224713</v>
      </c>
      <c r="AN69" s="1">
        <f t="shared" si="5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  <c r="AW69" s="1">
        <v>59</v>
      </c>
    </row>
    <row r="70" spans="37:49">
      <c r="AK70">
        <v>60</v>
      </c>
      <c r="AL70" s="1">
        <f t="shared" si="6"/>
        <v>23.561944901923436</v>
      </c>
      <c r="AN70" s="1">
        <f t="shared" si="5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  <c r="AW70" s="1">
        <v>60</v>
      </c>
    </row>
    <row r="71" spans="37:49">
      <c r="AK71" s="1">
        <v>61</v>
      </c>
      <c r="AL71" s="1">
        <f t="shared" si="6"/>
        <v>23.954643983622159</v>
      </c>
      <c r="AN71" s="1">
        <f t="shared" si="5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  <c r="AW71" s="1">
        <v>61</v>
      </c>
    </row>
    <row r="72" spans="37:49">
      <c r="AK72" s="1">
        <v>62</v>
      </c>
      <c r="AL72" s="1">
        <f t="shared" si="6"/>
        <v>24.347343065320882</v>
      </c>
      <c r="AN72" s="1">
        <f t="shared" si="5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  <c r="AW72" s="1">
        <v>62</v>
      </c>
    </row>
    <row r="73" spans="37:49">
      <c r="AK73" s="1">
        <v>63</v>
      </c>
      <c r="AL73" s="1">
        <f t="shared" si="6"/>
        <v>24.740042147019604</v>
      </c>
      <c r="AN73" s="1">
        <f t="shared" si="5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  <c r="AW73" s="1">
        <v>63</v>
      </c>
    </row>
    <row r="74" spans="37:49">
      <c r="AK74" s="1">
        <v>64</v>
      </c>
      <c r="AL74" s="1">
        <f t="shared" si="6"/>
        <v>25.132741228718327</v>
      </c>
      <c r="AN74" s="1">
        <f t="shared" si="5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  <c r="AW74" s="1">
        <v>64</v>
      </c>
    </row>
    <row r="75" spans="37:49">
      <c r="AK75">
        <v>65</v>
      </c>
      <c r="AL75" s="1">
        <f t="shared" si="6"/>
        <v>25.52544031041705</v>
      </c>
      <c r="AN75" s="1">
        <f t="shared" si="5"/>
        <v>24619.397662556472</v>
      </c>
      <c r="AO75" s="1">
        <f t="shared" ref="AO75:AO122" si="7" xml:space="preserve"> SIN(AL75) * $M$19 + $N$18</f>
        <v>9413.4171618253567</v>
      </c>
      <c r="AQ75" s="1">
        <f t="shared" ref="AQ75:AQ122" si="8" xml:space="preserve"> COS(AL75) * $M$27 + $M$26</f>
        <v>-16766.421636210471</v>
      </c>
      <c r="AR75" s="1">
        <f t="shared" ref="AR75:AR122" si="9" xml:space="preserve"> SIN(AL75) * $M$27 + $N$26</f>
        <v>11339.392013277749</v>
      </c>
      <c r="AT75" s="1">
        <f t="shared" ref="AT75:AT122" si="10" xml:space="preserve"> COS(AL75) * $M$35 + $M$34</f>
        <v>-380.60233744352809</v>
      </c>
      <c r="AU75" s="1">
        <f t="shared" ref="AU75:AU122" si="11" xml:space="preserve"> SIN(AL75) * $M$35 + $N$34</f>
        <v>-13086.582838174643</v>
      </c>
      <c r="AW75" s="1">
        <v>65</v>
      </c>
    </row>
    <row r="76" spans="37:49">
      <c r="AK76" s="1">
        <v>66</v>
      </c>
      <c r="AL76" s="1">
        <f t="shared" si="6"/>
        <v>25.918139392115773</v>
      </c>
      <c r="AN76" s="1">
        <f t="shared" ref="AN76:AN122" si="12" xml:space="preserve"> COS(AL76) * $M$19 + $M$18</f>
        <v>23535.533905932814</v>
      </c>
      <c r="AO76" s="1">
        <f t="shared" si="7"/>
        <v>11035.533905932662</v>
      </c>
      <c r="AQ76" s="1">
        <f t="shared" si="8"/>
        <v>-17525.12626584703</v>
      </c>
      <c r="AR76" s="1">
        <f t="shared" si="9"/>
        <v>12474.873734152863</v>
      </c>
      <c r="AT76" s="1">
        <f t="shared" si="10"/>
        <v>-1464.4660940671865</v>
      </c>
      <c r="AU76" s="1">
        <f t="shared" si="11"/>
        <v>-11464.466094067338</v>
      </c>
      <c r="AW76" s="1">
        <v>66</v>
      </c>
    </row>
    <row r="77" spans="37:49">
      <c r="AK77" s="1">
        <v>67</v>
      </c>
      <c r="AL77" s="1">
        <f t="shared" ref="AL77:AL121" si="13">AL76+$AL$7</f>
        <v>26.310838473814496</v>
      </c>
      <c r="AN77" s="1">
        <f t="shared" si="12"/>
        <v>21913.417161825553</v>
      </c>
      <c r="AO77" s="1">
        <f t="shared" si="7"/>
        <v>12119.39766255639</v>
      </c>
      <c r="AQ77" s="1">
        <f t="shared" si="8"/>
        <v>-18660.607986722112</v>
      </c>
      <c r="AR77" s="1">
        <f t="shared" si="9"/>
        <v>13233.578363789473</v>
      </c>
      <c r="AT77" s="1">
        <f t="shared" si="10"/>
        <v>-3086.5828381744459</v>
      </c>
      <c r="AU77" s="1">
        <f t="shared" si="11"/>
        <v>-10380.60233744361</v>
      </c>
      <c r="AW77" s="1">
        <v>67</v>
      </c>
    </row>
    <row r="78" spans="37:49">
      <c r="AK78" s="1">
        <v>68</v>
      </c>
      <c r="AL78" s="1">
        <f t="shared" si="13"/>
        <v>26.703537555513218</v>
      </c>
      <c r="AN78" s="1">
        <f t="shared" si="12"/>
        <v>20000.00000000012</v>
      </c>
      <c r="AO78" s="1">
        <f t="shared" si="7"/>
        <v>12500</v>
      </c>
      <c r="AQ78" s="1">
        <f t="shared" si="8"/>
        <v>-19999.999999999916</v>
      </c>
      <c r="AR78" s="1">
        <f t="shared" si="9"/>
        <v>13500</v>
      </c>
      <c r="AT78" s="1">
        <f t="shared" si="10"/>
        <v>-4999.999999999879</v>
      </c>
      <c r="AU78" s="1">
        <f t="shared" si="11"/>
        <v>-10000</v>
      </c>
      <c r="AW78" s="1">
        <v>68</v>
      </c>
    </row>
    <row r="79" spans="37:49">
      <c r="AK79" s="1">
        <v>69</v>
      </c>
      <c r="AL79" s="1">
        <f t="shared" si="13"/>
        <v>27.096236637211941</v>
      </c>
      <c r="AN79" s="1">
        <f t="shared" si="12"/>
        <v>18086.582838174669</v>
      </c>
      <c r="AO79" s="1">
        <f t="shared" si="7"/>
        <v>12119.397662556483</v>
      </c>
      <c r="AQ79" s="1">
        <f t="shared" si="8"/>
        <v>-21339.392013277731</v>
      </c>
      <c r="AR79" s="1">
        <f t="shared" si="9"/>
        <v>13233.578363789538</v>
      </c>
      <c r="AT79" s="1">
        <f t="shared" si="10"/>
        <v>-6913.4171618253313</v>
      </c>
      <c r="AU79" s="1">
        <f t="shared" si="11"/>
        <v>-10380.602337443517</v>
      </c>
      <c r="AW79" s="1">
        <v>69</v>
      </c>
    </row>
    <row r="80" spans="37:49">
      <c r="AK80">
        <v>70</v>
      </c>
      <c r="AL80" s="1">
        <f t="shared" si="13"/>
        <v>27.488935718910664</v>
      </c>
      <c r="AN80" s="1">
        <f t="shared" si="12"/>
        <v>16464.466094067357</v>
      </c>
      <c r="AO80" s="1">
        <f t="shared" si="7"/>
        <v>11035.533905932833</v>
      </c>
      <c r="AQ80" s="1">
        <f t="shared" si="8"/>
        <v>-22474.87373415285</v>
      </c>
      <c r="AR80" s="1">
        <f t="shared" si="9"/>
        <v>12474.873734152983</v>
      </c>
      <c r="AT80" s="1">
        <f t="shared" si="10"/>
        <v>-8535.5339059326434</v>
      </c>
      <c r="AU80" s="1">
        <f t="shared" si="11"/>
        <v>-11464.466094067167</v>
      </c>
      <c r="AW80" s="1">
        <v>70</v>
      </c>
    </row>
    <row r="81" spans="37:49">
      <c r="AK81" s="1">
        <v>71</v>
      </c>
      <c r="AL81" s="1">
        <f t="shared" si="13"/>
        <v>27.881634800609387</v>
      </c>
      <c r="AN81" s="1">
        <f t="shared" si="12"/>
        <v>15380.602337443619</v>
      </c>
      <c r="AO81" s="1">
        <f t="shared" si="7"/>
        <v>9413.4171618255787</v>
      </c>
      <c r="AQ81" s="1">
        <f t="shared" si="8"/>
        <v>-23233.578363789467</v>
      </c>
      <c r="AR81" s="1">
        <f t="shared" si="9"/>
        <v>11339.392013277906</v>
      </c>
      <c r="AT81" s="1">
        <f t="shared" si="10"/>
        <v>-9619.397662556381</v>
      </c>
      <c r="AU81" s="1">
        <f t="shared" si="11"/>
        <v>-13086.582838174421</v>
      </c>
      <c r="AW81" s="1">
        <v>71</v>
      </c>
    </row>
    <row r="82" spans="37:49">
      <c r="AK82" s="1">
        <v>72</v>
      </c>
      <c r="AL82" s="1">
        <f t="shared" si="13"/>
        <v>28.27433388230811</v>
      </c>
      <c r="AN82" s="1">
        <f t="shared" si="12"/>
        <v>15000</v>
      </c>
      <c r="AO82" s="1">
        <f t="shared" si="7"/>
        <v>7500.0000000001473</v>
      </c>
      <c r="AQ82" s="1">
        <f t="shared" si="8"/>
        <v>-23500</v>
      </c>
      <c r="AR82" s="1">
        <f t="shared" si="9"/>
        <v>10000.000000000104</v>
      </c>
      <c r="AT82" s="1">
        <f t="shared" si="10"/>
        <v>-10000</v>
      </c>
      <c r="AU82" s="1">
        <f t="shared" si="11"/>
        <v>-14999.999999999853</v>
      </c>
      <c r="AW82" s="1">
        <v>72</v>
      </c>
    </row>
    <row r="83" spans="37:49">
      <c r="AK83" s="1">
        <v>73</v>
      </c>
      <c r="AL83" s="1">
        <f t="shared" si="13"/>
        <v>28.667032964006832</v>
      </c>
      <c r="AN83" s="1">
        <f t="shared" si="12"/>
        <v>15380.602337443506</v>
      </c>
      <c r="AO83" s="1">
        <f t="shared" si="7"/>
        <v>5586.5828381746942</v>
      </c>
      <c r="AQ83" s="1">
        <f t="shared" si="8"/>
        <v>-23233.578363789544</v>
      </c>
      <c r="AR83" s="1">
        <f t="shared" si="9"/>
        <v>8660.6079867222852</v>
      </c>
      <c r="AT83" s="1">
        <f t="shared" si="10"/>
        <v>-9619.3976625564937</v>
      </c>
      <c r="AU83" s="1">
        <f t="shared" si="11"/>
        <v>-16913.417161825306</v>
      </c>
      <c r="AW83" s="1">
        <v>73</v>
      </c>
    </row>
    <row r="84" spans="37:49">
      <c r="AK84" s="1">
        <v>74</v>
      </c>
      <c r="AL84" s="1">
        <f t="shared" si="13"/>
        <v>29.059732045705555</v>
      </c>
      <c r="AN84" s="1">
        <f t="shared" si="12"/>
        <v>16464.466094067149</v>
      </c>
      <c r="AO84" s="1">
        <f t="shared" si="7"/>
        <v>3964.4660940673766</v>
      </c>
      <c r="AQ84" s="1">
        <f t="shared" si="8"/>
        <v>-22474.873734152996</v>
      </c>
      <c r="AR84" s="1">
        <f t="shared" si="9"/>
        <v>7525.1262658471642</v>
      </c>
      <c r="AT84" s="1">
        <f t="shared" si="10"/>
        <v>-8535.5339059328508</v>
      </c>
      <c r="AU84" s="1">
        <f t="shared" si="11"/>
        <v>-18535.533905932622</v>
      </c>
      <c r="AW84" s="1">
        <v>74</v>
      </c>
    </row>
    <row r="85" spans="37:49">
      <c r="AK85">
        <v>75</v>
      </c>
      <c r="AL85" s="1">
        <f t="shared" si="13"/>
        <v>29.452431127404278</v>
      </c>
      <c r="AN85" s="1">
        <f t="shared" si="12"/>
        <v>18086.582838174396</v>
      </c>
      <c r="AO85" s="1">
        <f t="shared" si="7"/>
        <v>2880.6023374436309</v>
      </c>
      <c r="AQ85" s="1">
        <f t="shared" si="8"/>
        <v>-21339.392013277924</v>
      </c>
      <c r="AR85" s="1">
        <f t="shared" si="9"/>
        <v>6766.4216362105417</v>
      </c>
      <c r="AT85" s="1">
        <f t="shared" si="10"/>
        <v>-6913.4171618256041</v>
      </c>
      <c r="AU85" s="1">
        <f t="shared" si="11"/>
        <v>-19619.39766255637</v>
      </c>
      <c r="AW85" s="1">
        <v>75</v>
      </c>
    </row>
    <row r="86" spans="37:49">
      <c r="AK86" s="1">
        <v>76</v>
      </c>
      <c r="AL86" s="1">
        <f t="shared" si="13"/>
        <v>29.845130209103001</v>
      </c>
      <c r="AN86" s="1">
        <f t="shared" si="12"/>
        <v>19999.999999999825</v>
      </c>
      <c r="AO86" s="1">
        <f t="shared" si="7"/>
        <v>2500</v>
      </c>
      <c r="AQ86" s="1">
        <f t="shared" si="8"/>
        <v>-20000.000000000124</v>
      </c>
      <c r="AR86" s="1">
        <f t="shared" si="9"/>
        <v>6500</v>
      </c>
      <c r="AT86" s="1">
        <f t="shared" si="10"/>
        <v>-5000.0000000001746</v>
      </c>
      <c r="AU86" s="1">
        <f t="shared" si="11"/>
        <v>-20000</v>
      </c>
      <c r="AW86" s="1">
        <v>76</v>
      </c>
    </row>
    <row r="87" spans="37:49">
      <c r="AK87" s="1">
        <v>77</v>
      </c>
      <c r="AL87" s="1">
        <f t="shared" si="13"/>
        <v>30.237829290801724</v>
      </c>
      <c r="AN87" s="1">
        <f t="shared" si="12"/>
        <v>21913.41716182528</v>
      </c>
      <c r="AO87" s="1">
        <f t="shared" si="7"/>
        <v>2880.6023374434972</v>
      </c>
      <c r="AQ87" s="1">
        <f t="shared" si="8"/>
        <v>-18660.607986722302</v>
      </c>
      <c r="AR87" s="1">
        <f t="shared" si="9"/>
        <v>6766.421636210448</v>
      </c>
      <c r="AT87" s="1">
        <f t="shared" si="10"/>
        <v>-3086.5828381747187</v>
      </c>
      <c r="AU87" s="1">
        <f t="shared" si="11"/>
        <v>-19619.397662556505</v>
      </c>
      <c r="AW87" s="1">
        <v>77</v>
      </c>
    </row>
    <row r="88" spans="37:49">
      <c r="AK88" s="1">
        <v>78</v>
      </c>
      <c r="AL88" s="1">
        <f t="shared" si="13"/>
        <v>30.630528372500446</v>
      </c>
      <c r="AN88" s="1">
        <f t="shared" si="12"/>
        <v>23535.533905932603</v>
      </c>
      <c r="AO88" s="1">
        <f t="shared" si="7"/>
        <v>3964.4660940671297</v>
      </c>
      <c r="AQ88" s="1">
        <f t="shared" si="8"/>
        <v>-17525.126265847175</v>
      </c>
      <c r="AR88" s="1">
        <f t="shared" si="9"/>
        <v>7525.1262658469905</v>
      </c>
      <c r="AT88" s="1">
        <f t="shared" si="10"/>
        <v>-1464.4660940673953</v>
      </c>
      <c r="AU88" s="1">
        <f t="shared" si="11"/>
        <v>-18535.533905932869</v>
      </c>
      <c r="AW88" s="1">
        <v>78</v>
      </c>
    </row>
    <row r="89" spans="37:49">
      <c r="AK89" s="1">
        <v>79</v>
      </c>
      <c r="AL89" s="1">
        <f t="shared" si="13"/>
        <v>31.023227454199169</v>
      </c>
      <c r="AN89" s="1">
        <f t="shared" si="12"/>
        <v>24619.397662556359</v>
      </c>
      <c r="AO89" s="1">
        <f t="shared" si="7"/>
        <v>5586.5828381743713</v>
      </c>
      <c r="AQ89" s="1">
        <f t="shared" si="8"/>
        <v>-16766.421636210547</v>
      </c>
      <c r="AR89" s="1">
        <f t="shared" si="9"/>
        <v>8660.6079867220596</v>
      </c>
      <c r="AT89" s="1">
        <f t="shared" si="10"/>
        <v>-380.60233744364086</v>
      </c>
      <c r="AU89" s="1">
        <f t="shared" si="11"/>
        <v>-16913.41716182563</v>
      </c>
      <c r="AW89" s="1">
        <v>79</v>
      </c>
    </row>
    <row r="90" spans="37:49">
      <c r="AK90">
        <v>80</v>
      </c>
      <c r="AL90" s="1">
        <f t="shared" si="13"/>
        <v>31.415926535897892</v>
      </c>
      <c r="AN90" s="1">
        <f t="shared" si="12"/>
        <v>25000</v>
      </c>
      <c r="AO90" s="1">
        <f t="shared" si="7"/>
        <v>7499.9999999997981</v>
      </c>
      <c r="AQ90" s="1">
        <f t="shared" si="8"/>
        <v>-16500</v>
      </c>
      <c r="AR90" s="1">
        <f t="shared" si="9"/>
        <v>9999.9999999998581</v>
      </c>
      <c r="AT90" s="1">
        <f t="shared" si="10"/>
        <v>0</v>
      </c>
      <c r="AU90" s="1">
        <f t="shared" si="11"/>
        <v>-15000.000000000202</v>
      </c>
      <c r="AW90" s="1">
        <v>80</v>
      </c>
    </row>
    <row r="91" spans="37:49">
      <c r="AK91" s="1">
        <v>81</v>
      </c>
      <c r="AL91" s="1">
        <f t="shared" si="13"/>
        <v>31.808625617596615</v>
      </c>
      <c r="AN91" s="1">
        <f t="shared" si="12"/>
        <v>24619.397662556512</v>
      </c>
      <c r="AO91" s="1">
        <f t="shared" si="7"/>
        <v>9413.4171618252567</v>
      </c>
      <c r="AQ91" s="1">
        <f t="shared" si="8"/>
        <v>-16766.421636210442</v>
      </c>
      <c r="AR91" s="1">
        <f t="shared" si="9"/>
        <v>11339.39201327768</v>
      </c>
      <c r="AT91" s="1">
        <f t="shared" si="10"/>
        <v>-380.60233744348625</v>
      </c>
      <c r="AU91" s="1">
        <f t="shared" si="11"/>
        <v>-13086.582838174743</v>
      </c>
      <c r="AW91" s="1">
        <v>81</v>
      </c>
    </row>
    <row r="92" spans="37:49">
      <c r="AK92" s="1">
        <v>82</v>
      </c>
      <c r="AL92" s="1">
        <f t="shared" si="13"/>
        <v>32.201324699295341</v>
      </c>
      <c r="AN92" s="1">
        <f t="shared" si="12"/>
        <v>23535.533905932876</v>
      </c>
      <c r="AO92" s="1">
        <f t="shared" si="7"/>
        <v>11035.533905932598</v>
      </c>
      <c r="AQ92" s="1">
        <f t="shared" si="8"/>
        <v>-17525.126265846986</v>
      </c>
      <c r="AR92" s="1">
        <f t="shared" si="9"/>
        <v>12474.873734152818</v>
      </c>
      <c r="AT92" s="1">
        <f t="shared" si="10"/>
        <v>-1464.4660940671229</v>
      </c>
      <c r="AU92" s="1">
        <f t="shared" si="11"/>
        <v>-11464.466094067402</v>
      </c>
      <c r="AW92" s="1">
        <v>82</v>
      </c>
    </row>
    <row r="93" spans="37:49">
      <c r="AK93" s="1">
        <v>83</v>
      </c>
      <c r="AL93" s="1">
        <f t="shared" si="13"/>
        <v>32.594023780994064</v>
      </c>
      <c r="AN93" s="1">
        <f t="shared" si="12"/>
        <v>21913.417161825637</v>
      </c>
      <c r="AO93" s="1">
        <f t="shared" si="7"/>
        <v>12119.397662556355</v>
      </c>
      <c r="AQ93" s="1">
        <f t="shared" si="8"/>
        <v>-18660.607986722054</v>
      </c>
      <c r="AR93" s="1">
        <f t="shared" si="9"/>
        <v>13233.578363789449</v>
      </c>
      <c r="AT93" s="1">
        <f t="shared" si="10"/>
        <v>-3086.5828381743627</v>
      </c>
      <c r="AU93" s="1">
        <f t="shared" si="11"/>
        <v>-10380.602337443645</v>
      </c>
      <c r="AW93" s="1">
        <v>83</v>
      </c>
    </row>
    <row r="94" spans="37:49">
      <c r="AK94" s="1">
        <v>84</v>
      </c>
      <c r="AL94" s="1">
        <f t="shared" si="13"/>
        <v>32.986722862692787</v>
      </c>
      <c r="AN94" s="1">
        <f t="shared" si="12"/>
        <v>20000.000000000211</v>
      </c>
      <c r="AO94" s="1">
        <f t="shared" si="7"/>
        <v>12500</v>
      </c>
      <c r="AQ94" s="1">
        <f t="shared" si="8"/>
        <v>-19999.999999999851</v>
      </c>
      <c r="AR94" s="1">
        <f t="shared" si="9"/>
        <v>13500</v>
      </c>
      <c r="AT94" s="1">
        <f t="shared" si="10"/>
        <v>-4999.999999999789</v>
      </c>
      <c r="AU94" s="1">
        <f t="shared" si="11"/>
        <v>-10000</v>
      </c>
      <c r="AW94" s="1">
        <v>84</v>
      </c>
    </row>
    <row r="95" spans="37:49">
      <c r="AK95">
        <v>85</v>
      </c>
      <c r="AL95" s="1">
        <f t="shared" si="13"/>
        <v>33.37942194439151</v>
      </c>
      <c r="AN95" s="1">
        <f t="shared" si="12"/>
        <v>18086.582838174752</v>
      </c>
      <c r="AO95" s="1">
        <f t="shared" si="7"/>
        <v>12119.397662556517</v>
      </c>
      <c r="AQ95" s="1">
        <f t="shared" si="8"/>
        <v>-21339.392013277673</v>
      </c>
      <c r="AR95" s="1">
        <f t="shared" si="9"/>
        <v>13233.578363789562</v>
      </c>
      <c r="AT95" s="1">
        <f t="shared" si="10"/>
        <v>-6913.4171618252476</v>
      </c>
      <c r="AU95" s="1">
        <f t="shared" si="11"/>
        <v>-10380.602337443483</v>
      </c>
      <c r="AW95" s="1">
        <v>85</v>
      </c>
    </row>
    <row r="96" spans="37:49">
      <c r="AK96" s="1">
        <v>86</v>
      </c>
      <c r="AL96" s="1">
        <f t="shared" si="13"/>
        <v>33.772121026090232</v>
      </c>
      <c r="AN96" s="1">
        <f t="shared" si="12"/>
        <v>16464.466094067422</v>
      </c>
      <c r="AO96" s="1">
        <f t="shared" si="7"/>
        <v>11035.533905932896</v>
      </c>
      <c r="AQ96" s="1">
        <f t="shared" si="8"/>
        <v>-22474.873734152807</v>
      </c>
      <c r="AR96" s="1">
        <f t="shared" si="9"/>
        <v>12474.873734153027</v>
      </c>
      <c r="AT96" s="1">
        <f t="shared" si="10"/>
        <v>-8535.5339059325797</v>
      </c>
      <c r="AU96" s="1">
        <f t="shared" si="11"/>
        <v>-11464.466094067104</v>
      </c>
      <c r="AW96" s="1">
        <v>86</v>
      </c>
    </row>
    <row r="97" spans="37:49">
      <c r="AK97" s="1">
        <v>87</v>
      </c>
      <c r="AL97" s="1">
        <f t="shared" si="13"/>
        <v>34.164820107788955</v>
      </c>
      <c r="AN97" s="1">
        <f t="shared" si="12"/>
        <v>15380.602337443655</v>
      </c>
      <c r="AO97" s="1">
        <f t="shared" si="7"/>
        <v>9413.4171618256623</v>
      </c>
      <c r="AQ97" s="1">
        <f t="shared" si="8"/>
        <v>-23233.578363789442</v>
      </c>
      <c r="AR97" s="1">
        <f t="shared" si="9"/>
        <v>11339.392013277964</v>
      </c>
      <c r="AT97" s="1">
        <f t="shared" si="10"/>
        <v>-9619.3976625563446</v>
      </c>
      <c r="AU97" s="1">
        <f t="shared" si="11"/>
        <v>-13086.582838174338</v>
      </c>
      <c r="AW97" s="1">
        <v>87</v>
      </c>
    </row>
    <row r="98" spans="37:49">
      <c r="AK98" s="1">
        <v>88</v>
      </c>
      <c r="AL98" s="1">
        <f t="shared" si="13"/>
        <v>34.557519189487678</v>
      </c>
      <c r="AN98" s="1">
        <f t="shared" si="12"/>
        <v>15000</v>
      </c>
      <c r="AO98" s="1">
        <f t="shared" si="7"/>
        <v>7500.0000000002374</v>
      </c>
      <c r="AQ98" s="1">
        <f t="shared" si="8"/>
        <v>-23500</v>
      </c>
      <c r="AR98" s="1">
        <f t="shared" si="9"/>
        <v>10000.000000000166</v>
      </c>
      <c r="AT98" s="1">
        <f t="shared" si="10"/>
        <v>-10000</v>
      </c>
      <c r="AU98" s="1">
        <f t="shared" si="11"/>
        <v>-14999.999999999762</v>
      </c>
      <c r="AW98" s="1">
        <v>88</v>
      </c>
    </row>
    <row r="99" spans="37:49">
      <c r="AK99" s="1">
        <v>89</v>
      </c>
      <c r="AL99" s="1">
        <f t="shared" si="13"/>
        <v>34.950218271186401</v>
      </c>
      <c r="AN99" s="1">
        <f t="shared" si="12"/>
        <v>15380.602337443474</v>
      </c>
      <c r="AO99" s="1">
        <f t="shared" si="7"/>
        <v>5586.582838174777</v>
      </c>
      <c r="AQ99" s="1">
        <f t="shared" si="8"/>
        <v>-23233.578363789569</v>
      </c>
      <c r="AR99" s="1">
        <f t="shared" si="9"/>
        <v>8660.6079867223434</v>
      </c>
      <c r="AT99" s="1">
        <f t="shared" si="10"/>
        <v>-9619.3976625565265</v>
      </c>
      <c r="AU99" s="1">
        <f t="shared" si="11"/>
        <v>-16913.417161825222</v>
      </c>
      <c r="AW99" s="1">
        <v>89</v>
      </c>
    </row>
    <row r="100" spans="37:49">
      <c r="AK100">
        <v>90</v>
      </c>
      <c r="AL100" s="1">
        <f t="shared" si="13"/>
        <v>35.342917352885124</v>
      </c>
      <c r="AN100" s="1">
        <f t="shared" si="12"/>
        <v>16464.466094067084</v>
      </c>
      <c r="AO100" s="1">
        <f t="shared" si="7"/>
        <v>3964.4660940674398</v>
      </c>
      <c r="AQ100" s="1">
        <f t="shared" si="8"/>
        <v>-22474.87373415304</v>
      </c>
      <c r="AR100" s="1">
        <f t="shared" si="9"/>
        <v>7525.1262658472078</v>
      </c>
      <c r="AT100" s="1">
        <f t="shared" si="10"/>
        <v>-8535.5339059329144</v>
      </c>
      <c r="AU100" s="1">
        <f t="shared" si="11"/>
        <v>-18535.53390593256</v>
      </c>
      <c r="AW100" s="1">
        <v>90</v>
      </c>
    </row>
    <row r="101" spans="37:49">
      <c r="AK101" s="1">
        <v>91</v>
      </c>
      <c r="AL101" s="1">
        <f t="shared" si="13"/>
        <v>35.735616434583847</v>
      </c>
      <c r="AN101" s="1">
        <f t="shared" si="12"/>
        <v>18086.582838174312</v>
      </c>
      <c r="AO101" s="1">
        <f t="shared" si="7"/>
        <v>2880.6023374436654</v>
      </c>
      <c r="AQ101" s="1">
        <f t="shared" si="8"/>
        <v>-21339.392013277982</v>
      </c>
      <c r="AR101" s="1">
        <f t="shared" si="9"/>
        <v>6766.4216362105653</v>
      </c>
      <c r="AT101" s="1">
        <f t="shared" si="10"/>
        <v>-6913.4171618256869</v>
      </c>
      <c r="AU101" s="1">
        <f t="shared" si="11"/>
        <v>-19619.397662556334</v>
      </c>
      <c r="AW101" s="1">
        <v>91</v>
      </c>
    </row>
    <row r="102" spans="37:49">
      <c r="AK102" s="1">
        <v>92</v>
      </c>
      <c r="AL102" s="1">
        <f t="shared" si="13"/>
        <v>36.128315516282569</v>
      </c>
      <c r="AN102" s="1">
        <f t="shared" si="12"/>
        <v>19999.999999999734</v>
      </c>
      <c r="AO102" s="1">
        <f t="shared" si="7"/>
        <v>2500</v>
      </c>
      <c r="AQ102" s="1">
        <f t="shared" si="8"/>
        <v>-20000.000000000186</v>
      </c>
      <c r="AR102" s="1">
        <f t="shared" si="9"/>
        <v>6500</v>
      </c>
      <c r="AT102" s="1">
        <f t="shared" si="10"/>
        <v>-5000.0000000002647</v>
      </c>
      <c r="AU102" s="1">
        <f t="shared" si="11"/>
        <v>-20000</v>
      </c>
      <c r="AW102" s="1">
        <v>92</v>
      </c>
    </row>
    <row r="103" spans="37:49">
      <c r="AK103" s="1">
        <v>93</v>
      </c>
      <c r="AL103" s="1">
        <f t="shared" si="13"/>
        <v>36.521014597981292</v>
      </c>
      <c r="AN103" s="1">
        <f t="shared" si="12"/>
        <v>21913.417161825197</v>
      </c>
      <c r="AO103" s="1">
        <f t="shared" si="7"/>
        <v>2880.6023374434626</v>
      </c>
      <c r="AQ103" s="1">
        <f t="shared" si="8"/>
        <v>-18660.60798672236</v>
      </c>
      <c r="AR103" s="1">
        <f t="shared" si="9"/>
        <v>6766.4216362104235</v>
      </c>
      <c r="AT103" s="1">
        <f t="shared" si="10"/>
        <v>-3086.5828381748015</v>
      </c>
      <c r="AU103" s="1">
        <f t="shared" si="11"/>
        <v>-19619.397662556537</v>
      </c>
      <c r="AW103" s="1">
        <v>93</v>
      </c>
    </row>
    <row r="104" spans="37:49">
      <c r="AK104" s="1">
        <v>94</v>
      </c>
      <c r="AL104" s="1">
        <f t="shared" si="13"/>
        <v>36.913713679680015</v>
      </c>
      <c r="AN104" s="1">
        <f t="shared" si="12"/>
        <v>23535.533905932542</v>
      </c>
      <c r="AO104" s="1">
        <f t="shared" si="7"/>
        <v>3964.4660940670656</v>
      </c>
      <c r="AQ104" s="1">
        <f t="shared" si="8"/>
        <v>-17525.126265847222</v>
      </c>
      <c r="AR104" s="1">
        <f t="shared" si="9"/>
        <v>7525.1262658469459</v>
      </c>
      <c r="AT104" s="1">
        <f t="shared" si="10"/>
        <v>-1464.4660940674594</v>
      </c>
      <c r="AU104" s="1">
        <f t="shared" si="11"/>
        <v>-18535.533905932934</v>
      </c>
      <c r="AW104" s="1">
        <v>94</v>
      </c>
    </row>
    <row r="105" spans="37:49">
      <c r="AK105">
        <v>95</v>
      </c>
      <c r="AL105" s="1">
        <f t="shared" si="13"/>
        <v>37.306412761378738</v>
      </c>
      <c r="AN105" s="1">
        <f t="shared" si="12"/>
        <v>24619.397662556323</v>
      </c>
      <c r="AO105" s="1">
        <f t="shared" si="7"/>
        <v>5586.5828381742876</v>
      </c>
      <c r="AQ105" s="1">
        <f t="shared" si="8"/>
        <v>-16766.421636210573</v>
      </c>
      <c r="AR105" s="1">
        <f t="shared" si="9"/>
        <v>8660.6079867220014</v>
      </c>
      <c r="AT105" s="1">
        <f t="shared" si="10"/>
        <v>-380.60233744367542</v>
      </c>
      <c r="AU105" s="1">
        <f t="shared" si="11"/>
        <v>-16913.417161825713</v>
      </c>
      <c r="AW105" s="1">
        <v>95</v>
      </c>
    </row>
    <row r="106" spans="37:49">
      <c r="AK106" s="1">
        <v>96</v>
      </c>
      <c r="AL106" s="1">
        <f t="shared" si="13"/>
        <v>37.699111843077461</v>
      </c>
      <c r="AN106" s="1">
        <f t="shared" si="12"/>
        <v>25000</v>
      </c>
      <c r="AO106" s="1">
        <f t="shared" si="7"/>
        <v>7499.9999999997081</v>
      </c>
      <c r="AQ106" s="1">
        <f t="shared" si="8"/>
        <v>-16500</v>
      </c>
      <c r="AR106" s="1">
        <f t="shared" si="9"/>
        <v>9999.9999999997963</v>
      </c>
      <c r="AT106" s="1">
        <f t="shared" si="10"/>
        <v>0</v>
      </c>
      <c r="AU106" s="1">
        <f t="shared" si="11"/>
        <v>-15000.000000000291</v>
      </c>
      <c r="AW106" s="1">
        <v>96</v>
      </c>
    </row>
    <row r="107" spans="37:49">
      <c r="AK107" s="1">
        <v>97</v>
      </c>
      <c r="AL107" s="1">
        <f t="shared" si="13"/>
        <v>38.091810924776183</v>
      </c>
      <c r="AN107" s="1">
        <f t="shared" si="12"/>
        <v>24619.397662556548</v>
      </c>
      <c r="AO107" s="1">
        <f t="shared" si="7"/>
        <v>9413.417161825173</v>
      </c>
      <c r="AQ107" s="1">
        <f t="shared" si="8"/>
        <v>-16766.421636210416</v>
      </c>
      <c r="AR107" s="1">
        <f t="shared" si="9"/>
        <v>11339.392013277622</v>
      </c>
      <c r="AT107" s="1">
        <f t="shared" si="10"/>
        <v>-380.60233744345169</v>
      </c>
      <c r="AU107" s="1">
        <f t="shared" si="11"/>
        <v>-13086.582838174827</v>
      </c>
      <c r="AW107" s="1">
        <v>97</v>
      </c>
    </row>
    <row r="108" spans="37:49">
      <c r="AK108" s="1">
        <v>98</v>
      </c>
      <c r="AL108" s="1">
        <f t="shared" si="13"/>
        <v>38.484510006474906</v>
      </c>
      <c r="AN108" s="1">
        <f t="shared" si="12"/>
        <v>23535.533905932953</v>
      </c>
      <c r="AO108" s="1">
        <f t="shared" si="7"/>
        <v>11035.533905932522</v>
      </c>
      <c r="AQ108" s="1">
        <f t="shared" si="8"/>
        <v>-17525.126265846931</v>
      </c>
      <c r="AR108" s="1">
        <f t="shared" si="9"/>
        <v>12474.873734152765</v>
      </c>
      <c r="AT108" s="1">
        <f t="shared" si="10"/>
        <v>-1464.4660940670469</v>
      </c>
      <c r="AU108" s="1">
        <f t="shared" si="11"/>
        <v>-11464.466094067478</v>
      </c>
      <c r="AW108" s="1">
        <v>98</v>
      </c>
    </row>
    <row r="109" spans="37:49">
      <c r="AK109" s="1">
        <v>99</v>
      </c>
      <c r="AL109" s="1">
        <f t="shared" si="13"/>
        <v>38.877209088173629</v>
      </c>
      <c r="AN109" s="1">
        <f t="shared" si="12"/>
        <v>21913.417161825739</v>
      </c>
      <c r="AO109" s="1">
        <f t="shared" si="7"/>
        <v>12119.397662556315</v>
      </c>
      <c r="AQ109" s="1">
        <f t="shared" si="8"/>
        <v>-18660.607986721985</v>
      </c>
      <c r="AR109" s="1">
        <f t="shared" si="9"/>
        <v>13233.57836378942</v>
      </c>
      <c r="AT109" s="1">
        <f t="shared" si="10"/>
        <v>-3086.5828381742631</v>
      </c>
      <c r="AU109" s="1">
        <f t="shared" si="11"/>
        <v>-10380.602337443685</v>
      </c>
      <c r="AW109" s="1">
        <v>99</v>
      </c>
    </row>
    <row r="110" spans="37:49">
      <c r="AK110">
        <v>100</v>
      </c>
      <c r="AL110" s="1">
        <f t="shared" si="13"/>
        <v>39.269908169872352</v>
      </c>
      <c r="AN110" s="1">
        <f t="shared" si="12"/>
        <v>20000.00000000032</v>
      </c>
      <c r="AO110" s="1">
        <f t="shared" si="7"/>
        <v>12500</v>
      </c>
      <c r="AQ110" s="1">
        <f t="shared" si="8"/>
        <v>-19999.999999999778</v>
      </c>
      <c r="AR110" s="1">
        <f t="shared" si="9"/>
        <v>13500</v>
      </c>
      <c r="AT110" s="1">
        <f t="shared" si="10"/>
        <v>-4999.9999999996817</v>
      </c>
      <c r="AU110" s="1">
        <f t="shared" si="11"/>
        <v>-10000</v>
      </c>
      <c r="AW110" s="1">
        <v>100</v>
      </c>
    </row>
    <row r="111" spans="37:49">
      <c r="AK111">
        <v>101</v>
      </c>
      <c r="AL111" s="1">
        <f t="shared" si="13"/>
        <v>39.662607251571075</v>
      </c>
      <c r="AN111" s="1">
        <f t="shared" si="12"/>
        <v>18086.582838174851</v>
      </c>
      <c r="AO111" s="1">
        <f t="shared" si="7"/>
        <v>12119.397662556559</v>
      </c>
      <c r="AQ111" s="1">
        <f t="shared" si="8"/>
        <v>-21339.392013277604</v>
      </c>
      <c r="AR111" s="1">
        <f t="shared" si="9"/>
        <v>13233.578363789591</v>
      </c>
      <c r="AT111" s="1">
        <f t="shared" si="10"/>
        <v>-6913.4171618251485</v>
      </c>
      <c r="AU111" s="1">
        <f t="shared" si="11"/>
        <v>-10380.602337443441</v>
      </c>
      <c r="AW111" s="1">
        <v>101</v>
      </c>
    </row>
    <row r="112" spans="37:49">
      <c r="AK112" s="1">
        <v>102</v>
      </c>
      <c r="AL112" s="1">
        <f t="shared" si="13"/>
        <v>40.055306333269797</v>
      </c>
      <c r="AN112" s="1">
        <f t="shared" si="12"/>
        <v>16464.466094067498</v>
      </c>
      <c r="AO112" s="1">
        <f t="shared" si="7"/>
        <v>11035.533905932973</v>
      </c>
      <c r="AQ112" s="1">
        <f t="shared" si="8"/>
        <v>-22474.873734152752</v>
      </c>
      <c r="AR112" s="1">
        <f t="shared" si="9"/>
        <v>12474.87373415308</v>
      </c>
      <c r="AT112" s="1">
        <f t="shared" si="10"/>
        <v>-8535.5339059325033</v>
      </c>
      <c r="AU112" s="1">
        <f t="shared" si="11"/>
        <v>-11464.466094067027</v>
      </c>
      <c r="AW112" s="1">
        <v>102</v>
      </c>
    </row>
    <row r="113" spans="37:49">
      <c r="AK113" s="1">
        <v>103</v>
      </c>
      <c r="AL113" s="1">
        <f t="shared" si="13"/>
        <v>40.44800541496852</v>
      </c>
      <c r="AN113" s="1">
        <f t="shared" si="12"/>
        <v>15380.602337443695</v>
      </c>
      <c r="AO113" s="1">
        <f t="shared" si="7"/>
        <v>9413.4171618257624</v>
      </c>
      <c r="AQ113" s="1">
        <f t="shared" si="8"/>
        <v>-23233.578363789413</v>
      </c>
      <c r="AR113" s="1">
        <f t="shared" si="9"/>
        <v>11339.392013278033</v>
      </c>
      <c r="AT113" s="1">
        <f t="shared" si="10"/>
        <v>-9619.3976625563046</v>
      </c>
      <c r="AU113" s="1">
        <f t="shared" si="11"/>
        <v>-13086.582838174238</v>
      </c>
      <c r="AW113" s="1">
        <v>103</v>
      </c>
    </row>
    <row r="114" spans="37:49">
      <c r="AK114" s="1">
        <v>104</v>
      </c>
      <c r="AL114" s="1">
        <f t="shared" si="13"/>
        <v>40.840704496667243</v>
      </c>
      <c r="AN114" s="1">
        <f t="shared" si="12"/>
        <v>15000</v>
      </c>
      <c r="AO114" s="1">
        <f t="shared" si="7"/>
        <v>7500.0000000003456</v>
      </c>
      <c r="AQ114" s="1">
        <f t="shared" si="8"/>
        <v>-23500</v>
      </c>
      <c r="AR114" s="1">
        <f t="shared" si="9"/>
        <v>10000.000000000242</v>
      </c>
      <c r="AT114" s="1">
        <f t="shared" si="10"/>
        <v>-10000</v>
      </c>
      <c r="AU114" s="1">
        <f t="shared" si="11"/>
        <v>-14999.999999999654</v>
      </c>
      <c r="AW114" s="1">
        <v>104</v>
      </c>
    </row>
    <row r="115" spans="37:49">
      <c r="AK115" s="1">
        <v>105</v>
      </c>
      <c r="AL115" s="1">
        <f t="shared" si="13"/>
        <v>41.233403578365966</v>
      </c>
      <c r="AN115" s="1">
        <f t="shared" si="12"/>
        <v>15380.602337443432</v>
      </c>
      <c r="AO115" s="1">
        <f t="shared" si="7"/>
        <v>5586.582838174877</v>
      </c>
      <c r="AQ115" s="1">
        <f t="shared" si="8"/>
        <v>-23233.578363789598</v>
      </c>
      <c r="AR115" s="1">
        <f t="shared" si="9"/>
        <v>8660.6079867224144</v>
      </c>
      <c r="AT115" s="1">
        <f t="shared" si="10"/>
        <v>-9619.3976625565683</v>
      </c>
      <c r="AU115" s="1">
        <f t="shared" si="11"/>
        <v>-16913.417161825124</v>
      </c>
      <c r="AW115" s="1">
        <v>105</v>
      </c>
    </row>
    <row r="116" spans="37:49">
      <c r="AK116">
        <v>106</v>
      </c>
      <c r="AL116" s="1">
        <f t="shared" si="13"/>
        <v>41.626102660064689</v>
      </c>
      <c r="AN116" s="1">
        <f t="shared" si="12"/>
        <v>16464.466094067007</v>
      </c>
      <c r="AO116" s="1">
        <f t="shared" si="7"/>
        <v>3964.4660940675162</v>
      </c>
      <c r="AQ116" s="1">
        <f t="shared" si="8"/>
        <v>-22474.873734153094</v>
      </c>
      <c r="AR116" s="1">
        <f t="shared" si="9"/>
        <v>7525.1262658472615</v>
      </c>
      <c r="AT116" s="1">
        <f t="shared" si="10"/>
        <v>-8535.5339059329926</v>
      </c>
      <c r="AU116" s="1">
        <f t="shared" si="11"/>
        <v>-18535.533905932483</v>
      </c>
      <c r="AW116" s="1">
        <v>106</v>
      </c>
    </row>
    <row r="117" spans="37:49">
      <c r="AK117">
        <v>107</v>
      </c>
      <c r="AL117" s="1">
        <f t="shared" si="13"/>
        <v>42.018801741763411</v>
      </c>
      <c r="AN117" s="1">
        <f t="shared" si="12"/>
        <v>18086.582838174214</v>
      </c>
      <c r="AO117" s="1">
        <f t="shared" si="7"/>
        <v>2880.6023374437063</v>
      </c>
      <c r="AQ117" s="1">
        <f t="shared" si="8"/>
        <v>-21339.392013278051</v>
      </c>
      <c r="AR117" s="1">
        <f t="shared" si="9"/>
        <v>6766.4216362105944</v>
      </c>
      <c r="AT117" s="1">
        <f t="shared" si="10"/>
        <v>-6913.4171618257869</v>
      </c>
      <c r="AU117" s="1">
        <f t="shared" si="11"/>
        <v>-19619.397662556294</v>
      </c>
      <c r="AW117" s="1">
        <v>107</v>
      </c>
    </row>
    <row r="118" spans="37:49">
      <c r="AK118" s="1">
        <v>108</v>
      </c>
      <c r="AL118" s="1">
        <f t="shared" si="13"/>
        <v>42.411500823462134</v>
      </c>
      <c r="AN118" s="1">
        <f t="shared" si="12"/>
        <v>19999.999999999629</v>
      </c>
      <c r="AO118" s="1">
        <f t="shared" si="7"/>
        <v>2500</v>
      </c>
      <c r="AQ118" s="1">
        <f t="shared" si="8"/>
        <v>-20000.000000000262</v>
      </c>
      <c r="AR118" s="1">
        <f t="shared" si="9"/>
        <v>6500</v>
      </c>
      <c r="AT118" s="1">
        <f t="shared" si="10"/>
        <v>-5000.000000000372</v>
      </c>
      <c r="AU118" s="1">
        <f t="shared" si="11"/>
        <v>-20000</v>
      </c>
      <c r="AW118" s="1">
        <v>108</v>
      </c>
    </row>
    <row r="119" spans="37:49">
      <c r="AK119" s="1">
        <v>109</v>
      </c>
      <c r="AL119" s="1">
        <f t="shared" si="13"/>
        <v>42.804199905160857</v>
      </c>
      <c r="AN119" s="1">
        <f t="shared" si="12"/>
        <v>21913.417161825098</v>
      </c>
      <c r="AO119" s="1">
        <f t="shared" si="7"/>
        <v>2880.6023374434208</v>
      </c>
      <c r="AQ119" s="1">
        <f t="shared" si="8"/>
        <v>-18660.607986722433</v>
      </c>
      <c r="AR119" s="1">
        <f t="shared" si="9"/>
        <v>6766.4216362103944</v>
      </c>
      <c r="AT119" s="1">
        <f t="shared" si="10"/>
        <v>-3086.5828381749016</v>
      </c>
      <c r="AU119" s="1">
        <f t="shared" si="11"/>
        <v>-19619.397662556577</v>
      </c>
      <c r="AW119" s="1">
        <v>109</v>
      </c>
    </row>
    <row r="120" spans="37:49">
      <c r="AK120" s="1">
        <v>110</v>
      </c>
      <c r="AL120" s="1">
        <f t="shared" si="13"/>
        <v>43.19689898685958</v>
      </c>
      <c r="AN120" s="1">
        <f t="shared" si="12"/>
        <v>23535.533905932465</v>
      </c>
      <c r="AO120" s="1">
        <f t="shared" si="7"/>
        <v>3964.4660940669896</v>
      </c>
      <c r="AQ120" s="1">
        <f t="shared" si="8"/>
        <v>-17525.126265847273</v>
      </c>
      <c r="AR120" s="1">
        <f t="shared" si="9"/>
        <v>7525.1262658468931</v>
      </c>
      <c r="AT120" s="1">
        <f t="shared" si="10"/>
        <v>-1464.4660940675353</v>
      </c>
      <c r="AU120" s="1">
        <f t="shared" si="11"/>
        <v>-18535.533905933011</v>
      </c>
      <c r="AW120" s="1">
        <v>110</v>
      </c>
    </row>
    <row r="121" spans="37:49">
      <c r="AK121" s="1">
        <v>111</v>
      </c>
      <c r="AL121" s="1">
        <f t="shared" si="13"/>
        <v>43.589598068558303</v>
      </c>
      <c r="AN121" s="1">
        <f t="shared" si="12"/>
        <v>24619.397662556283</v>
      </c>
      <c r="AO121" s="1">
        <f t="shared" si="7"/>
        <v>5586.5828381741885</v>
      </c>
      <c r="AQ121" s="1">
        <f t="shared" si="8"/>
        <v>-16766.421636210602</v>
      </c>
      <c r="AR121" s="1">
        <f t="shared" si="9"/>
        <v>8660.6079867219323</v>
      </c>
      <c r="AT121" s="1">
        <f t="shared" si="10"/>
        <v>-380.60233744371635</v>
      </c>
      <c r="AU121" s="1">
        <f t="shared" si="11"/>
        <v>-16913.417161825811</v>
      </c>
      <c r="AW121" s="1">
        <v>111</v>
      </c>
    </row>
    <row r="122" spans="37:49">
      <c r="AK122">
        <v>112</v>
      </c>
      <c r="AL122" s="1">
        <f>14*PI()</f>
        <v>43.982297150257104</v>
      </c>
      <c r="AN122" s="1">
        <f t="shared" si="12"/>
        <v>25000</v>
      </c>
      <c r="AO122" s="1">
        <f t="shared" si="7"/>
        <v>7499.9999999999918</v>
      </c>
      <c r="AQ122" s="1">
        <f t="shared" si="8"/>
        <v>-16500</v>
      </c>
      <c r="AR122" s="1">
        <f t="shared" si="9"/>
        <v>9999.9999999999945</v>
      </c>
      <c r="AT122" s="1">
        <f t="shared" si="10"/>
        <v>0</v>
      </c>
      <c r="AU122" s="1">
        <f t="shared" si="11"/>
        <v>-15000.000000000009</v>
      </c>
      <c r="AW122" s="1">
        <v>112</v>
      </c>
    </row>
    <row r="123" spans="37:49">
      <c r="AW123" s="1">
        <v>113</v>
      </c>
    </row>
    <row r="124" spans="37:49">
      <c r="AW124" s="1">
        <v>114</v>
      </c>
    </row>
    <row r="125" spans="37:49">
      <c r="AW125" s="1">
        <v>115</v>
      </c>
    </row>
    <row r="126" spans="37:49">
      <c r="AW126" s="1">
        <v>116</v>
      </c>
    </row>
    <row r="127" spans="37:49">
      <c r="AW127" s="1">
        <v>117</v>
      </c>
    </row>
    <row r="128" spans="37:49">
      <c r="AW128" s="1">
        <v>118</v>
      </c>
    </row>
    <row r="129" spans="49:49">
      <c r="AW129" s="1">
        <v>119</v>
      </c>
    </row>
    <row r="130" spans="49:49">
      <c r="AW130" s="1">
        <v>120</v>
      </c>
    </row>
    <row r="131" spans="49:49">
      <c r="AW131" s="1">
        <v>121</v>
      </c>
    </row>
    <row r="132" spans="49:49">
      <c r="AW132" s="1">
        <v>122</v>
      </c>
    </row>
    <row r="133" spans="49:49">
      <c r="AW133" s="1">
        <v>123</v>
      </c>
    </row>
    <row r="134" spans="49:49">
      <c r="AW134" s="1">
        <v>124</v>
      </c>
    </row>
    <row r="135" spans="49:49">
      <c r="AW135" s="1">
        <v>125</v>
      </c>
    </row>
    <row r="136" spans="49:49">
      <c r="AW136" s="1">
        <v>126</v>
      </c>
    </row>
    <row r="137" spans="49:49">
      <c r="AW137" s="1">
        <v>127</v>
      </c>
    </row>
    <row r="138" spans="49:49">
      <c r="AW138" s="1">
        <v>128</v>
      </c>
    </row>
    <row r="139" spans="49:49">
      <c r="AW139" s="1">
        <v>129</v>
      </c>
    </row>
    <row r="140" spans="49:49">
      <c r="AW140" s="1">
        <v>130</v>
      </c>
    </row>
    <row r="141" spans="49:49">
      <c r="AW141" s="1">
        <v>131</v>
      </c>
    </row>
    <row r="142" spans="49:49">
      <c r="AW142" s="1">
        <v>132</v>
      </c>
    </row>
    <row r="143" spans="49:49">
      <c r="AW143" s="1">
        <v>133</v>
      </c>
    </row>
    <row r="144" spans="49:49">
      <c r="AW144" s="1">
        <v>134</v>
      </c>
    </row>
    <row r="145" spans="49:49">
      <c r="AW145" s="1">
        <v>135</v>
      </c>
    </row>
    <row r="146" spans="49:49">
      <c r="AW146" s="1">
        <v>136</v>
      </c>
    </row>
    <row r="147" spans="49:49">
      <c r="AW147" s="1">
        <v>137</v>
      </c>
    </row>
    <row r="148" spans="49:49">
      <c r="AW148" s="1">
        <v>138</v>
      </c>
    </row>
    <row r="149" spans="49:49">
      <c r="AW149" s="1">
        <v>139</v>
      </c>
    </row>
    <row r="150" spans="49:49">
      <c r="AW150" s="1">
        <v>140</v>
      </c>
    </row>
    <row r="151" spans="49:49">
      <c r="AW151" s="1">
        <v>141</v>
      </c>
    </row>
    <row r="152" spans="49:49">
      <c r="AW152" s="1">
        <v>142</v>
      </c>
    </row>
    <row r="153" spans="49:49">
      <c r="AW153" s="1">
        <v>143</v>
      </c>
    </row>
    <row r="154" spans="49:49">
      <c r="AW154" s="1">
        <v>144</v>
      </c>
    </row>
    <row r="155" spans="49:49">
      <c r="AW155" s="1">
        <v>145</v>
      </c>
    </row>
    <row r="156" spans="49:49">
      <c r="AW156" s="1">
        <v>146</v>
      </c>
    </row>
    <row r="157" spans="49:49">
      <c r="AW157" s="1">
        <v>147</v>
      </c>
    </row>
    <row r="158" spans="49:49">
      <c r="AW158" s="1">
        <v>148</v>
      </c>
    </row>
    <row r="159" spans="49:49">
      <c r="AW159" s="1">
        <v>149</v>
      </c>
    </row>
    <row r="160" spans="49:49">
      <c r="AW160" s="1">
        <v>150</v>
      </c>
    </row>
    <row r="161" spans="49:49">
      <c r="AW161" s="1">
        <v>151</v>
      </c>
    </row>
    <row r="162" spans="49:49">
      <c r="AW162" s="1">
        <v>152</v>
      </c>
    </row>
    <row r="163" spans="49:49">
      <c r="AW163" s="1">
        <v>153</v>
      </c>
    </row>
    <row r="164" spans="49:49">
      <c r="AW164" s="1">
        <v>154</v>
      </c>
    </row>
    <row r="165" spans="49:49">
      <c r="AW165" s="1">
        <v>155</v>
      </c>
    </row>
    <row r="166" spans="49:49">
      <c r="AW166" s="1">
        <v>156</v>
      </c>
    </row>
    <row r="167" spans="49:49">
      <c r="AW167" s="1">
        <v>157</v>
      </c>
    </row>
    <row r="168" spans="49:49">
      <c r="AW168" s="1">
        <v>158</v>
      </c>
    </row>
    <row r="169" spans="49:49">
      <c r="AW169" s="1">
        <v>159</v>
      </c>
    </row>
    <row r="170" spans="49:49">
      <c r="AW170" s="1">
        <v>160</v>
      </c>
    </row>
    <row r="171" spans="49:49">
      <c r="AW171" s="1">
        <v>161</v>
      </c>
    </row>
    <row r="172" spans="49:49">
      <c r="AW172" s="1">
        <v>162</v>
      </c>
    </row>
    <row r="173" spans="49:49">
      <c r="AW173" s="1">
        <v>163</v>
      </c>
    </row>
    <row r="174" spans="49:49">
      <c r="AW174" s="1">
        <v>164</v>
      </c>
    </row>
    <row r="175" spans="49:49">
      <c r="AW175" s="1">
        <v>165</v>
      </c>
    </row>
    <row r="176" spans="49:49">
      <c r="AW176" s="1">
        <v>166</v>
      </c>
    </row>
    <row r="177" spans="49:49">
      <c r="AW177" s="1">
        <v>167</v>
      </c>
    </row>
    <row r="178" spans="49:49">
      <c r="AW178" s="1">
        <v>168</v>
      </c>
    </row>
    <row r="179" spans="49:49">
      <c r="AW179" s="1">
        <v>169</v>
      </c>
    </row>
    <row r="180" spans="49:49">
      <c r="AW180" s="1">
        <v>170</v>
      </c>
    </row>
    <row r="181" spans="49:49">
      <c r="AW181" s="1">
        <v>171</v>
      </c>
    </row>
    <row r="182" spans="49:49">
      <c r="AW182" s="1">
        <v>172</v>
      </c>
    </row>
    <row r="183" spans="49:49">
      <c r="AW183" s="1">
        <v>173</v>
      </c>
    </row>
    <row r="184" spans="49:49">
      <c r="AW184" s="1">
        <v>174</v>
      </c>
    </row>
    <row r="185" spans="49:49">
      <c r="AW185" s="1">
        <v>175</v>
      </c>
    </row>
    <row r="186" spans="49:49">
      <c r="AW186" s="1">
        <v>176</v>
      </c>
    </row>
    <row r="187" spans="49:49">
      <c r="AW187" s="1">
        <v>177</v>
      </c>
    </row>
    <row r="188" spans="49:49">
      <c r="AW188" s="1">
        <v>178</v>
      </c>
    </row>
    <row r="189" spans="49:49">
      <c r="AW189" s="1">
        <v>179</v>
      </c>
    </row>
    <row r="190" spans="49:49">
      <c r="AW190" s="1">
        <v>180</v>
      </c>
    </row>
    <row r="191" spans="49:49">
      <c r="AW191" s="1">
        <v>181</v>
      </c>
    </row>
    <row r="192" spans="49:49">
      <c r="AW192" s="1">
        <v>182</v>
      </c>
    </row>
    <row r="193" spans="49:49">
      <c r="AW193" s="1">
        <v>183</v>
      </c>
    </row>
    <row r="194" spans="49:49">
      <c r="AW194" s="1">
        <v>184</v>
      </c>
    </row>
    <row r="195" spans="49:49">
      <c r="AW195" s="1">
        <v>185</v>
      </c>
    </row>
    <row r="196" spans="49:49">
      <c r="AW196" s="1">
        <v>186</v>
      </c>
    </row>
    <row r="197" spans="49:49">
      <c r="AW197" s="1">
        <v>187</v>
      </c>
    </row>
    <row r="198" spans="49:49">
      <c r="AW198" s="1">
        <v>188</v>
      </c>
    </row>
    <row r="199" spans="49:49">
      <c r="AW199" s="1">
        <v>189</v>
      </c>
    </row>
    <row r="200" spans="49:49">
      <c r="AW200" s="1">
        <v>190</v>
      </c>
    </row>
    <row r="201" spans="49:49">
      <c r="AW201" s="1">
        <v>191</v>
      </c>
    </row>
    <row r="202" spans="49:49">
      <c r="AW202" s="1">
        <v>192</v>
      </c>
    </row>
    <row r="203" spans="49:49">
      <c r="AW203" s="1">
        <v>193</v>
      </c>
    </row>
    <row r="204" spans="49:49">
      <c r="AW204" s="1">
        <v>194</v>
      </c>
    </row>
    <row r="205" spans="49:49">
      <c r="AW205" s="1">
        <v>195</v>
      </c>
    </row>
    <row r="206" spans="49:49">
      <c r="AW206" s="1">
        <v>196</v>
      </c>
    </row>
    <row r="207" spans="49:49">
      <c r="AW207" s="1">
        <v>197</v>
      </c>
    </row>
    <row r="208" spans="49:49">
      <c r="AW208" s="1">
        <v>198</v>
      </c>
    </row>
    <row r="209" spans="49:49">
      <c r="AW209" s="1">
        <v>199</v>
      </c>
    </row>
    <row r="210" spans="49:49">
      <c r="AW210" s="1">
        <v>200</v>
      </c>
    </row>
    <row r="211" spans="49:49">
      <c r="AW211" s="1">
        <v>201</v>
      </c>
    </row>
    <row r="212" spans="49:49">
      <c r="AW212" s="1">
        <v>202</v>
      </c>
    </row>
    <row r="213" spans="49:49">
      <c r="AW213" s="1">
        <v>203</v>
      </c>
    </row>
    <row r="214" spans="49:49">
      <c r="AW214" s="1">
        <v>204</v>
      </c>
    </row>
    <row r="215" spans="49:49">
      <c r="AW215" s="1">
        <v>205</v>
      </c>
    </row>
    <row r="216" spans="49:49">
      <c r="AW216" s="1">
        <v>206</v>
      </c>
    </row>
    <row r="217" spans="49:49">
      <c r="AW217" s="1">
        <v>207</v>
      </c>
    </row>
    <row r="218" spans="49:49">
      <c r="AW218" s="1">
        <v>208</v>
      </c>
    </row>
    <row r="219" spans="49:49">
      <c r="AW219" s="1">
        <v>209</v>
      </c>
    </row>
    <row r="220" spans="49:49">
      <c r="AW220" s="1">
        <v>210</v>
      </c>
    </row>
    <row r="221" spans="49:49">
      <c r="AW221" s="1">
        <v>211</v>
      </c>
    </row>
    <row r="222" spans="49:49">
      <c r="AW222" s="1">
        <v>212</v>
      </c>
    </row>
    <row r="223" spans="49:49">
      <c r="AW223" s="1">
        <v>213</v>
      </c>
    </row>
    <row r="224" spans="49:49">
      <c r="AW224" s="1">
        <v>214</v>
      </c>
    </row>
    <row r="225" spans="49:49">
      <c r="AW225" s="1">
        <v>215</v>
      </c>
    </row>
    <row r="226" spans="49:49">
      <c r="AW226" s="1">
        <v>216</v>
      </c>
    </row>
    <row r="227" spans="49:49">
      <c r="AW227" s="1">
        <v>217</v>
      </c>
    </row>
    <row r="228" spans="49:49">
      <c r="AW228" s="1">
        <v>218</v>
      </c>
    </row>
    <row r="229" spans="49:49">
      <c r="AW229" s="1">
        <v>219</v>
      </c>
    </row>
    <row r="230" spans="49:49">
      <c r="AW230" s="1">
        <v>220</v>
      </c>
    </row>
    <row r="231" spans="49:49">
      <c r="AW231" s="1">
        <v>221</v>
      </c>
    </row>
    <row r="232" spans="49:49">
      <c r="AW232" s="1">
        <v>222</v>
      </c>
    </row>
    <row r="233" spans="49:49">
      <c r="AW233" s="1">
        <v>223</v>
      </c>
    </row>
    <row r="234" spans="49:49">
      <c r="AW234" s="1">
        <v>224</v>
      </c>
    </row>
    <row r="235" spans="49:49">
      <c r="AW235" s="1">
        <v>225</v>
      </c>
    </row>
    <row r="236" spans="49:49">
      <c r="AW236" s="1">
        <v>226</v>
      </c>
    </row>
    <row r="237" spans="49:49">
      <c r="AW237" s="1">
        <v>227</v>
      </c>
    </row>
    <row r="238" spans="49:49">
      <c r="AW238" s="1">
        <v>228</v>
      </c>
    </row>
    <row r="239" spans="49:49">
      <c r="AW239" s="1">
        <v>229</v>
      </c>
    </row>
    <row r="240" spans="49:49">
      <c r="AW240" s="1">
        <v>230</v>
      </c>
    </row>
    <row r="241" spans="49:49">
      <c r="AW241" s="1">
        <v>231</v>
      </c>
    </row>
    <row r="242" spans="49:49">
      <c r="AW242" s="1">
        <v>232</v>
      </c>
    </row>
    <row r="243" spans="49:49">
      <c r="AW243" s="1">
        <v>233</v>
      </c>
    </row>
    <row r="244" spans="49:49">
      <c r="AW244" s="1">
        <v>234</v>
      </c>
    </row>
    <row r="245" spans="49:49">
      <c r="AW245" s="1">
        <v>235</v>
      </c>
    </row>
    <row r="246" spans="49:49">
      <c r="AW246" s="1">
        <v>236</v>
      </c>
    </row>
    <row r="247" spans="49:49">
      <c r="AW247" s="1">
        <v>237</v>
      </c>
    </row>
    <row r="248" spans="49:49">
      <c r="AW248" s="1">
        <v>238</v>
      </c>
    </row>
    <row r="249" spans="49:49">
      <c r="AW249" s="1">
        <v>239</v>
      </c>
    </row>
    <row r="250" spans="49:49">
      <c r="AW250" s="1">
        <v>240</v>
      </c>
    </row>
    <row r="251" spans="49:49">
      <c r="AW251" s="1">
        <v>241</v>
      </c>
    </row>
    <row r="252" spans="49:49">
      <c r="AW252" s="1">
        <v>242</v>
      </c>
    </row>
    <row r="253" spans="49:49">
      <c r="AW253" s="1">
        <v>243</v>
      </c>
    </row>
    <row r="254" spans="49:49">
      <c r="AW254" s="1">
        <v>244</v>
      </c>
    </row>
    <row r="255" spans="49:49">
      <c r="AW255" s="1">
        <v>245</v>
      </c>
    </row>
    <row r="256" spans="49:49">
      <c r="AW256" s="1">
        <v>246</v>
      </c>
    </row>
    <row r="257" spans="49:49">
      <c r="AW257" s="1">
        <v>247</v>
      </c>
    </row>
    <row r="258" spans="49:49">
      <c r="AW258" s="1">
        <v>248</v>
      </c>
    </row>
    <row r="259" spans="49:49">
      <c r="AW259" s="1">
        <v>249</v>
      </c>
    </row>
    <row r="260" spans="49:49">
      <c r="AW260" s="1">
        <v>250</v>
      </c>
    </row>
    <row r="261" spans="49:49">
      <c r="AW261" s="1">
        <v>251</v>
      </c>
    </row>
    <row r="262" spans="49:49">
      <c r="AW262" s="1">
        <v>252</v>
      </c>
    </row>
    <row r="263" spans="49:49">
      <c r="AW263" s="1">
        <v>253</v>
      </c>
    </row>
    <row r="264" spans="49:49">
      <c r="AW264" s="1">
        <v>254</v>
      </c>
    </row>
    <row r="265" spans="49:49">
      <c r="AW265" s="1">
        <v>255</v>
      </c>
    </row>
    <row r="266" spans="49:49">
      <c r="AW266" s="1">
        <v>256</v>
      </c>
    </row>
    <row r="267" spans="49:49">
      <c r="AW267" s="1">
        <v>257</v>
      </c>
    </row>
    <row r="268" spans="49:49">
      <c r="AW268" s="1">
        <v>258</v>
      </c>
    </row>
    <row r="269" spans="49:49">
      <c r="AW269" s="1">
        <v>259</v>
      </c>
    </row>
    <row r="270" spans="49:49">
      <c r="AW270" s="1">
        <v>260</v>
      </c>
    </row>
    <row r="271" spans="49:49">
      <c r="AW271" s="1">
        <v>261</v>
      </c>
    </row>
    <row r="272" spans="49:49">
      <c r="AW272" s="1">
        <v>262</v>
      </c>
    </row>
    <row r="273" spans="49:49">
      <c r="AW273" s="1">
        <v>263</v>
      </c>
    </row>
    <row r="274" spans="49:49">
      <c r="AW274" s="1">
        <v>264</v>
      </c>
    </row>
    <row r="275" spans="49:49">
      <c r="AW275" s="1">
        <v>265</v>
      </c>
    </row>
    <row r="276" spans="49:49">
      <c r="AW276" s="1">
        <v>266</v>
      </c>
    </row>
    <row r="277" spans="49:49">
      <c r="AW277" s="1">
        <v>267</v>
      </c>
    </row>
    <row r="278" spans="49:49">
      <c r="AW278" s="1">
        <v>268</v>
      </c>
    </row>
    <row r="279" spans="49:49">
      <c r="AW279" s="1">
        <v>269</v>
      </c>
    </row>
    <row r="280" spans="49:49">
      <c r="AW280" s="1">
        <v>270</v>
      </c>
    </row>
    <row r="281" spans="49:49">
      <c r="AW281" s="1">
        <v>271</v>
      </c>
    </row>
    <row r="282" spans="49:49">
      <c r="AW282" s="1">
        <v>272</v>
      </c>
    </row>
    <row r="283" spans="49:49">
      <c r="AW283" s="1">
        <v>273</v>
      </c>
    </row>
    <row r="284" spans="49:49">
      <c r="AW284" s="1">
        <v>274</v>
      </c>
    </row>
    <row r="285" spans="49:49">
      <c r="AW285" s="1">
        <v>275</v>
      </c>
    </row>
    <row r="286" spans="49:49">
      <c r="AW286" s="1">
        <v>276</v>
      </c>
    </row>
    <row r="287" spans="49:49">
      <c r="AW287" s="1">
        <v>277</v>
      </c>
    </row>
    <row r="288" spans="49:49">
      <c r="AW288" s="1">
        <v>278</v>
      </c>
    </row>
    <row r="289" spans="49:49">
      <c r="AW289" s="1">
        <v>279</v>
      </c>
    </row>
    <row r="290" spans="49:49">
      <c r="AW290" s="1">
        <v>280</v>
      </c>
    </row>
    <row r="291" spans="49:49">
      <c r="AW291" s="1">
        <v>281</v>
      </c>
    </row>
    <row r="292" spans="49:49">
      <c r="AW292" s="1">
        <v>282</v>
      </c>
    </row>
    <row r="293" spans="49:49">
      <c r="AW293" s="1">
        <v>283</v>
      </c>
    </row>
    <row r="294" spans="49:49">
      <c r="AW294" s="1">
        <v>284</v>
      </c>
    </row>
    <row r="295" spans="49:49">
      <c r="AW295" s="1">
        <v>285</v>
      </c>
    </row>
    <row r="296" spans="49:49">
      <c r="AW296" s="1">
        <v>286</v>
      </c>
    </row>
    <row r="297" spans="49:49">
      <c r="AW297" s="1">
        <v>287</v>
      </c>
    </row>
    <row r="298" spans="49:49">
      <c r="AW298" s="1">
        <v>288</v>
      </c>
    </row>
    <row r="299" spans="49:49">
      <c r="AW299" s="1">
        <v>289</v>
      </c>
    </row>
    <row r="300" spans="49:49">
      <c r="AW300" s="1">
        <v>290</v>
      </c>
    </row>
    <row r="301" spans="49:49">
      <c r="AW301" s="1">
        <v>291</v>
      </c>
    </row>
    <row r="302" spans="49:49">
      <c r="AW302" s="1">
        <v>292</v>
      </c>
    </row>
    <row r="303" spans="49:49">
      <c r="AW303" s="1">
        <v>293</v>
      </c>
    </row>
    <row r="304" spans="49:49">
      <c r="AW304" s="1">
        <v>294</v>
      </c>
    </row>
    <row r="305" spans="49:49">
      <c r="AW305" s="1">
        <v>295</v>
      </c>
    </row>
    <row r="306" spans="49:49">
      <c r="AW306" s="1">
        <v>296</v>
      </c>
    </row>
    <row r="307" spans="49:49">
      <c r="AW307" s="1">
        <v>297</v>
      </c>
    </row>
    <row r="308" spans="49:49">
      <c r="AW308" s="1">
        <v>298</v>
      </c>
    </row>
    <row r="309" spans="49:49">
      <c r="AW309" s="1">
        <v>299</v>
      </c>
    </row>
    <row r="310" spans="49:49">
      <c r="AW310" s="1">
        <v>300</v>
      </c>
    </row>
    <row r="311" spans="49:49">
      <c r="AW311" s="1">
        <v>301</v>
      </c>
    </row>
    <row r="312" spans="49:49">
      <c r="AW312" s="1">
        <v>302</v>
      </c>
    </row>
    <row r="313" spans="49:49">
      <c r="AW313" s="1">
        <v>303</v>
      </c>
    </row>
    <row r="314" spans="49:49">
      <c r="AW314" s="1">
        <v>304</v>
      </c>
    </row>
    <row r="315" spans="49:49">
      <c r="AW315" s="1">
        <v>305</v>
      </c>
    </row>
    <row r="316" spans="49:49">
      <c r="AW316" s="1">
        <v>306</v>
      </c>
    </row>
    <row r="317" spans="49:49">
      <c r="AW317" s="1">
        <v>307</v>
      </c>
    </row>
    <row r="318" spans="49:49">
      <c r="AW318" s="1">
        <v>308</v>
      </c>
    </row>
    <row r="319" spans="49:49">
      <c r="AW319" s="1">
        <v>309</v>
      </c>
    </row>
    <row r="320" spans="49:49">
      <c r="AW320" s="1">
        <v>310</v>
      </c>
    </row>
    <row r="321" spans="49:49">
      <c r="AW321" s="1">
        <v>311</v>
      </c>
    </row>
    <row r="322" spans="49:49">
      <c r="AW322" s="1">
        <v>312</v>
      </c>
    </row>
    <row r="323" spans="49:49">
      <c r="AW323" s="1">
        <v>313</v>
      </c>
    </row>
    <row r="324" spans="49:49">
      <c r="AW324" s="1">
        <v>314</v>
      </c>
    </row>
    <row r="325" spans="49:49">
      <c r="AW325" s="1">
        <v>315</v>
      </c>
    </row>
    <row r="326" spans="49:49">
      <c r="AW326" s="1">
        <v>316</v>
      </c>
    </row>
    <row r="327" spans="49:49">
      <c r="AW327" s="1">
        <v>317</v>
      </c>
    </row>
    <row r="328" spans="49:49">
      <c r="AW328" s="1">
        <v>318</v>
      </c>
    </row>
    <row r="329" spans="49:49">
      <c r="AW329" s="1">
        <v>319</v>
      </c>
    </row>
    <row r="330" spans="49:49">
      <c r="AW330" s="1">
        <v>320</v>
      </c>
    </row>
    <row r="331" spans="49:49">
      <c r="AW331" s="1">
        <v>321</v>
      </c>
    </row>
    <row r="332" spans="49:49">
      <c r="AW332" s="1">
        <v>322</v>
      </c>
    </row>
    <row r="333" spans="49:49">
      <c r="AW333" s="1">
        <v>323</v>
      </c>
    </row>
    <row r="334" spans="49:49">
      <c r="AW334" s="1">
        <v>324</v>
      </c>
    </row>
    <row r="335" spans="49:49">
      <c r="AW335" s="1">
        <v>325</v>
      </c>
    </row>
    <row r="336" spans="49:49">
      <c r="AW336" s="1">
        <v>326</v>
      </c>
    </row>
    <row r="337" spans="49:49">
      <c r="AW337" s="1">
        <v>327</v>
      </c>
    </row>
    <row r="338" spans="49:49">
      <c r="AW338" s="1">
        <v>328</v>
      </c>
    </row>
    <row r="339" spans="49:49">
      <c r="AW339" s="1">
        <v>329</v>
      </c>
    </row>
    <row r="340" spans="49:49">
      <c r="AW340" s="1">
        <v>330</v>
      </c>
    </row>
    <row r="341" spans="49:49">
      <c r="AW341" s="1">
        <v>331</v>
      </c>
    </row>
    <row r="342" spans="49:49">
      <c r="AW342" s="1">
        <v>332</v>
      </c>
    </row>
    <row r="343" spans="49:49">
      <c r="AW343" s="1">
        <v>333</v>
      </c>
    </row>
    <row r="344" spans="49:49">
      <c r="AW344" s="1">
        <v>334</v>
      </c>
    </row>
    <row r="345" spans="49:49">
      <c r="AW345" s="1">
        <v>335</v>
      </c>
    </row>
    <row r="346" spans="49:49">
      <c r="AW346" s="1">
        <v>336</v>
      </c>
    </row>
    <row r="347" spans="49:49">
      <c r="AW347" s="1">
        <v>337</v>
      </c>
    </row>
    <row r="348" spans="49:49">
      <c r="AW348" s="1">
        <v>338</v>
      </c>
    </row>
    <row r="349" spans="49:49">
      <c r="AW349" s="1">
        <v>339</v>
      </c>
    </row>
    <row r="350" spans="49:49">
      <c r="AW350" s="1">
        <v>340</v>
      </c>
    </row>
    <row r="351" spans="49:49">
      <c r="AW351" s="1">
        <v>341</v>
      </c>
    </row>
    <row r="352" spans="49:49">
      <c r="AW352" s="1">
        <v>342</v>
      </c>
    </row>
    <row r="353" spans="49:49">
      <c r="AW353" s="1">
        <v>343</v>
      </c>
    </row>
    <row r="354" spans="49:49">
      <c r="AW354" s="1">
        <v>344</v>
      </c>
    </row>
    <row r="355" spans="49:49">
      <c r="AW355" s="1">
        <v>345</v>
      </c>
    </row>
    <row r="356" spans="49:49">
      <c r="AW356" s="1">
        <v>346</v>
      </c>
    </row>
    <row r="357" spans="49:49">
      <c r="AW357" s="1">
        <v>347</v>
      </c>
    </row>
    <row r="358" spans="49:49">
      <c r="AW358" s="1">
        <v>348</v>
      </c>
    </row>
    <row r="359" spans="49:49">
      <c r="AW359" s="1">
        <v>349</v>
      </c>
    </row>
    <row r="360" spans="49:49">
      <c r="AW360" s="1">
        <v>350</v>
      </c>
    </row>
    <row r="361" spans="49:49">
      <c r="AW361" s="1">
        <v>351</v>
      </c>
    </row>
    <row r="362" spans="49:49">
      <c r="AW362" s="1">
        <v>352</v>
      </c>
    </row>
    <row r="363" spans="49:49">
      <c r="AW363" s="1">
        <v>353</v>
      </c>
    </row>
    <row r="364" spans="49:49">
      <c r="AW364" s="1">
        <v>354</v>
      </c>
    </row>
    <row r="365" spans="49:49">
      <c r="AW365" s="1">
        <v>355</v>
      </c>
    </row>
    <row r="366" spans="49:49">
      <c r="AW366" s="1">
        <v>356</v>
      </c>
    </row>
    <row r="367" spans="49:49">
      <c r="AW367" s="1">
        <v>357</v>
      </c>
    </row>
    <row r="368" spans="49:49">
      <c r="AW368" s="1">
        <v>358</v>
      </c>
    </row>
    <row r="369" spans="49:49">
      <c r="AW369" s="1">
        <v>359</v>
      </c>
    </row>
    <row r="370" spans="49:49">
      <c r="AW370" s="1">
        <v>360</v>
      </c>
    </row>
    <row r="371" spans="49:49">
      <c r="AW371" s="1">
        <v>361</v>
      </c>
    </row>
    <row r="372" spans="49:49">
      <c r="AW372" s="1">
        <v>362</v>
      </c>
    </row>
    <row r="373" spans="49:49">
      <c r="AW373" s="1">
        <v>363</v>
      </c>
    </row>
    <row r="374" spans="49:49">
      <c r="AW374" s="1">
        <v>364</v>
      </c>
    </row>
    <row r="375" spans="49:49">
      <c r="AW375" s="1">
        <v>365</v>
      </c>
    </row>
    <row r="376" spans="49:49">
      <c r="AW376" s="1">
        <v>366</v>
      </c>
    </row>
    <row r="377" spans="49:49">
      <c r="AW377" s="1">
        <v>367</v>
      </c>
    </row>
    <row r="378" spans="49:49">
      <c r="AW378" s="1">
        <v>368</v>
      </c>
    </row>
    <row r="379" spans="49:49">
      <c r="AW379" s="1">
        <v>369</v>
      </c>
    </row>
    <row r="380" spans="49:49">
      <c r="AW380" s="1">
        <v>370</v>
      </c>
    </row>
    <row r="381" spans="49:49">
      <c r="AW381" s="1">
        <v>371</v>
      </c>
    </row>
    <row r="382" spans="49:49">
      <c r="AW382" s="1">
        <v>372</v>
      </c>
    </row>
    <row r="383" spans="49:49">
      <c r="AW383" s="1">
        <v>373</v>
      </c>
    </row>
    <row r="384" spans="49:49">
      <c r="AW384" s="1">
        <v>374</v>
      </c>
    </row>
    <row r="385" spans="49:49">
      <c r="AW385" s="1">
        <v>375</v>
      </c>
    </row>
    <row r="386" spans="49:49">
      <c r="AW386" s="1">
        <v>376</v>
      </c>
    </row>
    <row r="387" spans="49:49">
      <c r="AW387" s="1">
        <v>377</v>
      </c>
    </row>
    <row r="388" spans="49:49">
      <c r="AW388" s="1">
        <v>378</v>
      </c>
    </row>
    <row r="389" spans="49:49">
      <c r="AW389" s="1">
        <v>379</v>
      </c>
    </row>
    <row r="390" spans="49:49">
      <c r="AW390" s="1">
        <v>380</v>
      </c>
    </row>
    <row r="391" spans="49:49">
      <c r="AW391" s="1">
        <v>381</v>
      </c>
    </row>
    <row r="392" spans="49:49">
      <c r="AW392" s="1">
        <v>382</v>
      </c>
    </row>
    <row r="393" spans="49:49">
      <c r="AW393" s="1">
        <v>383</v>
      </c>
    </row>
    <row r="394" spans="49:49">
      <c r="AW394" s="1">
        <v>384</v>
      </c>
    </row>
    <row r="395" spans="49:49">
      <c r="AW395" s="1">
        <v>385</v>
      </c>
    </row>
    <row r="396" spans="49:49">
      <c r="AW396" s="1">
        <v>386</v>
      </c>
    </row>
    <row r="397" spans="49:49">
      <c r="AW397" s="1">
        <v>387</v>
      </c>
    </row>
    <row r="398" spans="49:49">
      <c r="AW398" s="1">
        <v>388</v>
      </c>
    </row>
    <row r="399" spans="49:49">
      <c r="AW399" s="1">
        <v>389</v>
      </c>
    </row>
    <row r="400" spans="49:49">
      <c r="AW400" s="1">
        <v>390</v>
      </c>
    </row>
    <row r="401" spans="49:49">
      <c r="AW401" s="1">
        <v>391</v>
      </c>
    </row>
    <row r="402" spans="49:49">
      <c r="AW402" s="1">
        <v>392</v>
      </c>
    </row>
    <row r="403" spans="49:49">
      <c r="AW403" s="1">
        <v>393</v>
      </c>
    </row>
    <row r="404" spans="49:49">
      <c r="AW404" s="1">
        <v>394</v>
      </c>
    </row>
    <row r="405" spans="49:49">
      <c r="AW405" s="1">
        <v>395</v>
      </c>
    </row>
    <row r="406" spans="49:49">
      <c r="AW406" s="1">
        <v>396</v>
      </c>
    </row>
    <row r="407" spans="49:49">
      <c r="AW407" s="1">
        <v>397</v>
      </c>
    </row>
    <row r="408" spans="49:49">
      <c r="AW408" s="1">
        <v>398</v>
      </c>
    </row>
    <row r="409" spans="49:49">
      <c r="AW409" s="1">
        <v>399</v>
      </c>
    </row>
    <row r="410" spans="49:49">
      <c r="AW410" s="1">
        <v>400</v>
      </c>
    </row>
    <row r="411" spans="49:49">
      <c r="AW411" s="1">
        <v>401</v>
      </c>
    </row>
    <row r="412" spans="49:49">
      <c r="AW412" s="1">
        <v>402</v>
      </c>
    </row>
    <row r="413" spans="49:49">
      <c r="AW413" s="1">
        <v>403</v>
      </c>
    </row>
    <row r="414" spans="49:49">
      <c r="AW414" s="1">
        <v>404</v>
      </c>
    </row>
    <row r="415" spans="49:49">
      <c r="AW415" s="1">
        <v>405</v>
      </c>
    </row>
    <row r="416" spans="49:49">
      <c r="AW416" s="1">
        <v>406</v>
      </c>
    </row>
    <row r="417" spans="49:49">
      <c r="AW417" s="1">
        <v>407</v>
      </c>
    </row>
    <row r="418" spans="49:49">
      <c r="AW418" s="1">
        <v>408</v>
      </c>
    </row>
    <row r="419" spans="49:49">
      <c r="AW419" s="1">
        <v>409</v>
      </c>
    </row>
    <row r="420" spans="49:49">
      <c r="AW420" s="1">
        <v>410</v>
      </c>
    </row>
    <row r="421" spans="49:49">
      <c r="AW421" s="1">
        <v>411</v>
      </c>
    </row>
    <row r="422" spans="49:49">
      <c r="AW422" s="1">
        <v>412</v>
      </c>
    </row>
    <row r="423" spans="49:49">
      <c r="AW423" s="1">
        <v>413</v>
      </c>
    </row>
    <row r="424" spans="49:49">
      <c r="AW424" s="1">
        <v>414</v>
      </c>
    </row>
    <row r="425" spans="49:49">
      <c r="AW425" s="1">
        <v>415</v>
      </c>
    </row>
    <row r="426" spans="49:49">
      <c r="AW426" s="1">
        <v>416</v>
      </c>
    </row>
    <row r="427" spans="49:49">
      <c r="AW427" s="1">
        <v>417</v>
      </c>
    </row>
    <row r="428" spans="49:49">
      <c r="AW428" s="1">
        <v>418</v>
      </c>
    </row>
    <row r="429" spans="49:49">
      <c r="AW429" s="1">
        <v>419</v>
      </c>
    </row>
    <row r="430" spans="49:49">
      <c r="AW430" s="1">
        <v>420</v>
      </c>
    </row>
    <row r="431" spans="49:49">
      <c r="AW431" s="1">
        <v>421</v>
      </c>
    </row>
    <row r="432" spans="49:49">
      <c r="AW432" s="1">
        <v>422</v>
      </c>
    </row>
    <row r="433" spans="49:49">
      <c r="AW433" s="1">
        <v>423</v>
      </c>
    </row>
    <row r="434" spans="49:49">
      <c r="AW434" s="1">
        <v>424</v>
      </c>
    </row>
    <row r="435" spans="49:49">
      <c r="AW435" s="1">
        <v>425</v>
      </c>
    </row>
    <row r="436" spans="49:49">
      <c r="AW436" s="1">
        <v>426</v>
      </c>
    </row>
    <row r="437" spans="49:49">
      <c r="AW437" s="1">
        <v>427</v>
      </c>
    </row>
    <row r="438" spans="49:49">
      <c r="AW438" s="1">
        <v>428</v>
      </c>
    </row>
    <row r="439" spans="49:49">
      <c r="AW439" s="1">
        <v>429</v>
      </c>
    </row>
    <row r="440" spans="49:49">
      <c r="AW440" s="1">
        <v>430</v>
      </c>
    </row>
    <row r="441" spans="49:49">
      <c r="AW441" s="1">
        <v>431</v>
      </c>
    </row>
    <row r="442" spans="49:49">
      <c r="AW442" s="1">
        <v>432</v>
      </c>
    </row>
    <row r="443" spans="49:49">
      <c r="AW443" s="1">
        <v>433</v>
      </c>
    </row>
    <row r="444" spans="49:49">
      <c r="AW444" s="1">
        <v>434</v>
      </c>
    </row>
    <row r="445" spans="49:49">
      <c r="AW445" s="1">
        <v>435</v>
      </c>
    </row>
    <row r="446" spans="49:49">
      <c r="AW446" s="1">
        <v>436</v>
      </c>
    </row>
    <row r="447" spans="49:49">
      <c r="AW447" s="1">
        <v>437</v>
      </c>
    </row>
    <row r="448" spans="49:49">
      <c r="AW448" s="1">
        <v>438</v>
      </c>
    </row>
    <row r="449" spans="49:49">
      <c r="AW449" s="1">
        <v>439</v>
      </c>
    </row>
    <row r="450" spans="49:49">
      <c r="AW450" s="1">
        <v>440</v>
      </c>
    </row>
    <row r="451" spans="49:49">
      <c r="AW451" s="1">
        <v>441</v>
      </c>
    </row>
    <row r="452" spans="49:49">
      <c r="AW452" s="1">
        <v>442</v>
      </c>
    </row>
    <row r="453" spans="49:49">
      <c r="AW453" s="1">
        <v>443</v>
      </c>
    </row>
    <row r="454" spans="49:49">
      <c r="AW454" s="1">
        <v>444</v>
      </c>
    </row>
    <row r="455" spans="49:49">
      <c r="AW455" s="1">
        <v>445</v>
      </c>
    </row>
    <row r="456" spans="49:49">
      <c r="AW456" s="1">
        <v>446</v>
      </c>
    </row>
    <row r="457" spans="49:49">
      <c r="AW457" s="1">
        <v>447</v>
      </c>
    </row>
    <row r="458" spans="49:49">
      <c r="AW458" s="1">
        <v>448</v>
      </c>
    </row>
    <row r="459" spans="49:49">
      <c r="AW459" s="1">
        <v>449</v>
      </c>
    </row>
    <row r="460" spans="49:49">
      <c r="AW460" s="1">
        <v>450</v>
      </c>
    </row>
    <row r="461" spans="49:49">
      <c r="AW461" s="1">
        <v>451</v>
      </c>
    </row>
    <row r="462" spans="49:49">
      <c r="AW462" s="1">
        <v>452</v>
      </c>
    </row>
    <row r="463" spans="49:49">
      <c r="AW463" s="1">
        <v>453</v>
      </c>
    </row>
    <row r="464" spans="49:49">
      <c r="AW464" s="1">
        <v>454</v>
      </c>
    </row>
    <row r="465" spans="49:49">
      <c r="AW465" s="1">
        <v>455</v>
      </c>
    </row>
    <row r="466" spans="49:49">
      <c r="AW466" s="1">
        <v>456</v>
      </c>
    </row>
    <row r="467" spans="49:49">
      <c r="AW467" s="1">
        <v>457</v>
      </c>
    </row>
    <row r="468" spans="49:49">
      <c r="AW468" s="1">
        <v>458</v>
      </c>
    </row>
    <row r="469" spans="49:49">
      <c r="AW469" s="1">
        <v>459</v>
      </c>
    </row>
    <row r="470" spans="49:49">
      <c r="AW470" s="1">
        <v>460</v>
      </c>
    </row>
    <row r="471" spans="49:49">
      <c r="AW471" s="1">
        <v>461</v>
      </c>
    </row>
    <row r="472" spans="49:49">
      <c r="AW472" s="1">
        <v>462</v>
      </c>
    </row>
    <row r="473" spans="49:49">
      <c r="AW473" s="1">
        <v>463</v>
      </c>
    </row>
    <row r="474" spans="49:49">
      <c r="AW474" s="1">
        <v>464</v>
      </c>
    </row>
    <row r="475" spans="49:49">
      <c r="AW475" s="1">
        <v>465</v>
      </c>
    </row>
    <row r="476" spans="49:49">
      <c r="AW476" s="1">
        <v>466</v>
      </c>
    </row>
    <row r="477" spans="49:49">
      <c r="AW477" s="1">
        <v>467</v>
      </c>
    </row>
    <row r="478" spans="49:49">
      <c r="AW478" s="1">
        <v>468</v>
      </c>
    </row>
    <row r="479" spans="49:49">
      <c r="AW479" s="1">
        <v>469</v>
      </c>
    </row>
    <row r="480" spans="49:49">
      <c r="AW480" s="1">
        <v>470</v>
      </c>
    </row>
    <row r="481" spans="49:49">
      <c r="AW481" s="1">
        <v>471</v>
      </c>
    </row>
    <row r="482" spans="49:49">
      <c r="AW482" s="1">
        <v>472</v>
      </c>
    </row>
    <row r="483" spans="49:49">
      <c r="AW483" s="1">
        <v>473</v>
      </c>
    </row>
    <row r="484" spans="49:49">
      <c r="AW484" s="1">
        <v>474</v>
      </c>
    </row>
    <row r="485" spans="49:49">
      <c r="AW485" s="1">
        <v>475</v>
      </c>
    </row>
    <row r="486" spans="49:49">
      <c r="AW486" s="1">
        <v>476</v>
      </c>
    </row>
    <row r="487" spans="49:49">
      <c r="AW487" s="1">
        <v>477</v>
      </c>
    </row>
    <row r="488" spans="49:49">
      <c r="AW488" s="1">
        <v>478</v>
      </c>
    </row>
    <row r="489" spans="49:49">
      <c r="AW489" s="1">
        <v>479</v>
      </c>
    </row>
    <row r="490" spans="49:49">
      <c r="AW490" s="1">
        <v>480</v>
      </c>
    </row>
    <row r="491" spans="49:49">
      <c r="AW491" s="1">
        <v>481</v>
      </c>
    </row>
    <row r="492" spans="49:49">
      <c r="AW492" s="1">
        <v>482</v>
      </c>
    </row>
    <row r="493" spans="49:49">
      <c r="AW493" s="1">
        <v>483</v>
      </c>
    </row>
    <row r="494" spans="49:49">
      <c r="AW494" s="1">
        <v>484</v>
      </c>
    </row>
    <row r="495" spans="49:49">
      <c r="AW495" s="1">
        <v>485</v>
      </c>
    </row>
    <row r="496" spans="49:49">
      <c r="AW496" s="1">
        <v>486</v>
      </c>
    </row>
    <row r="497" spans="49:49">
      <c r="AW497" s="1">
        <v>487</v>
      </c>
    </row>
    <row r="498" spans="49:49">
      <c r="AW498" s="1">
        <v>488</v>
      </c>
    </row>
    <row r="499" spans="49:49">
      <c r="AW499" s="1">
        <v>489</v>
      </c>
    </row>
    <row r="500" spans="49:49">
      <c r="AW500" s="1">
        <v>490</v>
      </c>
    </row>
    <row r="501" spans="49:49">
      <c r="AW501" s="1">
        <v>491</v>
      </c>
    </row>
    <row r="502" spans="49:49">
      <c r="AW502" s="1">
        <v>492</v>
      </c>
    </row>
    <row r="503" spans="49:49">
      <c r="AW503" s="1">
        <v>493</v>
      </c>
    </row>
    <row r="504" spans="49:49">
      <c r="AW504" s="1">
        <v>494</v>
      </c>
    </row>
    <row r="505" spans="49:49">
      <c r="AW505" s="1">
        <v>495</v>
      </c>
    </row>
    <row r="506" spans="49:49">
      <c r="AW506" s="1">
        <v>496</v>
      </c>
    </row>
    <row r="507" spans="49:49">
      <c r="AW507" s="1">
        <v>497</v>
      </c>
    </row>
    <row r="508" spans="49:49">
      <c r="AW508" s="1">
        <v>498</v>
      </c>
    </row>
    <row r="509" spans="49:49">
      <c r="AW509" s="1">
        <v>499</v>
      </c>
    </row>
    <row r="510" spans="49:49">
      <c r="AW510" s="1">
        <v>500</v>
      </c>
    </row>
    <row r="511" spans="49:49">
      <c r="AW511" s="1">
        <v>501</v>
      </c>
    </row>
    <row r="512" spans="49:49">
      <c r="AW512" s="1">
        <v>502</v>
      </c>
    </row>
    <row r="513" spans="49:49">
      <c r="AW513" s="1">
        <v>503</v>
      </c>
    </row>
    <row r="514" spans="49:49">
      <c r="AW514" s="1">
        <v>504</v>
      </c>
    </row>
    <row r="515" spans="49:49">
      <c r="AW515" s="1">
        <v>505</v>
      </c>
    </row>
    <row r="516" spans="49:49">
      <c r="AW516" s="1">
        <v>506</v>
      </c>
    </row>
    <row r="517" spans="49:49">
      <c r="AW517" s="1">
        <v>507</v>
      </c>
    </row>
    <row r="518" spans="49:49">
      <c r="AW518" s="1">
        <v>508</v>
      </c>
    </row>
    <row r="519" spans="49:49">
      <c r="AW519" s="1">
        <v>509</v>
      </c>
    </row>
    <row r="520" spans="49:49">
      <c r="AW520" s="1">
        <v>510</v>
      </c>
    </row>
    <row r="521" spans="49:49">
      <c r="AW521" s="1">
        <v>511</v>
      </c>
    </row>
    <row r="522" spans="49:49">
      <c r="AW522" s="1">
        <v>512</v>
      </c>
    </row>
    <row r="523" spans="49:49">
      <c r="AW523" s="1">
        <v>513</v>
      </c>
    </row>
    <row r="524" spans="49:49">
      <c r="AW524" s="1">
        <v>514</v>
      </c>
    </row>
    <row r="525" spans="49:49">
      <c r="AW525" s="1">
        <v>515</v>
      </c>
    </row>
    <row r="526" spans="49:49">
      <c r="AW526" s="1">
        <v>516</v>
      </c>
    </row>
    <row r="527" spans="49:49">
      <c r="AW527" s="1">
        <v>517</v>
      </c>
    </row>
    <row r="528" spans="49:49">
      <c r="AW528" s="1">
        <v>518</v>
      </c>
    </row>
    <row r="529" spans="49:49">
      <c r="AW529" s="1">
        <v>519</v>
      </c>
    </row>
    <row r="530" spans="49:49">
      <c r="AW530" s="1">
        <v>520</v>
      </c>
    </row>
    <row r="531" spans="49:49">
      <c r="AW531" s="1">
        <v>521</v>
      </c>
    </row>
    <row r="532" spans="49:49">
      <c r="AW532" s="1">
        <v>522</v>
      </c>
    </row>
    <row r="533" spans="49:49">
      <c r="AW533" s="1">
        <v>523</v>
      </c>
    </row>
    <row r="534" spans="49:49">
      <c r="AW534" s="1">
        <v>524</v>
      </c>
    </row>
    <row r="535" spans="49:49">
      <c r="AW535" s="1">
        <v>525</v>
      </c>
    </row>
    <row r="536" spans="49:49">
      <c r="AW536" s="1">
        <v>526</v>
      </c>
    </row>
    <row r="537" spans="49:49">
      <c r="AW537" s="1">
        <v>527</v>
      </c>
    </row>
    <row r="538" spans="49:49">
      <c r="AW538" s="1">
        <v>528</v>
      </c>
    </row>
    <row r="539" spans="49:49">
      <c r="AW539" s="1">
        <v>529</v>
      </c>
    </row>
    <row r="540" spans="49:49">
      <c r="AW540" s="1">
        <v>530</v>
      </c>
    </row>
    <row r="541" spans="49:49">
      <c r="AW541" s="1">
        <v>531</v>
      </c>
    </row>
    <row r="542" spans="49:49">
      <c r="AW542" s="1">
        <v>532</v>
      </c>
    </row>
    <row r="543" spans="49:49">
      <c r="AW543" s="1">
        <v>533</v>
      </c>
    </row>
    <row r="544" spans="49:49">
      <c r="AW544" s="1">
        <v>534</v>
      </c>
    </row>
    <row r="545" spans="49:49">
      <c r="AW545" s="1">
        <v>535</v>
      </c>
    </row>
    <row r="546" spans="49:49">
      <c r="AW546" s="1">
        <v>536</v>
      </c>
    </row>
    <row r="547" spans="49:49">
      <c r="AW547" s="1">
        <v>537</v>
      </c>
    </row>
    <row r="548" spans="49:49">
      <c r="AW548" s="1">
        <v>538</v>
      </c>
    </row>
    <row r="549" spans="49:49">
      <c r="AW549" s="1">
        <v>539</v>
      </c>
    </row>
    <row r="550" spans="49:49">
      <c r="AW550" s="1">
        <v>540</v>
      </c>
    </row>
    <row r="551" spans="49:49">
      <c r="AW551" s="1">
        <v>541</v>
      </c>
    </row>
    <row r="552" spans="49:49">
      <c r="AW552" s="1">
        <v>542</v>
      </c>
    </row>
    <row r="553" spans="49:49">
      <c r="AW553" s="1">
        <v>543</v>
      </c>
    </row>
    <row r="554" spans="49:49">
      <c r="AW554" s="1">
        <v>544</v>
      </c>
    </row>
    <row r="555" spans="49:49">
      <c r="AW555" s="1">
        <v>545</v>
      </c>
    </row>
    <row r="556" spans="49:49">
      <c r="AW556" s="1">
        <v>546</v>
      </c>
    </row>
    <row r="557" spans="49:49">
      <c r="AW557" s="1">
        <v>547</v>
      </c>
    </row>
    <row r="558" spans="49:49">
      <c r="AW558" s="1">
        <v>548</v>
      </c>
    </row>
    <row r="559" spans="49:49">
      <c r="AW559" s="1">
        <v>549</v>
      </c>
    </row>
    <row r="560" spans="49:49">
      <c r="AW560" s="1">
        <v>550</v>
      </c>
    </row>
    <row r="561" spans="49:49">
      <c r="AW561" s="1">
        <v>551</v>
      </c>
    </row>
    <row r="562" spans="49:49">
      <c r="AW562" s="1">
        <v>552</v>
      </c>
    </row>
    <row r="563" spans="49:49">
      <c r="AW563" s="1">
        <v>553</v>
      </c>
    </row>
    <row r="564" spans="49:49">
      <c r="AW564" s="1">
        <v>554</v>
      </c>
    </row>
    <row r="565" spans="49:49">
      <c r="AW565" s="1">
        <v>555</v>
      </c>
    </row>
    <row r="566" spans="49:49">
      <c r="AW566" s="1">
        <v>556</v>
      </c>
    </row>
    <row r="567" spans="49:49">
      <c r="AW567" s="1">
        <v>557</v>
      </c>
    </row>
    <row r="568" spans="49:49">
      <c r="AW568" s="1">
        <v>558</v>
      </c>
    </row>
    <row r="569" spans="49:49">
      <c r="AW569" s="1">
        <v>559</v>
      </c>
    </row>
    <row r="570" spans="49:49">
      <c r="AW570" s="1">
        <v>560</v>
      </c>
    </row>
    <row r="571" spans="49:49">
      <c r="AW571" s="1">
        <v>561</v>
      </c>
    </row>
    <row r="572" spans="49:49">
      <c r="AW572" s="1">
        <v>562</v>
      </c>
    </row>
    <row r="573" spans="49:49">
      <c r="AW573" s="1">
        <v>563</v>
      </c>
    </row>
    <row r="574" spans="49:49">
      <c r="AW574" s="1">
        <v>564</v>
      </c>
    </row>
    <row r="575" spans="49:49">
      <c r="AW575" s="1">
        <v>565</v>
      </c>
    </row>
    <row r="576" spans="49:49">
      <c r="AW576" s="1">
        <v>566</v>
      </c>
    </row>
    <row r="577" spans="49:49">
      <c r="AW577" s="1">
        <v>567</v>
      </c>
    </row>
    <row r="578" spans="49:49">
      <c r="AW578" s="1">
        <v>568</v>
      </c>
    </row>
    <row r="579" spans="49:49">
      <c r="AW579" s="1">
        <v>569</v>
      </c>
    </row>
    <row r="580" spans="49:49">
      <c r="AW580" s="1">
        <v>570</v>
      </c>
    </row>
    <row r="581" spans="49:49">
      <c r="AW581" s="1">
        <v>571</v>
      </c>
    </row>
    <row r="582" spans="49:49">
      <c r="AW582" s="1">
        <v>572</v>
      </c>
    </row>
    <row r="583" spans="49:49">
      <c r="AW583" s="1">
        <v>573</v>
      </c>
    </row>
    <row r="584" spans="49:49">
      <c r="AW584" s="1">
        <v>574</v>
      </c>
    </row>
    <row r="585" spans="49:49">
      <c r="AW585" s="1">
        <v>575</v>
      </c>
    </row>
    <row r="586" spans="49:49">
      <c r="AW586" s="1">
        <v>576</v>
      </c>
    </row>
    <row r="587" spans="49:49">
      <c r="AW587" s="1">
        <v>577</v>
      </c>
    </row>
    <row r="588" spans="49:49">
      <c r="AW588" s="1">
        <v>578</v>
      </c>
    </row>
    <row r="589" spans="49:49">
      <c r="AW589" s="1">
        <v>579</v>
      </c>
    </row>
    <row r="590" spans="49:49">
      <c r="AW590" s="1">
        <v>580</v>
      </c>
    </row>
    <row r="591" spans="49:49">
      <c r="AW591" s="1">
        <v>581</v>
      </c>
    </row>
    <row r="592" spans="49:49">
      <c r="AW592" s="1">
        <v>582</v>
      </c>
    </row>
    <row r="593" spans="49:49">
      <c r="AW593" s="1">
        <v>583</v>
      </c>
    </row>
    <row r="594" spans="49:49">
      <c r="AW594" s="1">
        <v>584</v>
      </c>
    </row>
    <row r="595" spans="49:49">
      <c r="AW595" s="1">
        <v>585</v>
      </c>
    </row>
    <row r="596" spans="49:49">
      <c r="AW596" s="1">
        <v>586</v>
      </c>
    </row>
    <row r="597" spans="49:49">
      <c r="AW597" s="1">
        <v>587</v>
      </c>
    </row>
    <row r="598" spans="49:49">
      <c r="AW598" s="1">
        <v>588</v>
      </c>
    </row>
    <row r="599" spans="49:49">
      <c r="AW599" s="1">
        <v>589</v>
      </c>
    </row>
    <row r="600" spans="49:49">
      <c r="AW600" s="1">
        <v>590</v>
      </c>
    </row>
    <row r="601" spans="49:49">
      <c r="AW601" s="1">
        <v>591</v>
      </c>
    </row>
    <row r="602" spans="49:49">
      <c r="AW602" s="1">
        <v>592</v>
      </c>
    </row>
    <row r="603" spans="49:49">
      <c r="AW603" s="1">
        <v>593</v>
      </c>
    </row>
    <row r="604" spans="49:49">
      <c r="AW604" s="1">
        <v>594</v>
      </c>
    </row>
    <row r="605" spans="49:49">
      <c r="AW605" s="1">
        <v>595</v>
      </c>
    </row>
    <row r="606" spans="49:49">
      <c r="AW606" s="1">
        <v>596</v>
      </c>
    </row>
    <row r="607" spans="49:49">
      <c r="AW607" s="1">
        <v>597</v>
      </c>
    </row>
    <row r="608" spans="49:49">
      <c r="AW608" s="1">
        <v>598</v>
      </c>
    </row>
    <row r="609" spans="49:49">
      <c r="AW609" s="1">
        <v>599</v>
      </c>
    </row>
    <row r="610" spans="49:49">
      <c r="AW610" s="1">
        <v>600</v>
      </c>
    </row>
    <row r="611" spans="49:49">
      <c r="AW611" s="1">
        <v>601</v>
      </c>
    </row>
    <row r="612" spans="49:49">
      <c r="AW612" s="1">
        <v>602</v>
      </c>
    </row>
    <row r="613" spans="49:49">
      <c r="AW613" s="1">
        <v>603</v>
      </c>
    </row>
    <row r="614" spans="49:49">
      <c r="AW614" s="1">
        <v>604</v>
      </c>
    </row>
    <row r="615" spans="49:49">
      <c r="AW615" s="1">
        <v>605</v>
      </c>
    </row>
    <row r="616" spans="49:49">
      <c r="AW616" s="1">
        <v>606</v>
      </c>
    </row>
    <row r="617" spans="49:49">
      <c r="AW617" s="1">
        <v>607</v>
      </c>
    </row>
    <row r="618" spans="49:49">
      <c r="AW618" s="1">
        <v>608</v>
      </c>
    </row>
    <row r="619" spans="49:49">
      <c r="AW619" s="1">
        <v>609</v>
      </c>
    </row>
    <row r="620" spans="49:49">
      <c r="AW620" s="1">
        <v>610</v>
      </c>
    </row>
    <row r="621" spans="49:49">
      <c r="AW621" s="1">
        <v>611</v>
      </c>
    </row>
    <row r="622" spans="49:49">
      <c r="AW622" s="1">
        <v>612</v>
      </c>
    </row>
    <row r="623" spans="49:49">
      <c r="AW623" s="1">
        <v>613</v>
      </c>
    </row>
    <row r="624" spans="49:49">
      <c r="AW624" s="1">
        <v>614</v>
      </c>
    </row>
    <row r="625" spans="49:49">
      <c r="AW625" s="1">
        <v>615</v>
      </c>
    </row>
    <row r="626" spans="49:49">
      <c r="AW626" s="1">
        <v>616</v>
      </c>
    </row>
    <row r="627" spans="49:49">
      <c r="AW627" s="1">
        <v>617</v>
      </c>
    </row>
    <row r="628" spans="49:49">
      <c r="AW628" s="1">
        <v>618</v>
      </c>
    </row>
    <row r="629" spans="49:49">
      <c r="AW629" s="1">
        <v>619</v>
      </c>
    </row>
    <row r="630" spans="49:49">
      <c r="AW630" s="1">
        <v>620</v>
      </c>
    </row>
    <row r="631" spans="49:49">
      <c r="AW631" s="1">
        <v>621</v>
      </c>
    </row>
    <row r="632" spans="49:49">
      <c r="AW632" s="1">
        <v>622</v>
      </c>
    </row>
    <row r="633" spans="49:49">
      <c r="AW633" s="1">
        <v>623</v>
      </c>
    </row>
    <row r="634" spans="49:49">
      <c r="AW634" s="1">
        <v>624</v>
      </c>
    </row>
    <row r="635" spans="49:49">
      <c r="AW635" s="1">
        <v>625</v>
      </c>
    </row>
    <row r="636" spans="49:49">
      <c r="AW636" s="1">
        <v>626</v>
      </c>
    </row>
    <row r="637" spans="49:49">
      <c r="AW637" s="1">
        <v>627</v>
      </c>
    </row>
    <row r="638" spans="49:49">
      <c r="AW638" s="1">
        <v>628</v>
      </c>
    </row>
    <row r="639" spans="49:49">
      <c r="AW639" s="1">
        <v>629</v>
      </c>
    </row>
    <row r="640" spans="49:49">
      <c r="AW640" s="1">
        <v>630</v>
      </c>
    </row>
    <row r="641" spans="49:49">
      <c r="AW641" s="1">
        <v>631</v>
      </c>
    </row>
    <row r="642" spans="49:49">
      <c r="AW642" s="1">
        <v>632</v>
      </c>
    </row>
    <row r="643" spans="49:49">
      <c r="AW643" s="1">
        <v>633</v>
      </c>
    </row>
    <row r="644" spans="49:49">
      <c r="AW644" s="1">
        <v>634</v>
      </c>
    </row>
    <row r="645" spans="49:49">
      <c r="AW645" s="1">
        <v>635</v>
      </c>
    </row>
    <row r="646" spans="49:49">
      <c r="AW646" s="1">
        <v>636</v>
      </c>
    </row>
    <row r="647" spans="49:49">
      <c r="AW647" s="1">
        <v>637</v>
      </c>
    </row>
    <row r="648" spans="49:49">
      <c r="AW648" s="1">
        <v>638</v>
      </c>
    </row>
    <row r="649" spans="49:49">
      <c r="AW649" s="1">
        <v>639</v>
      </c>
    </row>
    <row r="650" spans="49:49">
      <c r="AW650" s="1">
        <v>640</v>
      </c>
    </row>
    <row r="651" spans="49:49">
      <c r="AW651" s="1">
        <v>641</v>
      </c>
    </row>
    <row r="652" spans="49:49">
      <c r="AW652" s="1">
        <v>642</v>
      </c>
    </row>
    <row r="653" spans="49:49">
      <c r="AW653" s="1">
        <v>643</v>
      </c>
    </row>
    <row r="654" spans="49:49">
      <c r="AW654" s="1">
        <v>644</v>
      </c>
    </row>
    <row r="655" spans="49:49">
      <c r="AW655" s="1">
        <v>645</v>
      </c>
    </row>
    <row r="656" spans="49:49">
      <c r="AW656" s="1">
        <v>646</v>
      </c>
    </row>
    <row r="657" spans="49:49">
      <c r="AW657" s="1">
        <v>647</v>
      </c>
    </row>
    <row r="658" spans="49:49">
      <c r="AW658" s="1">
        <v>648</v>
      </c>
    </row>
    <row r="659" spans="49:49">
      <c r="AW659" s="1">
        <v>649</v>
      </c>
    </row>
    <row r="660" spans="49:49">
      <c r="AW660" s="1">
        <v>650</v>
      </c>
    </row>
    <row r="661" spans="49:49">
      <c r="AW661" s="1">
        <v>651</v>
      </c>
    </row>
    <row r="662" spans="49:49">
      <c r="AW662" s="1">
        <v>652</v>
      </c>
    </row>
    <row r="663" spans="49:49">
      <c r="AW663" s="1">
        <v>653</v>
      </c>
    </row>
    <row r="664" spans="49:49">
      <c r="AW664" s="1">
        <v>654</v>
      </c>
    </row>
    <row r="665" spans="49:49">
      <c r="AW665" s="1">
        <v>655</v>
      </c>
    </row>
    <row r="666" spans="49:49">
      <c r="AW666" s="1">
        <v>656</v>
      </c>
    </row>
    <row r="667" spans="49:49">
      <c r="AW667" s="1">
        <v>657</v>
      </c>
    </row>
    <row r="668" spans="49:49">
      <c r="AW668" s="1">
        <v>658</v>
      </c>
    </row>
    <row r="669" spans="49:49">
      <c r="AW669" s="1">
        <v>659</v>
      </c>
    </row>
    <row r="670" spans="49:49">
      <c r="AW670" s="1">
        <v>660</v>
      </c>
    </row>
    <row r="671" spans="49:49">
      <c r="AW671" s="1">
        <v>661</v>
      </c>
    </row>
    <row r="672" spans="49:49">
      <c r="AW672" s="1">
        <v>662</v>
      </c>
    </row>
    <row r="673" spans="49:49">
      <c r="AW673" s="1">
        <v>663</v>
      </c>
    </row>
    <row r="674" spans="49:49">
      <c r="AW674" s="1">
        <v>664</v>
      </c>
    </row>
    <row r="675" spans="49:49">
      <c r="AW675" s="1">
        <v>665</v>
      </c>
    </row>
    <row r="676" spans="49:49">
      <c r="AW676" s="1">
        <v>666</v>
      </c>
    </row>
    <row r="677" spans="49:49">
      <c r="AW677" s="1">
        <v>667</v>
      </c>
    </row>
    <row r="678" spans="49:49">
      <c r="AW678" s="1">
        <v>668</v>
      </c>
    </row>
    <row r="679" spans="49:49">
      <c r="AW679" s="1">
        <v>669</v>
      </c>
    </row>
    <row r="680" spans="49:49">
      <c r="AW680" s="1">
        <v>670</v>
      </c>
    </row>
    <row r="681" spans="49:49">
      <c r="AW681" s="1">
        <v>671</v>
      </c>
    </row>
    <row r="682" spans="49:49">
      <c r="AW682" s="1">
        <v>672</v>
      </c>
    </row>
    <row r="683" spans="49:49">
      <c r="AW683" s="1">
        <v>673</v>
      </c>
    </row>
    <row r="684" spans="49:49">
      <c r="AW684" s="1">
        <v>674</v>
      </c>
    </row>
    <row r="685" spans="49:49">
      <c r="AW685" s="1">
        <v>675</v>
      </c>
    </row>
    <row r="686" spans="49:49">
      <c r="AW686" s="1">
        <v>676</v>
      </c>
    </row>
    <row r="687" spans="49:49">
      <c r="AW687" s="1">
        <v>677</v>
      </c>
    </row>
    <row r="688" spans="49:49">
      <c r="AW688" s="1">
        <v>678</v>
      </c>
    </row>
    <row r="689" spans="49:49">
      <c r="AW689" s="1">
        <v>679</v>
      </c>
    </row>
    <row r="690" spans="49:49">
      <c r="AW690" s="1">
        <v>680</v>
      </c>
    </row>
    <row r="691" spans="49:49">
      <c r="AW691" s="1">
        <v>681</v>
      </c>
    </row>
    <row r="692" spans="49:49">
      <c r="AW692" s="1">
        <v>682</v>
      </c>
    </row>
    <row r="693" spans="49:49">
      <c r="AW693" s="1">
        <v>683</v>
      </c>
    </row>
    <row r="694" spans="49:49">
      <c r="AW694" s="1">
        <v>684</v>
      </c>
    </row>
    <row r="695" spans="49:49">
      <c r="AW695" s="1">
        <v>685</v>
      </c>
    </row>
    <row r="696" spans="49:49">
      <c r="AW696" s="1">
        <v>686</v>
      </c>
    </row>
    <row r="697" spans="49:49">
      <c r="AW697" s="1">
        <v>687</v>
      </c>
    </row>
    <row r="698" spans="49:49">
      <c r="AW698" s="1">
        <v>688</v>
      </c>
    </row>
    <row r="699" spans="49:49">
      <c r="AW699" s="1">
        <v>689</v>
      </c>
    </row>
    <row r="700" spans="49:49">
      <c r="AW700" s="1">
        <v>690</v>
      </c>
    </row>
    <row r="701" spans="49:49">
      <c r="AW701" s="1">
        <v>691</v>
      </c>
    </row>
    <row r="702" spans="49:49">
      <c r="AW702" s="1">
        <v>692</v>
      </c>
    </row>
    <row r="703" spans="49:49">
      <c r="AW703" s="1">
        <v>693</v>
      </c>
    </row>
    <row r="704" spans="49:49">
      <c r="AW704" s="1">
        <v>694</v>
      </c>
    </row>
    <row r="705" spans="49:49">
      <c r="AW705" s="1">
        <v>695</v>
      </c>
    </row>
    <row r="706" spans="49:49">
      <c r="AW706" s="1">
        <v>696</v>
      </c>
    </row>
    <row r="707" spans="49:49">
      <c r="AW707" s="1">
        <v>697</v>
      </c>
    </row>
    <row r="708" spans="49:49">
      <c r="AW708" s="1">
        <v>698</v>
      </c>
    </row>
    <row r="709" spans="49:49">
      <c r="AW709" s="1">
        <v>699</v>
      </c>
    </row>
    <row r="710" spans="49:49">
      <c r="AW710" s="1">
        <v>700</v>
      </c>
    </row>
    <row r="711" spans="49:49">
      <c r="AW711" s="1">
        <v>701</v>
      </c>
    </row>
    <row r="712" spans="49:49">
      <c r="AW712" s="1">
        <v>702</v>
      </c>
    </row>
    <row r="713" spans="49:49">
      <c r="AW713" s="1">
        <v>703</v>
      </c>
    </row>
    <row r="714" spans="49:49">
      <c r="AW714" s="1">
        <v>704</v>
      </c>
    </row>
    <row r="715" spans="49:49">
      <c r="AW715" s="1">
        <v>705</v>
      </c>
    </row>
    <row r="716" spans="49:49">
      <c r="AW716" s="1">
        <v>706</v>
      </c>
    </row>
    <row r="717" spans="49:49">
      <c r="AW717" s="1">
        <v>707</v>
      </c>
    </row>
    <row r="718" spans="49:49">
      <c r="AW718" s="1">
        <v>708</v>
      </c>
    </row>
    <row r="719" spans="49:49">
      <c r="AW719" s="1">
        <v>709</v>
      </c>
    </row>
    <row r="720" spans="49:49">
      <c r="AW720" s="1">
        <v>710</v>
      </c>
    </row>
    <row r="721" spans="49:49">
      <c r="AW721" s="1">
        <v>711</v>
      </c>
    </row>
    <row r="722" spans="49:49">
      <c r="AW722" s="1">
        <v>712</v>
      </c>
    </row>
    <row r="723" spans="49:49">
      <c r="AW723" s="1">
        <v>713</v>
      </c>
    </row>
    <row r="724" spans="49:49">
      <c r="AW724" s="1">
        <v>714</v>
      </c>
    </row>
    <row r="725" spans="49:49">
      <c r="AW725" s="1">
        <v>715</v>
      </c>
    </row>
    <row r="726" spans="49:49">
      <c r="AW726" s="1">
        <v>716</v>
      </c>
    </row>
    <row r="727" spans="49:49">
      <c r="AW727" s="1">
        <v>717</v>
      </c>
    </row>
    <row r="728" spans="49:49">
      <c r="AW728" s="1">
        <v>718</v>
      </c>
    </row>
    <row r="729" spans="49:49">
      <c r="AW729" s="1">
        <v>719</v>
      </c>
    </row>
    <row r="730" spans="49:49">
      <c r="AW730" s="1">
        <v>720</v>
      </c>
    </row>
    <row r="731" spans="49:49">
      <c r="AW731" s="1">
        <v>721</v>
      </c>
    </row>
    <row r="732" spans="49:49">
      <c r="AW732" s="1">
        <v>722</v>
      </c>
    </row>
    <row r="733" spans="49:49">
      <c r="AW733" s="1">
        <v>723</v>
      </c>
    </row>
    <row r="734" spans="49:49">
      <c r="AW734" s="1">
        <v>724</v>
      </c>
    </row>
    <row r="735" spans="49:49">
      <c r="AW735" s="1">
        <v>725</v>
      </c>
    </row>
    <row r="736" spans="49:49">
      <c r="AW736" s="1">
        <v>726</v>
      </c>
    </row>
    <row r="737" spans="49:49">
      <c r="AW737" s="1">
        <v>727</v>
      </c>
    </row>
    <row r="738" spans="49:49">
      <c r="AW738" s="1">
        <v>728</v>
      </c>
    </row>
    <row r="739" spans="49:49">
      <c r="AW739" s="1">
        <v>729</v>
      </c>
    </row>
    <row r="740" spans="49:49">
      <c r="AW740" s="1">
        <v>730</v>
      </c>
    </row>
    <row r="741" spans="49:49">
      <c r="AW741" s="1">
        <v>731</v>
      </c>
    </row>
    <row r="742" spans="49:49">
      <c r="AW742" s="1">
        <v>732</v>
      </c>
    </row>
    <row r="743" spans="49:49">
      <c r="AW743" s="1">
        <v>733</v>
      </c>
    </row>
    <row r="744" spans="49:49">
      <c r="AW744" s="1">
        <v>734</v>
      </c>
    </row>
    <row r="745" spans="49:49">
      <c r="AW745" s="1">
        <v>735</v>
      </c>
    </row>
    <row r="746" spans="49:49">
      <c r="AW746" s="1">
        <v>736</v>
      </c>
    </row>
    <row r="747" spans="49:49">
      <c r="AW747" s="1">
        <v>737</v>
      </c>
    </row>
    <row r="748" spans="49:49">
      <c r="AW748" s="1">
        <v>738</v>
      </c>
    </row>
    <row r="749" spans="49:49">
      <c r="AW749" s="1">
        <v>739</v>
      </c>
    </row>
    <row r="750" spans="49:49">
      <c r="AW750" s="1">
        <v>740</v>
      </c>
    </row>
    <row r="751" spans="49:49">
      <c r="AW751" s="1">
        <v>741</v>
      </c>
    </row>
    <row r="752" spans="49:49">
      <c r="AW752" s="1">
        <v>742</v>
      </c>
    </row>
    <row r="753" spans="49:49">
      <c r="AW753" s="1">
        <v>743</v>
      </c>
    </row>
    <row r="754" spans="49:49">
      <c r="AW754" s="1">
        <v>744</v>
      </c>
    </row>
    <row r="755" spans="49:49">
      <c r="AW755" s="1">
        <v>745</v>
      </c>
    </row>
    <row r="756" spans="49:49">
      <c r="AW756" s="1">
        <v>746</v>
      </c>
    </row>
    <row r="757" spans="49:49">
      <c r="AW757" s="1">
        <v>747</v>
      </c>
    </row>
    <row r="758" spans="49:49">
      <c r="AW758" s="1">
        <v>748</v>
      </c>
    </row>
    <row r="759" spans="49:49">
      <c r="AW759" s="1">
        <v>749</v>
      </c>
    </row>
    <row r="760" spans="49:49">
      <c r="AW760" s="1">
        <v>750</v>
      </c>
    </row>
    <row r="761" spans="49:49">
      <c r="AW761" s="1">
        <v>751</v>
      </c>
    </row>
    <row r="762" spans="49:49">
      <c r="AW762" s="1">
        <v>752</v>
      </c>
    </row>
    <row r="763" spans="49:49">
      <c r="AW763" s="1">
        <v>753</v>
      </c>
    </row>
    <row r="764" spans="49:49">
      <c r="AW764" s="1">
        <v>754</v>
      </c>
    </row>
    <row r="765" spans="49:49">
      <c r="AW765" s="1">
        <v>755</v>
      </c>
    </row>
    <row r="766" spans="49:49">
      <c r="AW766" s="1">
        <v>756</v>
      </c>
    </row>
    <row r="767" spans="49:49">
      <c r="AW767" s="1">
        <v>757</v>
      </c>
    </row>
    <row r="768" spans="49:49">
      <c r="AW768" s="1">
        <v>758</v>
      </c>
    </row>
    <row r="769" spans="49:49">
      <c r="AW769" s="1">
        <v>759</v>
      </c>
    </row>
    <row r="770" spans="49:49">
      <c r="AW770" s="1">
        <v>760</v>
      </c>
    </row>
    <row r="771" spans="49:49">
      <c r="AW771" s="1">
        <v>761</v>
      </c>
    </row>
    <row r="772" spans="49:49">
      <c r="AW772" s="1">
        <v>762</v>
      </c>
    </row>
    <row r="773" spans="49:49">
      <c r="AW773" s="1">
        <v>763</v>
      </c>
    </row>
    <row r="774" spans="49:49">
      <c r="AW774" s="1">
        <v>764</v>
      </c>
    </row>
    <row r="775" spans="49:49">
      <c r="AW775" s="1">
        <v>765</v>
      </c>
    </row>
    <row r="776" spans="49:49">
      <c r="AW776" s="1">
        <v>766</v>
      </c>
    </row>
    <row r="777" spans="49:49">
      <c r="AW777" s="1">
        <v>767</v>
      </c>
    </row>
    <row r="778" spans="49:49">
      <c r="AW778" s="1">
        <v>768</v>
      </c>
    </row>
    <row r="779" spans="49:49">
      <c r="AW779" s="1">
        <v>769</v>
      </c>
    </row>
    <row r="780" spans="49:49">
      <c r="AW780" s="1">
        <v>770</v>
      </c>
    </row>
    <row r="781" spans="49:49">
      <c r="AW781" s="1">
        <v>771</v>
      </c>
    </row>
    <row r="782" spans="49:49">
      <c r="AW782" s="1">
        <v>772</v>
      </c>
    </row>
    <row r="783" spans="49:49">
      <c r="AW783" s="1">
        <v>773</v>
      </c>
    </row>
    <row r="784" spans="49:49">
      <c r="AW784" s="1">
        <v>774</v>
      </c>
    </row>
    <row r="785" spans="49:49">
      <c r="AW785" s="1">
        <v>775</v>
      </c>
    </row>
    <row r="786" spans="49:49">
      <c r="AW786" s="1">
        <v>776</v>
      </c>
    </row>
    <row r="787" spans="49:49">
      <c r="AW787" s="1">
        <v>777</v>
      </c>
    </row>
    <row r="788" spans="49:49">
      <c r="AW788" s="1">
        <v>778</v>
      </c>
    </row>
    <row r="789" spans="49:49">
      <c r="AW789" s="1">
        <v>779</v>
      </c>
    </row>
    <row r="790" spans="49:49">
      <c r="AW790" s="1">
        <v>780</v>
      </c>
    </row>
    <row r="791" spans="49:49">
      <c r="AW791" s="1">
        <v>781</v>
      </c>
    </row>
    <row r="792" spans="49:49">
      <c r="AW792" s="1">
        <v>782</v>
      </c>
    </row>
    <row r="793" spans="49:49">
      <c r="AW793" s="1">
        <v>783</v>
      </c>
    </row>
    <row r="794" spans="49:49">
      <c r="AW794" s="1">
        <v>784</v>
      </c>
    </row>
    <row r="795" spans="49:49">
      <c r="AW795" s="1">
        <v>785</v>
      </c>
    </row>
    <row r="796" spans="49:49">
      <c r="AW796" s="1">
        <v>786</v>
      </c>
    </row>
    <row r="797" spans="49:49">
      <c r="AW797" s="1">
        <v>787</v>
      </c>
    </row>
    <row r="798" spans="49:49">
      <c r="AW798" s="1">
        <v>788</v>
      </c>
    </row>
    <row r="799" spans="49:49">
      <c r="AW799" s="1">
        <v>789</v>
      </c>
    </row>
    <row r="800" spans="49:49">
      <c r="AW800" s="1">
        <v>790</v>
      </c>
    </row>
    <row r="801" spans="49:49">
      <c r="AW801" s="1">
        <v>791</v>
      </c>
    </row>
    <row r="802" spans="49:49">
      <c r="AW802" s="1">
        <v>792</v>
      </c>
    </row>
    <row r="803" spans="49:49">
      <c r="AW803" s="1">
        <v>793</v>
      </c>
    </row>
    <row r="804" spans="49:49">
      <c r="AW804" s="1">
        <v>794</v>
      </c>
    </row>
    <row r="805" spans="49:49">
      <c r="AW805" s="1">
        <v>795</v>
      </c>
    </row>
    <row r="806" spans="49:49">
      <c r="AW806" s="1">
        <v>796</v>
      </c>
    </row>
    <row r="807" spans="49:49">
      <c r="AW807" s="1">
        <v>797</v>
      </c>
    </row>
    <row r="808" spans="49:49">
      <c r="AW808" s="1">
        <v>798</v>
      </c>
    </row>
    <row r="809" spans="49:49">
      <c r="AW809" s="1">
        <v>799</v>
      </c>
    </row>
    <row r="810" spans="49:49">
      <c r="AW810" s="1">
        <v>800</v>
      </c>
    </row>
    <row r="811" spans="49:49">
      <c r="AW811" s="1">
        <v>801</v>
      </c>
    </row>
    <row r="812" spans="49:49">
      <c r="AW812" s="1">
        <v>802</v>
      </c>
    </row>
    <row r="813" spans="49:49">
      <c r="AW813" s="1">
        <v>803</v>
      </c>
    </row>
    <row r="814" spans="49:49">
      <c r="AW814" s="1">
        <v>804</v>
      </c>
    </row>
    <row r="815" spans="49:49">
      <c r="AW815" s="1">
        <v>805</v>
      </c>
    </row>
    <row r="816" spans="49:49">
      <c r="AW816" s="1">
        <v>806</v>
      </c>
    </row>
    <row r="817" spans="49:49">
      <c r="AW817" s="1">
        <v>807</v>
      </c>
    </row>
    <row r="818" spans="49:49">
      <c r="AW818" s="1">
        <v>808</v>
      </c>
    </row>
    <row r="819" spans="49:49">
      <c r="AW819" s="1">
        <v>809</v>
      </c>
    </row>
    <row r="820" spans="49:49">
      <c r="AW820" s="1">
        <v>810</v>
      </c>
    </row>
    <row r="821" spans="49:49">
      <c r="AW821" s="1">
        <v>811</v>
      </c>
    </row>
    <row r="822" spans="49:49">
      <c r="AW822" s="1">
        <v>812</v>
      </c>
    </row>
    <row r="823" spans="49:49">
      <c r="AW823" s="1">
        <v>813</v>
      </c>
    </row>
    <row r="824" spans="49:49">
      <c r="AW824" s="1">
        <v>814</v>
      </c>
    </row>
    <row r="825" spans="49:49">
      <c r="AW825" s="1">
        <v>815</v>
      </c>
    </row>
    <row r="826" spans="49:49">
      <c r="AW826" s="1">
        <v>816</v>
      </c>
    </row>
    <row r="827" spans="49:49">
      <c r="AW827" s="1">
        <v>817</v>
      </c>
    </row>
    <row r="828" spans="49:49">
      <c r="AW828" s="1">
        <v>818</v>
      </c>
    </row>
    <row r="829" spans="49:49">
      <c r="AW829" s="1">
        <v>819</v>
      </c>
    </row>
    <row r="830" spans="49:49">
      <c r="AW830" s="1">
        <v>820</v>
      </c>
    </row>
    <row r="831" spans="49:49">
      <c r="AW831" s="1">
        <v>821</v>
      </c>
    </row>
    <row r="832" spans="49:49">
      <c r="AW832" s="1">
        <v>822</v>
      </c>
    </row>
    <row r="833" spans="49:49">
      <c r="AW833" s="1">
        <v>823</v>
      </c>
    </row>
    <row r="834" spans="49:49">
      <c r="AW834" s="1">
        <v>824</v>
      </c>
    </row>
    <row r="835" spans="49:49">
      <c r="AW835" s="1">
        <v>825</v>
      </c>
    </row>
    <row r="836" spans="49:49">
      <c r="AW836" s="1">
        <v>826</v>
      </c>
    </row>
    <row r="837" spans="49:49">
      <c r="AW837" s="1">
        <v>827</v>
      </c>
    </row>
    <row r="838" spans="49:49">
      <c r="AW838" s="1">
        <v>828</v>
      </c>
    </row>
    <row r="839" spans="49:49">
      <c r="AW839" s="1">
        <v>829</v>
      </c>
    </row>
    <row r="840" spans="49:49">
      <c r="AW840" s="1">
        <v>830</v>
      </c>
    </row>
    <row r="841" spans="49:49">
      <c r="AW841" s="1">
        <v>831</v>
      </c>
    </row>
    <row r="842" spans="49:49">
      <c r="AW842" s="1">
        <v>832</v>
      </c>
    </row>
    <row r="843" spans="49:49">
      <c r="AW843" s="1">
        <v>833</v>
      </c>
    </row>
    <row r="844" spans="49:49">
      <c r="AW844" s="1">
        <v>834</v>
      </c>
    </row>
    <row r="845" spans="49:49">
      <c r="AW845" s="1">
        <v>835</v>
      </c>
    </row>
    <row r="846" spans="49:49">
      <c r="AW846" s="1">
        <v>836</v>
      </c>
    </row>
    <row r="847" spans="49:49">
      <c r="AW847" s="1">
        <v>837</v>
      </c>
    </row>
    <row r="848" spans="49:49">
      <c r="AW848" s="1">
        <v>838</v>
      </c>
    </row>
    <row r="849" spans="49:49">
      <c r="AW849" s="1">
        <v>839</v>
      </c>
    </row>
    <row r="850" spans="49:49">
      <c r="AW850" s="1">
        <v>840</v>
      </c>
    </row>
    <row r="851" spans="49:49">
      <c r="AW851" s="1">
        <v>841</v>
      </c>
    </row>
    <row r="852" spans="49:49">
      <c r="AW852" s="1">
        <v>842</v>
      </c>
    </row>
    <row r="853" spans="49:49">
      <c r="AW853" s="1">
        <v>843</v>
      </c>
    </row>
    <row r="854" spans="49:49">
      <c r="AW854" s="1">
        <v>844</v>
      </c>
    </row>
    <row r="855" spans="49:49">
      <c r="AW855" s="1">
        <v>845</v>
      </c>
    </row>
    <row r="856" spans="49:49">
      <c r="AW856" s="1">
        <v>846</v>
      </c>
    </row>
    <row r="857" spans="49:49">
      <c r="AW857" s="1">
        <v>847</v>
      </c>
    </row>
    <row r="858" spans="49:49">
      <c r="AW858" s="1">
        <v>848</v>
      </c>
    </row>
    <row r="859" spans="49:49">
      <c r="AW859" s="1">
        <v>849</v>
      </c>
    </row>
    <row r="860" spans="49:49">
      <c r="AW860" s="1">
        <v>850</v>
      </c>
    </row>
    <row r="861" spans="49:49">
      <c r="AW861" s="1">
        <v>851</v>
      </c>
    </row>
    <row r="862" spans="49:49">
      <c r="AW862" s="1">
        <v>852</v>
      </c>
    </row>
    <row r="863" spans="49:49">
      <c r="AW863" s="1">
        <v>853</v>
      </c>
    </row>
    <row r="864" spans="49:49">
      <c r="AW864" s="1">
        <v>854</v>
      </c>
    </row>
    <row r="865" spans="49:49">
      <c r="AW865" s="1">
        <v>855</v>
      </c>
    </row>
    <row r="866" spans="49:49">
      <c r="AW866" s="1">
        <v>856</v>
      </c>
    </row>
    <row r="867" spans="49:49">
      <c r="AW867" s="1">
        <v>857</v>
      </c>
    </row>
    <row r="868" spans="49:49">
      <c r="AW868" s="1">
        <v>858</v>
      </c>
    </row>
    <row r="869" spans="49:49">
      <c r="AW869" s="1">
        <v>859</v>
      </c>
    </row>
    <row r="870" spans="49:49">
      <c r="AW870" s="1">
        <v>860</v>
      </c>
    </row>
    <row r="871" spans="49:49">
      <c r="AW871" s="1">
        <v>861</v>
      </c>
    </row>
    <row r="872" spans="49:49">
      <c r="AW872" s="1">
        <v>862</v>
      </c>
    </row>
    <row r="873" spans="49:49">
      <c r="AW873" s="1">
        <v>863</v>
      </c>
    </row>
    <row r="874" spans="49:49">
      <c r="AW874" s="1">
        <v>864</v>
      </c>
    </row>
    <row r="875" spans="49:49">
      <c r="AW875" s="1">
        <v>865</v>
      </c>
    </row>
    <row r="876" spans="49:49">
      <c r="AW876" s="1">
        <v>866</v>
      </c>
    </row>
    <row r="877" spans="49:49">
      <c r="AW877" s="1">
        <v>867</v>
      </c>
    </row>
    <row r="878" spans="49:49">
      <c r="AW878" s="1">
        <v>868</v>
      </c>
    </row>
    <row r="879" spans="49:49">
      <c r="AW879" s="1">
        <v>869</v>
      </c>
    </row>
    <row r="880" spans="49:49">
      <c r="AW880" s="1">
        <v>870</v>
      </c>
    </row>
    <row r="881" spans="49:49">
      <c r="AW881" s="1">
        <v>871</v>
      </c>
    </row>
    <row r="882" spans="49:49">
      <c r="AW882" s="1">
        <v>872</v>
      </c>
    </row>
    <row r="883" spans="49:49">
      <c r="AW883" s="1">
        <v>873</v>
      </c>
    </row>
    <row r="884" spans="49:49">
      <c r="AW884" s="1">
        <v>874</v>
      </c>
    </row>
    <row r="885" spans="49:49">
      <c r="AW885" s="1">
        <v>875</v>
      </c>
    </row>
    <row r="886" spans="49:49">
      <c r="AW886" s="1">
        <v>876</v>
      </c>
    </row>
    <row r="887" spans="49:49">
      <c r="AW887" s="1">
        <v>877</v>
      </c>
    </row>
    <row r="888" spans="49:49">
      <c r="AW888" s="1">
        <v>878</v>
      </c>
    </row>
    <row r="889" spans="49:49">
      <c r="AW889" s="1">
        <v>879</v>
      </c>
    </row>
    <row r="890" spans="49:49">
      <c r="AW890" s="1">
        <v>880</v>
      </c>
    </row>
    <row r="891" spans="49:49">
      <c r="AW891" s="1">
        <v>881</v>
      </c>
    </row>
    <row r="892" spans="49:49">
      <c r="AW892" s="1">
        <v>882</v>
      </c>
    </row>
    <row r="893" spans="49:49">
      <c r="AW893" s="1">
        <v>883</v>
      </c>
    </row>
    <row r="894" spans="49:49">
      <c r="AW894" s="1">
        <v>884</v>
      </c>
    </row>
    <row r="895" spans="49:49">
      <c r="AW895" s="1">
        <v>885</v>
      </c>
    </row>
    <row r="896" spans="49:49">
      <c r="AW896" s="1">
        <v>886</v>
      </c>
    </row>
    <row r="897" spans="49:49">
      <c r="AW897" s="1">
        <v>887</v>
      </c>
    </row>
    <row r="898" spans="49:49">
      <c r="AW898" s="1">
        <v>888</v>
      </c>
    </row>
    <row r="899" spans="49:49">
      <c r="AW899" s="1">
        <v>889</v>
      </c>
    </row>
    <row r="900" spans="49:49">
      <c r="AW900" s="1">
        <v>890</v>
      </c>
    </row>
    <row r="901" spans="49:49">
      <c r="AW901" s="1">
        <v>891</v>
      </c>
    </row>
    <row r="902" spans="49:49">
      <c r="AW902" s="1">
        <v>892</v>
      </c>
    </row>
    <row r="903" spans="49:49">
      <c r="AW903" s="1">
        <v>893</v>
      </c>
    </row>
    <row r="904" spans="49:49">
      <c r="AW904" s="1">
        <v>894</v>
      </c>
    </row>
    <row r="905" spans="49:49">
      <c r="AW905" s="1">
        <v>895</v>
      </c>
    </row>
    <row r="906" spans="49:49">
      <c r="AW906" s="1">
        <v>896</v>
      </c>
    </row>
    <row r="907" spans="49:49">
      <c r="AW907" s="1">
        <v>897</v>
      </c>
    </row>
    <row r="908" spans="49:49">
      <c r="AW908" s="1">
        <v>898</v>
      </c>
    </row>
    <row r="909" spans="49:49">
      <c r="AW909" s="1">
        <v>899</v>
      </c>
    </row>
    <row r="910" spans="49:49">
      <c r="AW910" s="1">
        <v>900</v>
      </c>
    </row>
    <row r="911" spans="49:49">
      <c r="AW911" s="1">
        <v>901</v>
      </c>
    </row>
    <row r="912" spans="49:49">
      <c r="AW912" s="1">
        <v>902</v>
      </c>
    </row>
    <row r="913" spans="49:49">
      <c r="AW913" s="1">
        <v>903</v>
      </c>
    </row>
    <row r="914" spans="49:49">
      <c r="AW914" s="1">
        <v>904</v>
      </c>
    </row>
    <row r="915" spans="49:49">
      <c r="AW915" s="1">
        <v>905</v>
      </c>
    </row>
    <row r="916" spans="49:49">
      <c r="AW916" s="1">
        <v>906</v>
      </c>
    </row>
    <row r="917" spans="49:49">
      <c r="AW917" s="1">
        <v>907</v>
      </c>
    </row>
    <row r="918" spans="49:49">
      <c r="AW918" s="1">
        <v>908</v>
      </c>
    </row>
    <row r="919" spans="49:49">
      <c r="AW919" s="1">
        <v>909</v>
      </c>
    </row>
    <row r="920" spans="49:49">
      <c r="AW920" s="1">
        <v>910</v>
      </c>
    </row>
    <row r="921" spans="49:49">
      <c r="AW921" s="1">
        <v>911</v>
      </c>
    </row>
    <row r="922" spans="49:49">
      <c r="AW922" s="1">
        <v>912</v>
      </c>
    </row>
    <row r="923" spans="49:49">
      <c r="AW923" s="1">
        <v>913</v>
      </c>
    </row>
    <row r="924" spans="49:49">
      <c r="AW924" s="1">
        <v>914</v>
      </c>
    </row>
    <row r="925" spans="49:49">
      <c r="AW925" s="1">
        <v>915</v>
      </c>
    </row>
    <row r="926" spans="49:49">
      <c r="AW926" s="1">
        <v>916</v>
      </c>
    </row>
    <row r="927" spans="49:49">
      <c r="AW927" s="1">
        <v>917</v>
      </c>
    </row>
    <row r="928" spans="49:49">
      <c r="AW928" s="1">
        <v>918</v>
      </c>
    </row>
    <row r="929" spans="49:49">
      <c r="AW929" s="1">
        <v>919</v>
      </c>
    </row>
    <row r="930" spans="49:49">
      <c r="AW930" s="1">
        <v>920</v>
      </c>
    </row>
    <row r="931" spans="49:49">
      <c r="AW931" s="1">
        <v>921</v>
      </c>
    </row>
    <row r="932" spans="49:49">
      <c r="AW932" s="1">
        <v>922</v>
      </c>
    </row>
    <row r="933" spans="49:49">
      <c r="AW933" s="1">
        <v>923</v>
      </c>
    </row>
    <row r="934" spans="49:49">
      <c r="AW934" s="1">
        <v>924</v>
      </c>
    </row>
    <row r="935" spans="49:49">
      <c r="AW935" s="1">
        <v>925</v>
      </c>
    </row>
    <row r="936" spans="49:49">
      <c r="AW936" s="1">
        <v>926</v>
      </c>
    </row>
    <row r="937" spans="49:49">
      <c r="AW937" s="1">
        <v>927</v>
      </c>
    </row>
    <row r="938" spans="49:49">
      <c r="AW938" s="1">
        <v>928</v>
      </c>
    </row>
    <row r="939" spans="49:49">
      <c r="AW939" s="1">
        <v>929</v>
      </c>
    </row>
    <row r="940" spans="49:49">
      <c r="AW940" s="1">
        <v>930</v>
      </c>
    </row>
    <row r="941" spans="49:49">
      <c r="AW941" s="1">
        <v>931</v>
      </c>
    </row>
    <row r="942" spans="49:49">
      <c r="AW942" s="1">
        <v>932</v>
      </c>
    </row>
    <row r="943" spans="49:49">
      <c r="AW943" s="1">
        <v>933</v>
      </c>
    </row>
    <row r="944" spans="49:49">
      <c r="AW944" s="1">
        <v>934</v>
      </c>
    </row>
    <row r="945" spans="49:49">
      <c r="AW945" s="1">
        <v>935</v>
      </c>
    </row>
    <row r="946" spans="49:49">
      <c r="AW946" s="1">
        <v>936</v>
      </c>
    </row>
    <row r="947" spans="49:49">
      <c r="AW947" s="1">
        <v>937</v>
      </c>
    </row>
    <row r="948" spans="49:49">
      <c r="AW948" s="1">
        <v>938</v>
      </c>
    </row>
    <row r="949" spans="49:49">
      <c r="AW949" s="1">
        <v>939</v>
      </c>
    </row>
    <row r="950" spans="49:49">
      <c r="AW950" s="1">
        <v>940</v>
      </c>
    </row>
    <row r="951" spans="49:49">
      <c r="AW951" s="1">
        <v>941</v>
      </c>
    </row>
    <row r="952" spans="49:49">
      <c r="AW952" s="1">
        <v>942</v>
      </c>
    </row>
    <row r="953" spans="49:49">
      <c r="AW953" s="1">
        <v>943</v>
      </c>
    </row>
    <row r="954" spans="49:49">
      <c r="AW954" s="1">
        <v>944</v>
      </c>
    </row>
    <row r="955" spans="49:49">
      <c r="AW955" s="1">
        <v>945</v>
      </c>
    </row>
    <row r="956" spans="49:49">
      <c r="AW956" s="1">
        <v>946</v>
      </c>
    </row>
    <row r="957" spans="49:49">
      <c r="AW957" s="1">
        <v>947</v>
      </c>
    </row>
    <row r="958" spans="49:49">
      <c r="AW958" s="1">
        <v>948</v>
      </c>
    </row>
    <row r="959" spans="49:49">
      <c r="AW959" s="1">
        <v>949</v>
      </c>
    </row>
    <row r="960" spans="49:49">
      <c r="AW960" s="1">
        <v>950</v>
      </c>
    </row>
    <row r="961" spans="49:49">
      <c r="AW961" s="1">
        <v>951</v>
      </c>
    </row>
    <row r="962" spans="49:49">
      <c r="AW962" s="1">
        <v>952</v>
      </c>
    </row>
    <row r="963" spans="49:49">
      <c r="AW963" s="1">
        <v>953</v>
      </c>
    </row>
    <row r="964" spans="49:49">
      <c r="AW964" s="1">
        <v>954</v>
      </c>
    </row>
    <row r="965" spans="49:49">
      <c r="AW965" s="1">
        <v>955</v>
      </c>
    </row>
    <row r="966" spans="49:49">
      <c r="AW966" s="1">
        <v>956</v>
      </c>
    </row>
    <row r="967" spans="49:49">
      <c r="AW967" s="1">
        <v>957</v>
      </c>
    </row>
    <row r="968" spans="49:49">
      <c r="AW968" s="1">
        <v>958</v>
      </c>
    </row>
    <row r="969" spans="49:49">
      <c r="AW969" s="1">
        <v>959</v>
      </c>
    </row>
    <row r="970" spans="49:49">
      <c r="AW970" s="1">
        <v>960</v>
      </c>
    </row>
    <row r="971" spans="49:49">
      <c r="AW971" s="1">
        <v>961</v>
      </c>
    </row>
    <row r="972" spans="49:49">
      <c r="AW972" s="1">
        <v>962</v>
      </c>
    </row>
    <row r="973" spans="49:49">
      <c r="AW973" s="1">
        <v>963</v>
      </c>
    </row>
    <row r="974" spans="49:49">
      <c r="AW974" s="1">
        <v>964</v>
      </c>
    </row>
    <row r="975" spans="49:49">
      <c r="AW975" s="1">
        <v>965</v>
      </c>
    </row>
    <row r="976" spans="49:49">
      <c r="AW976" s="1">
        <v>966</v>
      </c>
    </row>
    <row r="977" spans="49:49">
      <c r="AW977" s="1">
        <v>967</v>
      </c>
    </row>
    <row r="978" spans="49:49">
      <c r="AW978" s="1">
        <v>968</v>
      </c>
    </row>
    <row r="979" spans="49:49">
      <c r="AW979" s="1">
        <v>969</v>
      </c>
    </row>
    <row r="980" spans="49:49">
      <c r="AW980" s="1">
        <v>970</v>
      </c>
    </row>
    <row r="981" spans="49:49">
      <c r="AW981" s="1">
        <v>971</v>
      </c>
    </row>
    <row r="982" spans="49:49">
      <c r="AW982" s="1">
        <v>972</v>
      </c>
    </row>
    <row r="983" spans="49:49">
      <c r="AW983" s="1">
        <v>973</v>
      </c>
    </row>
    <row r="984" spans="49:49">
      <c r="AW984" s="1">
        <v>974</v>
      </c>
    </row>
    <row r="985" spans="49:49">
      <c r="AW985" s="1">
        <v>975</v>
      </c>
    </row>
    <row r="986" spans="49:49">
      <c r="AW986" s="1">
        <v>976</v>
      </c>
    </row>
    <row r="987" spans="49:49">
      <c r="AW987" s="1">
        <v>977</v>
      </c>
    </row>
    <row r="988" spans="49:49">
      <c r="AW988" s="1">
        <v>978</v>
      </c>
    </row>
    <row r="989" spans="49:49">
      <c r="AW989" s="1">
        <v>979</v>
      </c>
    </row>
    <row r="990" spans="49:49">
      <c r="AW990" s="1">
        <v>980</v>
      </c>
    </row>
    <row r="991" spans="49:49">
      <c r="AW991" s="1">
        <v>981</v>
      </c>
    </row>
    <row r="992" spans="49:49">
      <c r="AW992" s="1">
        <v>982</v>
      </c>
    </row>
    <row r="993" spans="49:49">
      <c r="AW993" s="1">
        <v>983</v>
      </c>
    </row>
    <row r="994" spans="49:49">
      <c r="AW994" s="1">
        <v>984</v>
      </c>
    </row>
    <row r="995" spans="49:49">
      <c r="AW995" s="1">
        <v>985</v>
      </c>
    </row>
    <row r="996" spans="49:49">
      <c r="AW996" s="1">
        <v>986</v>
      </c>
    </row>
    <row r="997" spans="49:49">
      <c r="AW997" s="1">
        <v>987</v>
      </c>
    </row>
    <row r="998" spans="49:49">
      <c r="AW998" s="1">
        <v>988</v>
      </c>
    </row>
    <row r="999" spans="49:49">
      <c r="AW999" s="1">
        <v>989</v>
      </c>
    </row>
    <row r="1000" spans="49:49">
      <c r="AW1000" s="1">
        <v>990</v>
      </c>
    </row>
    <row r="1001" spans="49:49">
      <c r="AW1001" s="1">
        <v>991</v>
      </c>
    </row>
    <row r="1002" spans="49:49">
      <c r="AW1002" s="1">
        <v>992</v>
      </c>
    </row>
    <row r="1003" spans="49:49">
      <c r="AW1003" s="1">
        <v>993</v>
      </c>
    </row>
    <row r="1004" spans="49:49">
      <c r="AW1004" s="1">
        <v>994</v>
      </c>
    </row>
    <row r="1005" spans="49:49">
      <c r="AW1005" s="1">
        <v>995</v>
      </c>
    </row>
    <row r="1006" spans="49:49">
      <c r="AW1006" s="1">
        <v>996</v>
      </c>
    </row>
    <row r="1007" spans="49:49">
      <c r="AW1007" s="1">
        <v>997</v>
      </c>
    </row>
    <row r="1008" spans="49:49">
      <c r="AW1008" s="1">
        <v>998</v>
      </c>
    </row>
    <row r="1009" spans="49:49">
      <c r="AW1009" s="1">
        <v>999</v>
      </c>
    </row>
    <row r="1010" spans="49:49">
      <c r="AW1010" s="1">
        <v>1000</v>
      </c>
    </row>
  </sheetData>
  <mergeCells count="90">
    <mergeCell ref="M20:N20"/>
    <mergeCell ref="M22:N22"/>
    <mergeCell ref="G21:L21"/>
    <mergeCell ref="H22:L22"/>
    <mergeCell ref="I23:L23"/>
    <mergeCell ref="C16:P16"/>
    <mergeCell ref="C17:P17"/>
    <mergeCell ref="O18:P18"/>
    <mergeCell ref="D18:L18"/>
    <mergeCell ref="O19:P19"/>
    <mergeCell ref="M19:N19"/>
    <mergeCell ref="E19:L19"/>
    <mergeCell ref="O14:P14"/>
    <mergeCell ref="M14:N14"/>
    <mergeCell ref="D10:L10"/>
    <mergeCell ref="E11:L11"/>
    <mergeCell ref="F12:L12"/>
    <mergeCell ref="G13:L13"/>
    <mergeCell ref="H14:L14"/>
    <mergeCell ref="O13:P13"/>
    <mergeCell ref="C9:P9"/>
    <mergeCell ref="M10:N10"/>
    <mergeCell ref="O10:P10"/>
    <mergeCell ref="O11:P11"/>
    <mergeCell ref="O12:P12"/>
    <mergeCell ref="M6:N6"/>
    <mergeCell ref="O6:P6"/>
    <mergeCell ref="E6:L6"/>
    <mergeCell ref="O7:P7"/>
    <mergeCell ref="M7:N7"/>
    <mergeCell ref="F7:L7"/>
    <mergeCell ref="B2:Q2"/>
    <mergeCell ref="C4:P4"/>
    <mergeCell ref="O5:P5"/>
    <mergeCell ref="M5:N5"/>
    <mergeCell ref="D5:L5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F28:L28"/>
    <mergeCell ref="M28:N28"/>
    <mergeCell ref="O28:P28"/>
    <mergeCell ref="M29:N29"/>
    <mergeCell ref="O29:P29"/>
    <mergeCell ref="G29:L29"/>
    <mergeCell ref="J32:L32"/>
    <mergeCell ref="M32:N32"/>
    <mergeCell ref="O32:P32"/>
    <mergeCell ref="H30:L30"/>
    <mergeCell ref="I31:L31"/>
    <mergeCell ref="F36:L36"/>
    <mergeCell ref="M36:N36"/>
    <mergeCell ref="O36:P36"/>
    <mergeCell ref="M37:N37"/>
    <mergeCell ref="O37:P37"/>
    <mergeCell ref="G37:L37"/>
    <mergeCell ref="J40:L40"/>
    <mergeCell ref="M40:N40"/>
    <mergeCell ref="O40:P40"/>
    <mergeCell ref="H38:L38"/>
    <mergeCell ref="I39:L39"/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A1:W8"/>
  <sheetViews>
    <sheetView topLeftCell="C1" workbookViewId="0">
      <selection activeCell="U12" sqref="U12"/>
    </sheetView>
  </sheetViews>
  <sheetFormatPr baseColWidth="10" defaultRowHeight="15"/>
  <cols>
    <col min="1" max="15" width="11.42578125" style="1"/>
    <col min="16" max="16" width="16.7109375" style="1" bestFit="1" customWidth="1"/>
    <col min="17" max="18" width="15.5703125" style="1" bestFit="1" customWidth="1"/>
    <col min="19" max="19" width="11.42578125" style="1"/>
    <col min="20" max="20" width="20.28515625" style="1" bestFit="1" customWidth="1"/>
    <col min="21" max="21" width="12" style="1" bestFit="1" customWidth="1"/>
    <col min="22" max="16384" width="11.42578125" style="1"/>
  </cols>
  <sheetData>
    <row r="1" spans="1:23">
      <c r="A1" s="1">
        <v>0</v>
      </c>
    </row>
    <row r="2" spans="1:23">
      <c r="A2" s="1">
        <v>10000</v>
      </c>
    </row>
    <row r="3" spans="1:23">
      <c r="A3" s="1">
        <v>10000</v>
      </c>
    </row>
    <row r="5" spans="1:23">
      <c r="P5" s="1" t="s">
        <v>50</v>
      </c>
      <c r="R5" s="1" t="s">
        <v>51</v>
      </c>
      <c r="T5" s="1" t="s">
        <v>52</v>
      </c>
    </row>
    <row r="7" spans="1:23">
      <c r="T7" s="1" t="s">
        <v>54</v>
      </c>
      <c r="U7" s="1" t="s">
        <v>55</v>
      </c>
      <c r="V7" s="1" t="s">
        <v>56</v>
      </c>
      <c r="W7" s="1" t="s">
        <v>53</v>
      </c>
    </row>
    <row r="8" spans="1:23">
      <c r="U8" s="1" cm="1">
        <f t="array" ref="U8:V8">'Conditions initiales + chemin'!M22:N22</f>
        <v>523598775598.29883</v>
      </c>
      <c r="V8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+ chemin</vt:lpstr>
      <vt:lpstr>Animation du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Islam Shafaatul</cp:lastModifiedBy>
  <dcterms:created xsi:type="dcterms:W3CDTF">2022-11-15T15:26:12Z</dcterms:created>
  <dcterms:modified xsi:type="dcterms:W3CDTF">2022-11-29T16:32:16Z</dcterms:modified>
</cp:coreProperties>
</file>